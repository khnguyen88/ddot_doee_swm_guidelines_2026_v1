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Summary" sheetId="1" state="visible" r:id="rId1"/>
    <sheet xmlns:r="http://schemas.openxmlformats.org/officeDocument/2006/relationships" name="5-Parameters" sheetId="2" state="visible" r:id="rId2"/>
    <sheet xmlns:r="http://schemas.openxmlformats.org/officeDocument/2006/relationships" name="2-DA LandUse" sheetId="3" state="visible" r:id="rId3"/>
    <sheet xmlns:r="http://schemas.openxmlformats.org/officeDocument/2006/relationships" name="3-BMP DOEE" sheetId="4" state="visible" r:id="rId4"/>
    <sheet xmlns:r="http://schemas.openxmlformats.org/officeDocument/2006/relationships" name="4-BMP EISA438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000000"/>
      <sz val="10"/>
    </font>
    <font>
      <b val="1"/>
      <color rgb="00FFFFFF"/>
      <sz val="13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C7"/>
      </patternFill>
    </fill>
    <fill>
      <patternFill patternType="solid">
        <fgColor rgb="00538135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DEEAF1"/>
      </patternFill>
    </fill>
    <fill>
      <patternFill patternType="solid">
        <fgColor rgb="00375623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4" pivotButton="0" quotePrefix="0" xfId="0"/>
    <xf numFmtId="0" fontId="0" fillId="3" borderId="5" pivotButton="0" quotePrefix="0" xfId="0"/>
    <xf numFmtId="0" fontId="3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0" fillId="2" borderId="5" pivotButton="0" quotePrefix="0" xfId="0"/>
    <xf numFmtId="0" fontId="2" fillId="9" borderId="1" applyAlignment="1" pivotButton="0" quotePrefix="0" xfId="0">
      <alignment horizontal="center" vertical="center" wrapText="1"/>
    </xf>
    <xf numFmtId="9" fontId="2" fillId="9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9" fontId="1" fillId="3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4" borderId="5" pivotButton="0" quotePrefix="0" xfId="0"/>
    <xf numFmtId="0" fontId="0" fillId="6" borderId="4" pivotButton="0" quotePrefix="0" xfId="0"/>
    <xf numFmtId="0" fontId="0" fillId="6" borderId="5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4" borderId="4" pivotButton="0" quotePrefix="0" xfId="0"/>
    <xf numFmtId="0" fontId="3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 ht="36" customHeight="1">
      <c r="A1" s="1" t="inlineStr">
        <is>
          <t>STORMWATER MANAGEMENT — REQUIRED vs. PROVIDED SUMMARY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Project Information</t>
        </is>
      </c>
      <c r="B2" s="4" t="n"/>
      <c r="C2" s="4" t="n"/>
      <c r="D2" s="4" t="n"/>
      <c r="E2" s="4" t="n"/>
      <c r="F2" s="4" t="n"/>
      <c r="G2" s="5" t="n"/>
    </row>
    <row r="3" ht="17" customHeight="1">
      <c r="A3" s="6" t="inlineStr">
        <is>
          <t>Project Name</t>
        </is>
      </c>
      <c r="B3" s="7" t="n"/>
      <c r="C3" s="8" t="n"/>
      <c r="D3" s="8" t="n"/>
      <c r="E3" s="8" t="n"/>
      <c r="F3" s="8" t="n"/>
      <c r="G3" s="8" t="n"/>
    </row>
    <row r="4" ht="17" customHeight="1">
      <c r="A4" s="6" t="inlineStr">
        <is>
          <t>Project Number</t>
        </is>
      </c>
      <c r="B4" s="7" t="n"/>
      <c r="C4" s="8" t="n"/>
      <c r="D4" s="8" t="n"/>
      <c r="E4" s="8" t="n"/>
      <c r="F4" s="8" t="n"/>
      <c r="G4" s="8" t="n"/>
    </row>
    <row r="5" ht="17" customHeight="1">
      <c r="A5" s="6" t="inlineStr">
        <is>
          <t>Date</t>
        </is>
      </c>
      <c r="B5" s="7" t="n"/>
      <c r="C5" s="8" t="n"/>
      <c r="D5" s="8" t="n"/>
      <c r="E5" s="8" t="n"/>
      <c r="F5" s="8" t="n"/>
      <c r="G5" s="8" t="n"/>
    </row>
    <row r="6" ht="17" customHeight="1">
      <c r="A6" s="6" t="inlineStr">
        <is>
          <t>Prepared By</t>
        </is>
      </c>
      <c r="B6" s="7" t="n"/>
      <c r="C6" s="8" t="n"/>
      <c r="D6" s="8" t="n"/>
      <c r="E6" s="8" t="n"/>
      <c r="F6" s="8" t="n"/>
      <c r="G6" s="8" t="n"/>
    </row>
    <row r="7" ht="17" customHeight="1">
      <c r="A7" s="6" t="inlineStr">
        <is>
          <t>Project Location</t>
        </is>
      </c>
      <c r="B7" s="7" t="n"/>
      <c r="C7" s="8" t="n"/>
      <c r="D7" s="8" t="n"/>
      <c r="E7" s="8" t="n"/>
      <c r="F7" s="8" t="n"/>
      <c r="G7" s="8" t="n"/>
    </row>
    <row r="8" ht="17" customHeight="1">
      <c r="A8" s="6" t="inlineStr">
        <is>
          <t>Regulatory Notes</t>
        </is>
      </c>
      <c r="B8" s="7" t="n"/>
      <c r="C8" s="8" t="n"/>
      <c r="D8" s="8" t="n"/>
      <c r="E8" s="8" t="n"/>
      <c r="F8" s="8" t="n"/>
      <c r="G8" s="8" t="n"/>
    </row>
    <row r="10" ht="22" customHeight="1">
      <c r="A10" s="9" t="inlineStr">
        <is>
          <t>DOEE STORMWATER RETENTION REQUIREMENT</t>
        </is>
      </c>
      <c r="B10" s="10" t="n"/>
      <c r="C10" s="10" t="n"/>
      <c r="D10" s="10" t="n"/>
      <c r="E10" s="10" t="n"/>
      <c r="F10" s="10" t="n"/>
      <c r="G10" s="11" t="n"/>
    </row>
    <row r="11" ht="36" customHeight="1">
      <c r="A11" s="3" t="inlineStr">
        <is>
          <t>Site DA</t>
        </is>
      </c>
      <c r="B11" s="3" t="inlineStr">
        <is>
          <t>Trigger</t>
        </is>
      </c>
      <c r="C11" s="3" t="inlineStr">
        <is>
          <t>SWRv Required
(ft3)</t>
        </is>
      </c>
      <c r="D11" s="3" t="inlineStr">
        <is>
          <t>Vol Retained
(ft3)</t>
        </is>
      </c>
      <c r="E11" s="3" t="inlineStr">
        <is>
          <t>Surplus/Deficit
(ft3)</t>
        </is>
      </c>
      <c r="F11" s="3" t="inlineStr">
        <is>
          <t>% Provided</t>
        </is>
      </c>
      <c r="G11" s="3" t="inlineStr">
        <is>
          <t>Status</t>
        </is>
      </c>
    </row>
    <row r="12" ht="17" customHeight="1">
      <c r="A12" s="12">
        <f>'2-DA LandUse'!A6</f>
        <v/>
      </c>
      <c r="B12" s="12">
        <f>'2-DA LandUse'!C6</f>
        <v/>
      </c>
      <c r="C12" s="12">
        <f>'2-DA LandUse'!AL6</f>
        <v/>
      </c>
      <c r="D12" s="12">
        <f>IFERROR(SUMIF('3-BMP DOEE'!$B$3:$B$52,'2-DA LandUse'!A6,'3-BMP DOEE'!$V$3:$V$52),0)</f>
        <v/>
      </c>
      <c r="E12" s="12">
        <f>IFERROR(IF(C12="","",D12-C12),"")</f>
        <v/>
      </c>
      <c r="F12" s="13">
        <f>IFERROR(IF(C12=0,"",D12/C12),"")</f>
        <v/>
      </c>
      <c r="G12" s="12">
        <f>IFERROR(IF(C12="","",IF(E12&gt;=0,"PASS","DEFICIT")),"—")</f>
        <v/>
      </c>
    </row>
    <row r="13" ht="17" customHeight="1">
      <c r="A13" s="12">
        <f>'2-DA LandUse'!A7</f>
        <v/>
      </c>
      <c r="B13" s="12">
        <f>'2-DA LandUse'!C7</f>
        <v/>
      </c>
      <c r="C13" s="12">
        <f>'2-DA LandUse'!AL7</f>
        <v/>
      </c>
      <c r="D13" s="12">
        <f>IFERROR(SUMIF('3-BMP DOEE'!$B$3:$B$52,'2-DA LandUse'!A7,'3-BMP DOEE'!$V$3:$V$52),0)</f>
        <v/>
      </c>
      <c r="E13" s="12">
        <f>IFERROR(IF(C13="","",D13-C13),"")</f>
        <v/>
      </c>
      <c r="F13" s="13">
        <f>IFERROR(IF(C13=0,"",D13/C13),"")</f>
        <v/>
      </c>
      <c r="G13" s="12">
        <f>IFERROR(IF(C13="","",IF(E13&gt;=0,"PASS","DEFICIT")),"—")</f>
        <v/>
      </c>
    </row>
    <row r="14" ht="17" customHeight="1">
      <c r="A14" s="12">
        <f>'2-DA LandUse'!A8</f>
        <v/>
      </c>
      <c r="B14" s="12">
        <f>'2-DA LandUse'!C8</f>
        <v/>
      </c>
      <c r="C14" s="12">
        <f>'2-DA LandUse'!AL8</f>
        <v/>
      </c>
      <c r="D14" s="12">
        <f>IFERROR(SUMIF('3-BMP DOEE'!$B$3:$B$52,'2-DA LandUse'!A8,'3-BMP DOEE'!$V$3:$V$52),0)</f>
        <v/>
      </c>
      <c r="E14" s="12">
        <f>IFERROR(IF(C14="","",D14-C14),"")</f>
        <v/>
      </c>
      <c r="F14" s="13">
        <f>IFERROR(IF(C14=0,"",D14/C14),"")</f>
        <v/>
      </c>
      <c r="G14" s="12">
        <f>IFERROR(IF(C14="","",IF(E14&gt;=0,"PASS","DEFICIT")),"—")</f>
        <v/>
      </c>
    </row>
    <row r="15" ht="17" customHeight="1">
      <c r="A15" s="12">
        <f>'2-DA LandUse'!A9</f>
        <v/>
      </c>
      <c r="B15" s="12">
        <f>'2-DA LandUse'!C9</f>
        <v/>
      </c>
      <c r="C15" s="12">
        <f>'2-DA LandUse'!AL9</f>
        <v/>
      </c>
      <c r="D15" s="12">
        <f>IFERROR(SUMIF('3-BMP DOEE'!$B$3:$B$52,'2-DA LandUse'!A9,'3-BMP DOEE'!$V$3:$V$52),0)</f>
        <v/>
      </c>
      <c r="E15" s="12">
        <f>IFERROR(IF(C15="","",D15-C15),"")</f>
        <v/>
      </c>
      <c r="F15" s="13">
        <f>IFERROR(IF(C15=0,"",D15/C15),"")</f>
        <v/>
      </c>
      <c r="G15" s="12">
        <f>IFERROR(IF(C15="","",IF(E15&gt;=0,"PASS","DEFICIT")),"—")</f>
        <v/>
      </c>
    </row>
    <row r="16" ht="17" customHeight="1">
      <c r="A16" s="12">
        <f>'2-DA LandUse'!A10</f>
        <v/>
      </c>
      <c r="B16" s="12">
        <f>'2-DA LandUse'!C10</f>
        <v/>
      </c>
      <c r="C16" s="12">
        <f>'2-DA LandUse'!AL10</f>
        <v/>
      </c>
      <c r="D16" s="12">
        <f>IFERROR(SUMIF('3-BMP DOEE'!$B$3:$B$52,'2-DA LandUse'!A10,'3-BMP DOEE'!$V$3:$V$52),0)</f>
        <v/>
      </c>
      <c r="E16" s="12">
        <f>IFERROR(IF(C16="","",D16-C16),"")</f>
        <v/>
      </c>
      <c r="F16" s="13">
        <f>IFERROR(IF(C16=0,"",D16/C16),"")</f>
        <v/>
      </c>
      <c r="G16" s="12">
        <f>IFERROR(IF(C16="","",IF(E16&gt;=0,"PASS","DEFICIT")),"—")</f>
        <v/>
      </c>
    </row>
    <row r="17" ht="17" customHeight="1">
      <c r="A17" s="12">
        <f>'2-DA LandUse'!A11</f>
        <v/>
      </c>
      <c r="B17" s="12">
        <f>'2-DA LandUse'!C11</f>
        <v/>
      </c>
      <c r="C17" s="12">
        <f>'2-DA LandUse'!AL11</f>
        <v/>
      </c>
      <c r="D17" s="12">
        <f>IFERROR(SUMIF('3-BMP DOEE'!$B$3:$B$52,'2-DA LandUse'!A11,'3-BMP DOEE'!$V$3:$V$52),0)</f>
        <v/>
      </c>
      <c r="E17" s="12">
        <f>IFERROR(IF(C17="","",D17-C17),"")</f>
        <v/>
      </c>
      <c r="F17" s="13">
        <f>IFERROR(IF(C17=0,"",D17/C17),"")</f>
        <v/>
      </c>
      <c r="G17" s="12">
        <f>IFERROR(IF(C17="","",IF(E17&gt;=0,"PASS","DEFICIT")),"—")</f>
        <v/>
      </c>
    </row>
    <row r="18" ht="17" customHeight="1">
      <c r="A18" s="12">
        <f>'2-DA LandUse'!A12</f>
        <v/>
      </c>
      <c r="B18" s="12">
        <f>'2-DA LandUse'!C12</f>
        <v/>
      </c>
      <c r="C18" s="12">
        <f>'2-DA LandUse'!AL12</f>
        <v/>
      </c>
      <c r="D18" s="12">
        <f>IFERROR(SUMIF('3-BMP DOEE'!$B$3:$B$52,'2-DA LandUse'!A12,'3-BMP DOEE'!$V$3:$V$52),0)</f>
        <v/>
      </c>
      <c r="E18" s="12">
        <f>IFERROR(IF(C18="","",D18-C18),"")</f>
        <v/>
      </c>
      <c r="F18" s="13">
        <f>IFERROR(IF(C18=0,"",D18/C18),"")</f>
        <v/>
      </c>
      <c r="G18" s="12">
        <f>IFERROR(IF(C18="","",IF(E18&gt;=0,"PASS","DEFICIT")),"—")</f>
        <v/>
      </c>
    </row>
    <row r="19" ht="17" customHeight="1">
      <c r="A19" s="12">
        <f>'2-DA LandUse'!A13</f>
        <v/>
      </c>
      <c r="B19" s="12">
        <f>'2-DA LandUse'!C13</f>
        <v/>
      </c>
      <c r="C19" s="12">
        <f>'2-DA LandUse'!AL13</f>
        <v/>
      </c>
      <c r="D19" s="12">
        <f>IFERROR(SUMIF('3-BMP DOEE'!$B$3:$B$52,'2-DA LandUse'!A13,'3-BMP DOEE'!$V$3:$V$52),0)</f>
        <v/>
      </c>
      <c r="E19" s="12">
        <f>IFERROR(IF(C19="","",D19-C19),"")</f>
        <v/>
      </c>
      <c r="F19" s="13">
        <f>IFERROR(IF(C19=0,"",D19/C19),"")</f>
        <v/>
      </c>
      <c r="G19" s="12">
        <f>IFERROR(IF(C19="","",IF(E19&gt;=0,"PASS","DEFICIT")),"—")</f>
        <v/>
      </c>
    </row>
    <row r="20" ht="17" customHeight="1">
      <c r="A20" s="12">
        <f>'2-DA LandUse'!A14</f>
        <v/>
      </c>
      <c r="B20" s="12">
        <f>'2-DA LandUse'!C14</f>
        <v/>
      </c>
      <c r="C20" s="12">
        <f>'2-DA LandUse'!AL14</f>
        <v/>
      </c>
      <c r="D20" s="12">
        <f>IFERROR(SUMIF('3-BMP DOEE'!$B$3:$B$52,'2-DA LandUse'!A14,'3-BMP DOEE'!$V$3:$V$52),0)</f>
        <v/>
      </c>
      <c r="E20" s="12">
        <f>IFERROR(IF(C20="","",D20-C20),"")</f>
        <v/>
      </c>
      <c r="F20" s="13">
        <f>IFERROR(IF(C20=0,"",D20/C20),"")</f>
        <v/>
      </c>
      <c r="G20" s="12">
        <f>IFERROR(IF(C20="","",IF(E20&gt;=0,"PASS","DEFICIT")),"—")</f>
        <v/>
      </c>
    </row>
    <row r="21" ht="17" customHeight="1">
      <c r="A21" s="12">
        <f>'2-DA LandUse'!A15</f>
        <v/>
      </c>
      <c r="B21" s="12">
        <f>'2-DA LandUse'!C15</f>
        <v/>
      </c>
      <c r="C21" s="12">
        <f>'2-DA LandUse'!AL15</f>
        <v/>
      </c>
      <c r="D21" s="12">
        <f>IFERROR(SUMIF('3-BMP DOEE'!$B$3:$B$52,'2-DA LandUse'!A15,'3-BMP DOEE'!$V$3:$V$52),0)</f>
        <v/>
      </c>
      <c r="E21" s="12">
        <f>IFERROR(IF(C21="","",D21-C21),"")</f>
        <v/>
      </c>
      <c r="F21" s="13">
        <f>IFERROR(IF(C21=0,"",D21/C21),"")</f>
        <v/>
      </c>
      <c r="G21" s="12">
        <f>IFERROR(IF(C21="","",IF(E21&gt;=0,"PASS","DEFICIT")),"—")</f>
        <v/>
      </c>
    </row>
    <row r="22" ht="20" customHeight="1">
      <c r="A22" s="3" t="inlineStr">
        <is>
          <t>SITE TOTAL</t>
        </is>
      </c>
      <c r="B22" s="14" t="inlineStr"/>
      <c r="C22" s="3">
        <f>SUM(C12:C21)</f>
        <v/>
      </c>
      <c r="D22" s="3">
        <f>SUM(D12:D21)</f>
        <v/>
      </c>
      <c r="E22" s="3">
        <f>D22-C22</f>
        <v/>
      </c>
      <c r="F22" s="15">
        <f>IFERROR(D22/C22,"")</f>
        <v/>
      </c>
      <c r="G22" s="3">
        <f>IF(E22&gt;=0,"PASS","DEFICIT")</f>
        <v/>
      </c>
    </row>
    <row r="24" ht="22" customHeight="1">
      <c r="A24" s="16" t="inlineStr">
        <is>
          <t>EISA SECTION 438 — NET RUNOFF COMPLIANCE  [Net Post-dev &lt;= Pre-dev]</t>
        </is>
      </c>
      <c r="B24" s="17" t="n"/>
      <c r="C24" s="17" t="n"/>
      <c r="D24" s="17" t="n"/>
      <c r="E24" s="17" t="n"/>
      <c r="F24" s="17" t="n"/>
      <c r="G24" s="18" t="n"/>
    </row>
    <row r="25" ht="36" customHeight="1">
      <c r="A25" s="19" t="inlineStr">
        <is>
          <t>Site DA</t>
        </is>
      </c>
      <c r="B25" s="19" t="inlineStr">
        <is>
          <t>Pre-dev Runoff
(ft3)</t>
        </is>
      </c>
      <c r="C25" s="19" t="inlineStr">
        <is>
          <t>Prop Cond
Runoff (ft3)</t>
        </is>
      </c>
      <c r="D25" s="19" t="inlineStr">
        <is>
          <t>BMP Vol Inf
(ft3)</t>
        </is>
      </c>
      <c r="E25" s="19" t="inlineStr">
        <is>
          <t>Net Post-dev
Runoff (ft3)</t>
        </is>
      </c>
      <c r="F25" s="19" t="inlineStr">
        <is>
          <t>Surplus/Deficit
(ft3)</t>
        </is>
      </c>
      <c r="G25" s="19" t="inlineStr">
        <is>
          <t>Status</t>
        </is>
      </c>
    </row>
    <row r="26" ht="17" customHeight="1">
      <c r="A26" s="12">
        <f>'2-DA LandUse'!A6</f>
        <v/>
      </c>
      <c r="B26" s="12">
        <f>'2-DA LandUse'!AM6</f>
        <v/>
      </c>
      <c r="C26" s="12">
        <f>'2-DA LandUse'!AN6</f>
        <v/>
      </c>
      <c r="D26" s="12">
        <f>IFERROR(SUMIF('4-BMP EISA438'!$B$3:$B$52,'2-DA LandUse'!A6,'4-BMP EISA438'!$K$3:$K$52),0)</f>
        <v/>
      </c>
      <c r="E26" s="12">
        <f>IFERROR(IF(B26="","",C26-D26),"")</f>
        <v/>
      </c>
      <c r="F26" s="12">
        <f>IFERROR(IF(B26="","",B26-E26),"")</f>
        <v/>
      </c>
      <c r="G26" s="12">
        <f>IFERROR(IF(B26="","",IF(E26&lt;=B26,"PASS","DEFICIT")),"—")</f>
        <v/>
      </c>
    </row>
    <row r="27" ht="17" customHeight="1">
      <c r="A27" s="12">
        <f>'2-DA LandUse'!A7</f>
        <v/>
      </c>
      <c r="B27" s="12">
        <f>'2-DA LandUse'!AM7</f>
        <v/>
      </c>
      <c r="C27" s="12">
        <f>'2-DA LandUse'!AN7</f>
        <v/>
      </c>
      <c r="D27" s="12">
        <f>IFERROR(SUMIF('4-BMP EISA438'!$B$3:$B$52,'2-DA LandUse'!A7,'4-BMP EISA438'!$K$3:$K$52),0)</f>
        <v/>
      </c>
      <c r="E27" s="12">
        <f>IFERROR(IF(B27="","",C27-D27),"")</f>
        <v/>
      </c>
      <c r="F27" s="12">
        <f>IFERROR(IF(B27="","",B27-E27),"")</f>
        <v/>
      </c>
      <c r="G27" s="12">
        <f>IFERROR(IF(B27="","",IF(E27&lt;=B27,"PASS","DEFICIT")),"—")</f>
        <v/>
      </c>
    </row>
    <row r="28" ht="17" customHeight="1">
      <c r="A28" s="12">
        <f>'2-DA LandUse'!A8</f>
        <v/>
      </c>
      <c r="B28" s="12">
        <f>'2-DA LandUse'!AM8</f>
        <v/>
      </c>
      <c r="C28" s="12">
        <f>'2-DA LandUse'!AN8</f>
        <v/>
      </c>
      <c r="D28" s="12">
        <f>IFERROR(SUMIF('4-BMP EISA438'!$B$3:$B$52,'2-DA LandUse'!A8,'4-BMP EISA438'!$K$3:$K$52),0)</f>
        <v/>
      </c>
      <c r="E28" s="12">
        <f>IFERROR(IF(B28="","",C28-D28),"")</f>
        <v/>
      </c>
      <c r="F28" s="12">
        <f>IFERROR(IF(B28="","",B28-E28),"")</f>
        <v/>
      </c>
      <c r="G28" s="12">
        <f>IFERROR(IF(B28="","",IF(E28&lt;=B28,"PASS","DEFICIT")),"—")</f>
        <v/>
      </c>
    </row>
    <row r="29" ht="17" customHeight="1">
      <c r="A29" s="12">
        <f>'2-DA LandUse'!A9</f>
        <v/>
      </c>
      <c r="B29" s="12">
        <f>'2-DA LandUse'!AM9</f>
        <v/>
      </c>
      <c r="C29" s="12">
        <f>'2-DA LandUse'!AN9</f>
        <v/>
      </c>
      <c r="D29" s="12">
        <f>IFERROR(SUMIF('4-BMP EISA438'!$B$3:$B$52,'2-DA LandUse'!A9,'4-BMP EISA438'!$K$3:$K$52),0)</f>
        <v/>
      </c>
      <c r="E29" s="12">
        <f>IFERROR(IF(B29="","",C29-D29),"")</f>
        <v/>
      </c>
      <c r="F29" s="12">
        <f>IFERROR(IF(B29="","",B29-E29),"")</f>
        <v/>
      </c>
      <c r="G29" s="12">
        <f>IFERROR(IF(B29="","",IF(E29&lt;=B29,"PASS","DEFICIT")),"—")</f>
        <v/>
      </c>
    </row>
    <row r="30" ht="17" customHeight="1">
      <c r="A30" s="12">
        <f>'2-DA LandUse'!A10</f>
        <v/>
      </c>
      <c r="B30" s="12">
        <f>'2-DA LandUse'!AM10</f>
        <v/>
      </c>
      <c r="C30" s="12">
        <f>'2-DA LandUse'!AN10</f>
        <v/>
      </c>
      <c r="D30" s="12">
        <f>IFERROR(SUMIF('4-BMP EISA438'!$B$3:$B$52,'2-DA LandUse'!A10,'4-BMP EISA438'!$K$3:$K$52),0)</f>
        <v/>
      </c>
      <c r="E30" s="12">
        <f>IFERROR(IF(B30="","",C30-D30),"")</f>
        <v/>
      </c>
      <c r="F30" s="12">
        <f>IFERROR(IF(B30="","",B30-E30),"")</f>
        <v/>
      </c>
      <c r="G30" s="12">
        <f>IFERROR(IF(B30="","",IF(E30&lt;=B30,"PASS","DEFICIT")),"—")</f>
        <v/>
      </c>
    </row>
    <row r="31" ht="17" customHeight="1">
      <c r="A31" s="12">
        <f>'2-DA LandUse'!A11</f>
        <v/>
      </c>
      <c r="B31" s="12">
        <f>'2-DA LandUse'!AM11</f>
        <v/>
      </c>
      <c r="C31" s="12">
        <f>'2-DA LandUse'!AN11</f>
        <v/>
      </c>
      <c r="D31" s="12">
        <f>IFERROR(SUMIF('4-BMP EISA438'!$B$3:$B$52,'2-DA LandUse'!A11,'4-BMP EISA438'!$K$3:$K$52),0)</f>
        <v/>
      </c>
      <c r="E31" s="12">
        <f>IFERROR(IF(B31="","",C31-D31),"")</f>
        <v/>
      </c>
      <c r="F31" s="12">
        <f>IFERROR(IF(B31="","",B31-E31),"")</f>
        <v/>
      </c>
      <c r="G31" s="12">
        <f>IFERROR(IF(B31="","",IF(E31&lt;=B31,"PASS","DEFICIT")),"—")</f>
        <v/>
      </c>
    </row>
    <row r="32" ht="17" customHeight="1">
      <c r="A32" s="12">
        <f>'2-DA LandUse'!A12</f>
        <v/>
      </c>
      <c r="B32" s="12">
        <f>'2-DA LandUse'!AM12</f>
        <v/>
      </c>
      <c r="C32" s="12">
        <f>'2-DA LandUse'!AN12</f>
        <v/>
      </c>
      <c r="D32" s="12">
        <f>IFERROR(SUMIF('4-BMP EISA438'!$B$3:$B$52,'2-DA LandUse'!A12,'4-BMP EISA438'!$K$3:$K$52),0)</f>
        <v/>
      </c>
      <c r="E32" s="12">
        <f>IFERROR(IF(B32="","",C32-D32),"")</f>
        <v/>
      </c>
      <c r="F32" s="12">
        <f>IFERROR(IF(B32="","",B32-E32),"")</f>
        <v/>
      </c>
      <c r="G32" s="12">
        <f>IFERROR(IF(B32="","",IF(E32&lt;=B32,"PASS","DEFICIT")),"—")</f>
        <v/>
      </c>
    </row>
    <row r="33" ht="17" customHeight="1">
      <c r="A33" s="12">
        <f>'2-DA LandUse'!A13</f>
        <v/>
      </c>
      <c r="B33" s="12">
        <f>'2-DA LandUse'!AM13</f>
        <v/>
      </c>
      <c r="C33" s="12">
        <f>'2-DA LandUse'!AN13</f>
        <v/>
      </c>
      <c r="D33" s="12">
        <f>IFERROR(SUMIF('4-BMP EISA438'!$B$3:$B$52,'2-DA LandUse'!A13,'4-BMP EISA438'!$K$3:$K$52),0)</f>
        <v/>
      </c>
      <c r="E33" s="12">
        <f>IFERROR(IF(B33="","",C33-D33),"")</f>
        <v/>
      </c>
      <c r="F33" s="12">
        <f>IFERROR(IF(B33="","",B33-E33),"")</f>
        <v/>
      </c>
      <c r="G33" s="12">
        <f>IFERROR(IF(B33="","",IF(E33&lt;=B33,"PASS","DEFICIT")),"—")</f>
        <v/>
      </c>
    </row>
    <row r="34" ht="17" customHeight="1">
      <c r="A34" s="12">
        <f>'2-DA LandUse'!A14</f>
        <v/>
      </c>
      <c r="B34" s="12">
        <f>'2-DA LandUse'!AM14</f>
        <v/>
      </c>
      <c r="C34" s="12">
        <f>'2-DA LandUse'!AN14</f>
        <v/>
      </c>
      <c r="D34" s="12">
        <f>IFERROR(SUMIF('4-BMP EISA438'!$B$3:$B$52,'2-DA LandUse'!A14,'4-BMP EISA438'!$K$3:$K$52),0)</f>
        <v/>
      </c>
      <c r="E34" s="12">
        <f>IFERROR(IF(B34="","",C34-D34),"")</f>
        <v/>
      </c>
      <c r="F34" s="12">
        <f>IFERROR(IF(B34="","",B34-E34),"")</f>
        <v/>
      </c>
      <c r="G34" s="12">
        <f>IFERROR(IF(B34="","",IF(E34&lt;=B34,"PASS","DEFICIT")),"—")</f>
        <v/>
      </c>
    </row>
    <row r="35" ht="17" customHeight="1">
      <c r="A35" s="12">
        <f>'2-DA LandUse'!A15</f>
        <v/>
      </c>
      <c r="B35" s="12">
        <f>'2-DA LandUse'!AM15</f>
        <v/>
      </c>
      <c r="C35" s="12">
        <f>'2-DA LandUse'!AN15</f>
        <v/>
      </c>
      <c r="D35" s="12">
        <f>IFERROR(SUMIF('4-BMP EISA438'!$B$3:$B$52,'2-DA LandUse'!A15,'4-BMP EISA438'!$K$3:$K$52),0)</f>
        <v/>
      </c>
      <c r="E35" s="12">
        <f>IFERROR(IF(B35="","",C35-D35),"")</f>
        <v/>
      </c>
      <c r="F35" s="12">
        <f>IFERROR(IF(B35="","",B35-E35),"")</f>
        <v/>
      </c>
      <c r="G35" s="12">
        <f>IFERROR(IF(B35="","",IF(E35&lt;=B35,"PASS","DEFICIT")),"—")</f>
        <v/>
      </c>
    </row>
    <row r="36" ht="20" customHeight="1">
      <c r="A36" s="19" t="inlineStr">
        <is>
          <t>SITE TOTAL</t>
        </is>
      </c>
      <c r="B36" s="19">
        <f>SUM(B26:B35)</f>
        <v/>
      </c>
      <c r="C36" s="19">
        <f>SUM(C26:C35)</f>
        <v/>
      </c>
      <c r="D36" s="19">
        <f>SUM(D26:D35)</f>
        <v/>
      </c>
      <c r="E36" s="19">
        <f>C36-D36</f>
        <v/>
      </c>
      <c r="F36" s="19">
        <f>B36-E36</f>
        <v/>
      </c>
      <c r="G36" s="19">
        <f>IF(E36&lt;=B36,"PASS","DEFICIT")</f>
        <v/>
      </c>
    </row>
    <row r="38">
      <c r="A38" s="9" t="inlineStr">
        <is>
          <t>KEY NOTES</t>
        </is>
      </c>
      <c r="B38" s="10" t="n"/>
      <c r="C38" s="10" t="n"/>
      <c r="D38" s="10" t="n"/>
      <c r="E38" s="10" t="n"/>
      <c r="F38" s="10" t="n"/>
      <c r="G38" s="11" t="n"/>
    </row>
    <row r="39" ht="15" customHeight="1">
      <c r="A39" s="20" t="inlineStr">
        <is>
          <t>DOEE: SWRv=(P/12)x[0.95x(Imp+Veh+BMP)+0.25xComp]x43,560 per SDA. Vol Ret=MIN(Vmax, SvxRetVal). Vmax capped at 1.7" storm.</t>
        </is>
      </c>
      <c r="B39" s="21" t="n"/>
      <c r="C39" s="21" t="n"/>
      <c r="D39" s="21" t="n"/>
      <c r="E39" s="21" t="n"/>
      <c r="F39" s="21" t="n"/>
      <c r="G39" s="21" t="n"/>
    </row>
    <row r="40" ht="15" customHeight="1">
      <c r="A40" s="20" t="inlineStr">
        <is>
          <t>EISA §438: Uses SCS/TR-55 CN method. 4 land types x HSG A-D. Compliance = Net post-dev &lt;= Pre-dev (existing) runoff.</t>
        </is>
      </c>
      <c r="B40" s="21" t="n"/>
      <c r="C40" s="21" t="n"/>
      <c r="D40" s="21" t="n"/>
      <c r="E40" s="21" t="n"/>
      <c r="F40" s="21" t="n"/>
      <c r="G40" s="21" t="n"/>
    </row>
    <row r="41" ht="15" customHeight="1">
      <c r="A41" s="20" t="inlineStr">
        <is>
          <t>EISA BMP credit = Area x MIN(P/12 ft, gravel_depth x void_ratio). Ref: Rock Creek Park EISA §438 calcs (2017).</t>
        </is>
      </c>
      <c r="B41" s="21" t="n"/>
      <c r="C41" s="21" t="n"/>
      <c r="D41" s="21" t="n"/>
      <c r="E41" s="21" t="n"/>
      <c r="F41" s="21" t="n"/>
      <c r="G41" s="21" t="n"/>
    </row>
    <row r="42" ht="15" customHeight="1">
      <c r="A42" s="20" t="inlineStr">
        <is>
          <t>Both requirements apply simultaneously to federal DC projects. EISA 1.7" &gt; DOEE MLD 1.2" — EISA-compliant design typically satisfies DOEE.</t>
        </is>
      </c>
      <c r="B42" s="21" t="n"/>
      <c r="C42" s="21" t="n"/>
      <c r="D42" s="21" t="n"/>
      <c r="E42" s="21" t="n"/>
      <c r="F42" s="21" t="n"/>
      <c r="G42" s="21" t="n"/>
    </row>
    <row r="43" ht="15" customHeight="1">
      <c r="A43" s="20" t="inlineStr">
        <is>
          <t>PROW: DOEE MEP process applies. EISA §438 only to federal facility footprint &gt;5,000 SF. Confirm applicability with project sponsor.</t>
        </is>
      </c>
      <c r="B43" s="21" t="n"/>
      <c r="C43" s="21" t="n"/>
      <c r="D43" s="21" t="n"/>
      <c r="E43" s="21" t="n"/>
      <c r="F43" s="21" t="n"/>
      <c r="G43" s="21" t="n"/>
    </row>
  </sheetData>
  <mergeCells count="16">
    <mergeCell ref="B3:G3"/>
    <mergeCell ref="A1:G1"/>
    <mergeCell ref="A10:G10"/>
    <mergeCell ref="A40:G40"/>
    <mergeCell ref="B5:G5"/>
    <mergeCell ref="A39:G39"/>
    <mergeCell ref="B8:G8"/>
    <mergeCell ref="B4:G4"/>
    <mergeCell ref="A2:G2"/>
    <mergeCell ref="A24:G24"/>
    <mergeCell ref="A38:G38"/>
    <mergeCell ref="A43:G43"/>
    <mergeCell ref="A41:G41"/>
    <mergeCell ref="B7:G7"/>
    <mergeCell ref="A42:G42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6" customHeight="1">
      <c r="A1" s="9" t="inlineStr">
        <is>
          <t>GENERAL PARAMETERS</t>
        </is>
      </c>
      <c r="B1" s="10" t="n"/>
      <c r="C1" s="10" t="n"/>
      <c r="D1" s="10" t="n"/>
      <c r="E1" s="11" t="n"/>
    </row>
    <row r="3">
      <c r="A3" s="3" t="inlineStr">
        <is>
          <t>RAINFALL DEPTHS</t>
        </is>
      </c>
      <c r="B3" s="4" t="n"/>
      <c r="C3" s="4" t="n"/>
      <c r="D3" s="4" t="n"/>
      <c r="E3" s="5" t="n"/>
    </row>
    <row r="4">
      <c r="A4" s="22" t="inlineStr">
        <is>
          <t>DOEE MLD design storm (P_MLD)</t>
        </is>
      </c>
      <c r="B4" s="23" t="n">
        <v>1.2</v>
      </c>
      <c r="C4" s="22" t="inlineStr">
        <is>
          <t>in</t>
        </is>
      </c>
      <c r="D4" s="22" t="inlineStr">
        <is>
          <t>21 DCMR §599 — Major Land Disturbing</t>
        </is>
      </c>
      <c r="E4" s="24" t="n"/>
    </row>
    <row r="5">
      <c r="A5" s="22" t="inlineStr">
        <is>
          <t>DOEE MSI design storm (P_MSI)</t>
        </is>
      </c>
      <c r="B5" s="23" t="n">
        <v>0.8</v>
      </c>
      <c r="C5" s="22" t="inlineStr">
        <is>
          <t>in</t>
        </is>
      </c>
      <c r="D5" s="22" t="inlineStr">
        <is>
          <t>21 DCMR §599 — Major Substantial Improvement</t>
        </is>
      </c>
      <c r="E5" s="24" t="n"/>
    </row>
    <row r="6">
      <c r="A6" s="22" t="inlineStr">
        <is>
          <t>DOEE MSI-AWDZ design storm (P_AWDZ)</t>
        </is>
      </c>
      <c r="B6" s="23" t="n">
        <v>1</v>
      </c>
      <c r="C6" s="22" t="inlineStr">
        <is>
          <t>in</t>
        </is>
      </c>
      <c r="D6" s="22" t="inlineStr">
        <is>
          <t>Anacostia Waterfront District Zone</t>
        </is>
      </c>
      <c r="E6" s="24" t="n"/>
    </row>
    <row r="7">
      <c r="A7" s="22" t="inlineStr">
        <is>
          <t>DOEE Vmax storm depth</t>
        </is>
      </c>
      <c r="B7" s="23" t="n">
        <v>1.7</v>
      </c>
      <c r="C7" s="22" t="inlineStr">
        <is>
          <t>in</t>
        </is>
      </c>
      <c r="D7" s="22" t="inlineStr">
        <is>
          <t>BMP credit cap — max CDA contributing depth</t>
        </is>
      </c>
      <c r="E7" s="24" t="n"/>
    </row>
    <row r="8">
      <c r="A8" s="22" t="inlineStr">
        <is>
          <t>EISA 95th percentile storm (DC)</t>
        </is>
      </c>
      <c r="B8" s="23" t="n">
        <v>1.7</v>
      </c>
      <c r="C8" s="22" t="inlineStr">
        <is>
          <t>in</t>
        </is>
      </c>
      <c r="D8" s="22" t="inlineStr">
        <is>
          <t>EPA Table 1 — Washington DC 24-hr 95th percentile</t>
        </is>
      </c>
      <c r="E8" s="24" t="n"/>
    </row>
    <row r="10" ht="22" customHeight="1">
      <c r="A10" s="19" t="inlineStr">
        <is>
          <t>SCS CURVE NUMBERS BY LAND COVER AND HYDROLOGIC SOIL GROUP  (TR-55; per EISA §438 sample comps)</t>
        </is>
      </c>
      <c r="B10" s="25" t="n"/>
      <c r="C10" s="25" t="n"/>
      <c r="D10" s="25" t="n"/>
      <c r="E10" s="26" t="n"/>
    </row>
    <row r="11">
      <c r="A11" s="27" t="inlineStr">
        <is>
          <t>Land Cover / Condition</t>
        </is>
      </c>
      <c r="B11" s="27" t="inlineStr">
        <is>
          <t>HSG A</t>
        </is>
      </c>
      <c r="C11" s="27" t="inlineStr">
        <is>
          <t>HSG B</t>
        </is>
      </c>
      <c r="D11" s="27" t="inlineStr">
        <is>
          <t>HSG C</t>
        </is>
      </c>
      <c r="E11" s="27" t="inlineStr">
        <is>
          <t>HSG D</t>
        </is>
      </c>
    </row>
    <row r="12">
      <c r="A12" s="22" t="inlineStr">
        <is>
          <t>Impervious (paved, rooftop, compacted imperv)</t>
        </is>
      </c>
      <c r="B12" s="23" t="n">
        <v>98</v>
      </c>
      <c r="C12" s="23" t="n">
        <v>98</v>
      </c>
      <c r="D12" s="23" t="n">
        <v>98</v>
      </c>
      <c r="E12" s="23" t="n">
        <v>98</v>
      </c>
    </row>
    <row r="13">
      <c r="A13" s="22" t="inlineStr">
        <is>
          <t>Woods — good condition (forest, good cover)</t>
        </is>
      </c>
      <c r="B13" s="23" t="n">
        <v>25</v>
      </c>
      <c r="C13" s="23" t="n">
        <v>55</v>
      </c>
      <c r="D13" s="23" t="n">
        <v>70</v>
      </c>
      <c r="E13" s="23" t="n">
        <v>77</v>
      </c>
    </row>
    <row r="14">
      <c r="A14" s="22" t="inlineStr">
        <is>
          <t>BMP / Pervious (bioretention, bioswale — as grass good)</t>
        </is>
      </c>
      <c r="B14" s="23" t="n">
        <v>39</v>
      </c>
      <c r="C14" s="23" t="n">
        <v>61</v>
      </c>
      <c r="D14" s="23" t="n">
        <v>74</v>
      </c>
      <c r="E14" s="23" t="n">
        <v>80</v>
      </c>
    </row>
    <row r="15">
      <c r="A15" s="22" t="inlineStr">
        <is>
          <t>Compact/Open Space — good condition (grass, good lawn)</t>
        </is>
      </c>
      <c r="B15" s="23" t="n">
        <v>39</v>
      </c>
      <c r="C15" s="23" t="n">
        <v>61</v>
      </c>
      <c r="D15" s="23" t="n">
        <v>74</v>
      </c>
      <c r="E15" s="23" t="n">
        <v>80</v>
      </c>
    </row>
    <row r="16">
      <c r="A16" s="22" t="inlineStr">
        <is>
          <t>Compact/Open Space — fair condition (grass, fair)</t>
        </is>
      </c>
      <c r="B16" s="23" t="n">
        <v>49</v>
      </c>
      <c r="C16" s="23" t="n">
        <v>69</v>
      </c>
      <c r="D16" s="23" t="n">
        <v>79</v>
      </c>
      <c r="E16" s="23" t="n">
        <v>84</v>
      </c>
    </row>
    <row r="17">
      <c r="A17" s="22" t="inlineStr">
        <is>
          <t>Compact/Disturbed (construction grading)</t>
        </is>
      </c>
      <c r="B17" s="23" t="n">
        <v>77</v>
      </c>
      <c r="C17" s="23" t="n">
        <v>85</v>
      </c>
      <c r="D17" s="23" t="n">
        <v>90</v>
      </c>
      <c r="E17" s="23" t="n">
        <v>92</v>
      </c>
    </row>
    <row r="18">
      <c r="A18" s="22" t="inlineStr">
        <is>
          <t>Open water / wetland</t>
        </is>
      </c>
      <c r="B18" s="23" t="n">
        <v>98</v>
      </c>
      <c r="C18" s="23" t="n">
        <v>98</v>
      </c>
      <c r="D18" s="23" t="n">
        <v>98</v>
      </c>
      <c r="E18" s="23" t="n">
        <v>98</v>
      </c>
    </row>
    <row r="20">
      <c r="A20" s="19" t="inlineStr">
        <is>
          <t>SCS RUNOFF EQUATION</t>
        </is>
      </c>
      <c r="B20" s="25" t="n"/>
      <c r="C20" s="25" t="n"/>
      <c r="D20" s="25" t="n"/>
      <c r="E20" s="26" t="n"/>
    </row>
    <row r="21">
      <c r="A21" s="22" t="inlineStr">
        <is>
          <t>Q_a (in) = (P - 0.2*S)^2 / (P + 0.8*S) where S = 1000/CN - 10.  If P &lt;= 0.2*S then Q_a = 0.</t>
        </is>
      </c>
      <c r="B21" s="28" t="n"/>
      <c r="C21" s="28" t="n"/>
      <c r="D21" s="28" t="n"/>
      <c r="E21" s="24" t="n"/>
    </row>
    <row r="22" ht="36" customHeight="1">
      <c r="A22" s="22" t="inlineStr">
        <is>
          <t>Volume (ft3) = SUM [ Area_i(SF) x Q_a_i(in) ] / 12.  HSG-A Woods (CN=25: 0.2S=6.0&gt;1.7) and HSG-B Woods (CN=55: 0.2S=1.64&gt;1.7) produce ZERO runoff for P=1.7" — include area but they contribute 0 ft3.  Ref: Rock Creek Park EISA §438 calcs, May 2017.</t>
        </is>
      </c>
      <c r="B22" s="28" t="n"/>
      <c r="C22" s="28" t="n"/>
      <c r="D22" s="28" t="n"/>
      <c r="E22" s="24" t="n"/>
    </row>
    <row r="24">
      <c r="A24" s="3" t="inlineStr">
        <is>
          <t>DOEE RUNOFF COEFFICIENTS (Rv) FOR SWRv CALCULATION</t>
        </is>
      </c>
      <c r="B24" s="4" t="n"/>
      <c r="C24" s="4" t="n"/>
      <c r="D24" s="4" t="n"/>
      <c r="E24" s="5" t="n"/>
    </row>
    <row r="25">
      <c r="A25" s="29" t="inlineStr">
        <is>
          <t>DOEE Land Use Category</t>
        </is>
      </c>
      <c r="B25" s="29" t="inlineStr">
        <is>
          <t>Rv</t>
        </is>
      </c>
      <c r="C25" s="29" t="inlineStr">
        <is>
          <t>Unit</t>
        </is>
      </c>
      <c r="D25" s="29" t="inlineStr">
        <is>
          <t>Notes</t>
        </is>
      </c>
      <c r="E25" s="29" t="inlineStr"/>
    </row>
    <row r="26">
      <c r="A26" s="22" t="inlineStr">
        <is>
          <t>Impervious (rooftop, pavement)</t>
        </is>
      </c>
      <c r="B26" s="23" t="n">
        <v>0.95</v>
      </c>
      <c r="C26" s="22" t="inlineStr"/>
      <c r="D26" s="22" t="inlineStr">
        <is>
          <t>21 DCMR §599</t>
        </is>
      </c>
      <c r="E26" s="24" t="n"/>
    </row>
    <row r="27">
      <c r="A27" s="22" t="inlineStr">
        <is>
          <t>Impervious Vehicular</t>
        </is>
      </c>
      <c r="B27" s="23" t="n">
        <v>0.95</v>
      </c>
      <c r="C27" s="22" t="inlineStr"/>
      <c r="D27" s="22" t="inlineStr">
        <is>
          <t>50% retention req per 21 DCMR</t>
        </is>
      </c>
      <c r="E27" s="24" t="n"/>
    </row>
    <row r="28">
      <c r="A28" s="22" t="inlineStr">
        <is>
          <t>Compacted (landscaped/disturbed)</t>
        </is>
      </c>
      <c r="B28" s="23" t="n">
        <v>0.25</v>
      </c>
      <c r="C28" s="22" t="inlineStr"/>
      <c r="D28" s="22" t="inlineStr">
        <is>
          <t>DOEE Guidebook §2.3</t>
        </is>
      </c>
      <c r="E28" s="24" t="n"/>
    </row>
    <row r="29">
      <c r="A29" s="22" t="inlineStr">
        <is>
          <t>Natural / Open Space</t>
        </is>
      </c>
      <c r="B29" s="23" t="n">
        <v>0</v>
      </c>
      <c r="C29" s="22" t="inlineStr"/>
      <c r="D29" s="22" t="inlineStr">
        <is>
          <t>Effectively zero for SWRv</t>
        </is>
      </c>
      <c r="E29" s="24" t="n"/>
    </row>
    <row r="30">
      <c r="A30" s="22" t="inlineStr">
        <is>
          <t>BMP Area (in CDA)</t>
        </is>
      </c>
      <c r="B30" s="23" t="n">
        <v>0.95</v>
      </c>
      <c r="C30" s="22" t="inlineStr"/>
      <c r="D30" s="22" t="inlineStr">
        <is>
          <t>Counted as impervious for Vmax calc</t>
        </is>
      </c>
      <c r="E30" s="24" t="n"/>
    </row>
    <row r="32">
      <c r="A32" s="3" t="inlineStr">
        <is>
          <t>BMP MEDIA VOID RATIOS</t>
        </is>
      </c>
      <c r="B32" s="4" t="n"/>
      <c r="C32" s="4" t="n"/>
      <c r="D32" s="4" t="n"/>
      <c r="E32" s="5" t="n"/>
    </row>
    <row r="33">
      <c r="A33" s="29" t="inlineStr">
        <is>
          <t>Material</t>
        </is>
      </c>
      <c r="B33" s="29" t="inlineStr">
        <is>
          <t>Void Ratio (eta)</t>
        </is>
      </c>
      <c r="C33" s="29" t="inlineStr">
        <is>
          <t>Unit</t>
        </is>
      </c>
      <c r="D33" s="29" t="inlineStr">
        <is>
          <t>Notes</t>
        </is>
      </c>
      <c r="E33" s="29" t="inlineStr"/>
    </row>
    <row r="34">
      <c r="A34" s="22" t="inlineStr">
        <is>
          <t>Bioretention filter media</t>
        </is>
      </c>
      <c r="B34" s="23" t="n">
        <v>0.25</v>
      </c>
      <c r="C34" s="22" t="inlineStr"/>
      <c r="D34" s="22" t="inlineStr">
        <is>
          <t>DOEE Guidebook §3.6</t>
        </is>
      </c>
      <c r="E34" s="24" t="n"/>
    </row>
    <row r="35">
      <c r="A35" s="22" t="inlineStr">
        <is>
          <t>Gravel / stone reservoir</t>
        </is>
      </c>
      <c r="B35" s="23" t="n">
        <v>0.4</v>
      </c>
      <c r="C35" s="22" t="inlineStr"/>
      <c r="D35" s="22" t="inlineStr">
        <is>
          <t>DOEE §3.6; EISA sample standard (Rock Creek)</t>
        </is>
      </c>
      <c r="E35" s="24" t="n"/>
    </row>
    <row r="36">
      <c r="A36" s="22" t="inlineStr">
        <is>
          <t>Perm. pave reservoir (fine)</t>
        </is>
      </c>
      <c r="B36" s="23" t="n">
        <v>0.33</v>
      </c>
      <c r="C36" s="22" t="inlineStr"/>
      <c r="D36" s="22" t="inlineStr">
        <is>
          <t>Open-graded aggregate</t>
        </is>
      </c>
      <c r="E36" s="24" t="n"/>
    </row>
    <row r="37">
      <c r="A37" s="22" t="inlineStr">
        <is>
          <t>Porous asphalt gravel base</t>
        </is>
      </c>
      <c r="B37" s="23" t="n">
        <v>0.4</v>
      </c>
      <c r="C37" s="22" t="inlineStr"/>
      <c r="D37" s="22" t="inlineStr">
        <is>
          <t>EISA: 0.5ft gravel x 0.40 = 0.20ft storage</t>
        </is>
      </c>
      <c r="E37" s="24" t="n"/>
    </row>
    <row r="38">
      <c r="A38" s="22" t="inlineStr">
        <is>
          <t>Green roof drainage layer</t>
        </is>
      </c>
      <c r="B38" s="23" t="n">
        <v>0.9</v>
      </c>
      <c r="C38" s="22" t="inlineStr"/>
      <c r="D38" s="22" t="inlineStr">
        <is>
          <t>DOEE Guidebook §3.2</t>
        </is>
      </c>
      <c r="E38" s="24" t="n"/>
    </row>
    <row r="39">
      <c r="A39" s="22" t="inlineStr">
        <is>
          <t>Green roof growth media</t>
        </is>
      </c>
      <c r="B39" s="23" t="n">
        <v>0.1</v>
      </c>
      <c r="C39" s="22" t="inlineStr"/>
      <c r="D39" s="22" t="inlineStr">
        <is>
          <t>Saturated water-holding capacity</t>
        </is>
      </c>
      <c r="E39" s="24" t="n"/>
    </row>
    <row r="41">
      <c r="A41" s="3" t="inlineStr">
        <is>
          <t>DOEE BMP RETENTION VALUES</t>
        </is>
      </c>
      <c r="B41" s="4" t="n"/>
      <c r="C41" s="4" t="n"/>
      <c r="D41" s="4" t="n"/>
      <c r="E41" s="5" t="n"/>
    </row>
    <row r="42">
      <c r="A42" s="29" t="inlineStr">
        <is>
          <t>Code</t>
        </is>
      </c>
      <c r="B42" s="29" t="inlineStr">
        <is>
          <t>Ret. Value</t>
        </is>
      </c>
      <c r="C42" s="29" t="inlineStr"/>
      <c r="D42" s="29" t="inlineStr">
        <is>
          <t>Description</t>
        </is>
      </c>
      <c r="E42" s="29" t="inlineStr">
        <is>
          <t>Notes</t>
        </is>
      </c>
    </row>
    <row r="43">
      <c r="A43" s="6" t="inlineStr">
        <is>
          <t>B-1</t>
        </is>
      </c>
      <c r="B43" s="23" t="n">
        <v>0.6</v>
      </c>
      <c r="C43" s="22" t="inlineStr"/>
      <c r="D43" s="22" t="inlineStr">
        <is>
          <t>Bioretention — no underdrain (partial)</t>
        </is>
      </c>
      <c r="E43" s="22" t="inlineStr"/>
    </row>
    <row r="44">
      <c r="A44" s="6" t="inlineStr">
        <is>
          <t>B-2</t>
        </is>
      </c>
      <c r="B44" s="23" t="n">
        <v>1</v>
      </c>
      <c r="C44" s="22" t="inlineStr"/>
      <c r="D44" s="22" t="inlineStr">
        <is>
          <t>Bioretention — full infiltration</t>
        </is>
      </c>
      <c r="E44" s="22" t="inlineStr"/>
    </row>
    <row r="45">
      <c r="A45" s="6" t="inlineStr">
        <is>
          <t>G-1</t>
        </is>
      </c>
      <c r="B45" s="23" t="n">
        <v>0.6</v>
      </c>
      <c r="C45" s="22" t="inlineStr"/>
      <c r="D45" s="22" t="inlineStr">
        <is>
          <t>Green Roof — extensive</t>
        </is>
      </c>
      <c r="E45" s="22" t="inlineStr">
        <is>
          <t>ET credit only</t>
        </is>
      </c>
    </row>
    <row r="46">
      <c r="A46" s="6" t="inlineStr">
        <is>
          <t>G-2</t>
        </is>
      </c>
      <c r="B46" s="23" t="n">
        <v>1</v>
      </c>
      <c r="C46" s="22" t="inlineStr"/>
      <c r="D46" s="22" t="inlineStr">
        <is>
          <t>Green Roof — intensive</t>
        </is>
      </c>
      <c r="E46" s="22" t="inlineStr"/>
    </row>
    <row r="47">
      <c r="A47" s="6" t="inlineStr">
        <is>
          <t>P-1</t>
        </is>
      </c>
      <c r="B47" s="23" t="n">
        <v>1</v>
      </c>
      <c r="C47" s="22" t="inlineStr"/>
      <c r="D47" s="22" t="inlineStr">
        <is>
          <t>Perm. Pavement — full infiltration</t>
        </is>
      </c>
      <c r="E47" s="22" t="inlineStr"/>
    </row>
    <row r="48">
      <c r="A48" s="6" t="inlineStr">
        <is>
          <t>P-2</t>
        </is>
      </c>
      <c r="B48" s="23" t="n">
        <v>0.6</v>
      </c>
      <c r="C48" s="22" t="inlineStr"/>
      <c r="D48" s="22" t="inlineStr">
        <is>
          <t>Perm. Pavement — partial (underdrain)</t>
        </is>
      </c>
      <c r="E48" s="22" t="inlineStr"/>
    </row>
    <row r="49">
      <c r="A49" s="6" t="inlineStr">
        <is>
          <t>P-3</t>
        </is>
      </c>
      <c r="B49" s="23" t="n">
        <v>0.6</v>
      </c>
      <c r="C49" s="22" t="inlineStr"/>
      <c r="D49" s="22" t="inlineStr">
        <is>
          <t>Perm. Pavement — detained</t>
        </is>
      </c>
      <c r="E49" s="22" t="inlineStr"/>
    </row>
    <row r="50">
      <c r="A50" s="6" t="inlineStr">
        <is>
          <t>R-1</t>
        </is>
      </c>
      <c r="B50" s="23" t="n">
        <v>1</v>
      </c>
      <c r="C50" s="22" t="inlineStr"/>
      <c r="D50" s="22" t="inlineStr">
        <is>
          <t>Rainwater Harvesting</t>
        </is>
      </c>
      <c r="E50" s="22" t="inlineStr">
        <is>
          <t>Volume actually reused</t>
        </is>
      </c>
    </row>
    <row r="51">
      <c r="A51" s="6" t="inlineStr">
        <is>
          <t>ISD</t>
        </is>
      </c>
      <c r="B51" s="23" t="n">
        <v>0.5</v>
      </c>
      <c r="C51" s="22" t="inlineStr"/>
      <c r="D51" s="22" t="inlineStr">
        <is>
          <t>Impervious Surface Disconnection</t>
        </is>
      </c>
      <c r="E51" s="22" t="inlineStr">
        <is>
          <t>50% credit</t>
        </is>
      </c>
    </row>
    <row r="53">
      <c r="A53" s="19" t="inlineStr">
        <is>
          <t>EISA BMP STORAGE DESIGN DEFAULTS  (from EISA Technical Guidance + Rock Creek Park sample calcs)</t>
        </is>
      </c>
      <c r="B53" s="25" t="n"/>
      <c r="C53" s="25" t="n"/>
      <c r="D53" s="25" t="n"/>
      <c r="E53" s="26" t="n"/>
    </row>
    <row r="54">
      <c r="A54" s="27" t="inlineStr">
        <is>
          <t>BMP Type</t>
        </is>
      </c>
      <c r="B54" s="27" t="inlineStr">
        <is>
          <t>Gravel Depth (ft)</t>
        </is>
      </c>
      <c r="C54" s="27" t="inlineStr">
        <is>
          <t>Void Ratio</t>
        </is>
      </c>
      <c r="D54" s="27" t="inlineStr">
        <is>
          <t>Storage = d x eta (ft)</t>
        </is>
      </c>
      <c r="E54" s="27" t="inlineStr">
        <is>
          <t>Notes</t>
        </is>
      </c>
    </row>
    <row r="55">
      <c r="A55" s="22" t="inlineStr">
        <is>
          <t>Porous Asphalt / Perm. Pave</t>
        </is>
      </c>
      <c r="B55" s="23" t="n">
        <v>0.5</v>
      </c>
      <c r="C55" s="23" t="n">
        <v>0.4</v>
      </c>
      <c r="D55" s="12">
        <f>B55*C55</f>
        <v/>
      </c>
      <c r="E55" s="22" t="inlineStr">
        <is>
          <t>Design depth=MIN(1.7/12=0.142,0.20)=0.142ft (storm-limited)</t>
        </is>
      </c>
    </row>
    <row r="56">
      <c r="A56" s="22" t="inlineStr">
        <is>
          <t>Bioretention</t>
        </is>
      </c>
      <c r="B56" s="23" t="n">
        <v>0.25</v>
      </c>
      <c r="C56" s="23" t="n">
        <v>0.4</v>
      </c>
      <c r="D56" s="12">
        <f>B56*C56</f>
        <v/>
      </c>
      <c r="E56" s="22" t="inlineStr">
        <is>
          <t>Design depth=MIN(0.142,0.10)=0.10ft (STORAGE-LIMITED)</t>
        </is>
      </c>
    </row>
    <row r="57">
      <c r="A57" s="22" t="inlineStr">
        <is>
          <t>Bioswale</t>
        </is>
      </c>
      <c r="B57" s="23" t="n">
        <v>0.25</v>
      </c>
      <c r="C57" s="23" t="n">
        <v>0.4</v>
      </c>
      <c r="D57" s="12">
        <f>B57*C57</f>
        <v/>
      </c>
      <c r="E57" s="22" t="inlineStr">
        <is>
          <t>Same as bioretention</t>
        </is>
      </c>
    </row>
    <row r="58">
      <c r="A58" s="22" t="inlineStr">
        <is>
          <t>Green Roof</t>
        </is>
      </c>
      <c r="B58" s="23" t="n"/>
      <c r="C58" s="23" t="n"/>
      <c r="D58" s="22" t="inlineStr">
        <is>
          <t>—</t>
        </is>
      </c>
      <c r="E58" s="22" t="inlineStr">
        <is>
          <t>Use 1-in effective per EISA guidance Appendix D</t>
        </is>
      </c>
    </row>
    <row r="59">
      <c r="A59" s="22" t="inlineStr">
        <is>
          <t>Cistern</t>
        </is>
      </c>
      <c r="B59" s="23" t="n"/>
      <c r="C59" s="23" t="n"/>
      <c r="D59" s="22" t="inlineStr">
        <is>
          <t>—</t>
        </is>
      </c>
      <c r="E59" s="22" t="inlineStr">
        <is>
          <t>Full cistern volume — demand-limited sizing</t>
        </is>
      </c>
    </row>
  </sheetData>
  <mergeCells count="26">
    <mergeCell ref="A24:E24"/>
    <mergeCell ref="D34:E34"/>
    <mergeCell ref="A1:E1"/>
    <mergeCell ref="D36:E36"/>
    <mergeCell ref="D6:E6"/>
    <mergeCell ref="D27:E27"/>
    <mergeCell ref="A41:E41"/>
    <mergeCell ref="A3:E3"/>
    <mergeCell ref="A21:E21"/>
    <mergeCell ref="D7:E7"/>
    <mergeCell ref="D37:E37"/>
    <mergeCell ref="D28:E28"/>
    <mergeCell ref="D4:E4"/>
    <mergeCell ref="A32:E32"/>
    <mergeCell ref="A22:E22"/>
    <mergeCell ref="D39:E39"/>
    <mergeCell ref="D8:E8"/>
    <mergeCell ref="A53:E53"/>
    <mergeCell ref="A20:E20"/>
    <mergeCell ref="D30:E30"/>
    <mergeCell ref="A10:E10"/>
    <mergeCell ref="D29:E29"/>
    <mergeCell ref="D5:E5"/>
    <mergeCell ref="D38:E38"/>
    <mergeCell ref="D26:E26"/>
    <mergeCell ref="D35:E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7" customWidth="1" min="35" max="35"/>
    <col width="9" customWidth="1" min="36" max="36"/>
    <col width="9" customWidth="1" min="37" max="37"/>
    <col width="11" customWidth="1" min="38" max="38"/>
    <col width="11" customWidth="1" min="39" max="39"/>
    <col width="11" customWidth="1" min="40" max="40"/>
  </cols>
  <sheetData>
    <row r="1" ht="24" customHeight="1">
      <c r="A1" s="9" t="inlineStr">
        <is>
          <t>DRAINAGE AREA — LAND USE &amp; SOIL BREAKDOWN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1" t="n"/>
    </row>
    <row r="2" ht="22" customHeight="1">
      <c r="A2" s="3" t="inlineStr">
        <is>
          <t>Site / DA</t>
        </is>
      </c>
      <c r="B2" s="4" t="n"/>
      <c r="C2" s="5" t="n"/>
      <c r="D2" s="3" t="inlineStr">
        <is>
          <t>DOEE Land Use (acres)</t>
        </is>
      </c>
      <c r="E2" s="4" t="n"/>
      <c r="F2" s="4" t="n"/>
      <c r="G2" s="4" t="n"/>
      <c r="H2" s="5" t="n"/>
      <c r="I2" s="19" t="inlineStr">
        <is>
          <t>EISA Existing Conditions (SF)</t>
        </is>
      </c>
      <c r="J2" s="25" t="n"/>
      <c r="K2" s="25" t="n"/>
      <c r="L2" s="25" t="n"/>
      <c r="M2" s="25" t="n"/>
      <c r="N2" s="25" t="n"/>
      <c r="O2" s="25" t="n"/>
      <c r="P2" s="25" t="n"/>
      <c r="Q2" s="25" t="n"/>
      <c r="R2" s="25" t="n"/>
      <c r="S2" s="25" t="n"/>
      <c r="T2" s="25" t="n"/>
      <c r="U2" s="26" t="n"/>
      <c r="V2" s="19" t="inlineStr">
        <is>
          <t>EISA Proposed Conditions (SF)</t>
        </is>
      </c>
      <c r="W2" s="25" t="n"/>
      <c r="X2" s="25" t="n"/>
      <c r="Y2" s="25" t="n"/>
      <c r="Z2" s="25" t="n"/>
      <c r="AA2" s="25" t="n"/>
      <c r="AB2" s="25" t="n"/>
      <c r="AC2" s="25" t="n"/>
      <c r="AD2" s="25" t="n"/>
      <c r="AE2" s="25" t="n"/>
      <c r="AF2" s="25" t="n"/>
      <c r="AG2" s="25" t="n"/>
      <c r="AH2" s="26" t="n"/>
      <c r="AI2" s="3" t="inlineStr">
        <is>
          <t>DOEE SWRv Calcs</t>
        </is>
      </c>
      <c r="AJ2" s="4" t="n"/>
      <c r="AK2" s="4" t="n"/>
      <c r="AL2" s="5" t="n"/>
      <c r="AM2" s="19" t="inlineStr">
        <is>
          <t>EISA Runoff Calcs</t>
        </is>
      </c>
      <c r="AN2" s="26" t="n"/>
    </row>
    <row r="3" ht="22" customHeight="1">
      <c r="A3" s="9" t="inlineStr"/>
      <c r="B3" s="9" t="inlineStr"/>
      <c r="C3" s="9" t="inlineStr"/>
      <c r="D3" s="3" t="inlineStr"/>
      <c r="E3" s="3" t="inlineStr"/>
      <c r="F3" s="3" t="inlineStr"/>
      <c r="G3" s="3" t="inlineStr"/>
      <c r="H3" s="3" t="inlineStr"/>
      <c r="I3" s="16" t="inlineStr">
        <is>
          <t>Ex Impervious</t>
        </is>
      </c>
      <c r="J3" s="19" t="inlineStr">
        <is>
          <t>Ex Woods  (HSG A/B/C/D)</t>
        </is>
      </c>
      <c r="K3" s="25" t="n"/>
      <c r="L3" s="25" t="n"/>
      <c r="M3" s="26" t="n"/>
      <c r="N3" s="19" t="inlineStr">
        <is>
          <t>Ex BMP / Pervious  (HSG A/B/C/D)</t>
        </is>
      </c>
      <c r="O3" s="25" t="n"/>
      <c r="P3" s="25" t="n"/>
      <c r="Q3" s="26" t="n"/>
      <c r="R3" s="19" t="inlineStr">
        <is>
          <t>Ex Compact / Open Space  (HSG A/B/C/D)</t>
        </is>
      </c>
      <c r="S3" s="25" t="n"/>
      <c r="T3" s="25" t="n"/>
      <c r="U3" s="26" t="n"/>
      <c r="V3" s="16" t="inlineStr">
        <is>
          <t>Prop Impervious</t>
        </is>
      </c>
      <c r="W3" s="19" t="inlineStr">
        <is>
          <t>Prop Woods  (HSG A/B/C/D)</t>
        </is>
      </c>
      <c r="X3" s="25" t="n"/>
      <c r="Y3" s="25" t="n"/>
      <c r="Z3" s="26" t="n"/>
      <c r="AA3" s="19" t="inlineStr">
        <is>
          <t>Prop BMP / Pervious  (HSG A/B/C/D)</t>
        </is>
      </c>
      <c r="AB3" s="25" t="n"/>
      <c r="AC3" s="25" t="n"/>
      <c r="AD3" s="26" t="n"/>
      <c r="AE3" s="19" t="inlineStr">
        <is>
          <t>Prop Compact / Open Space  (HSG A/B/C/D)</t>
        </is>
      </c>
      <c r="AF3" s="25" t="n"/>
      <c r="AG3" s="25" t="n"/>
      <c r="AH3" s="26" t="n"/>
      <c r="AI3" s="3" t="inlineStr"/>
      <c r="AJ3" s="3" t="inlineStr"/>
      <c r="AK3" s="3" t="inlineStr"/>
      <c r="AL3" s="3" t="inlineStr"/>
      <c r="AM3" s="19" t="inlineStr"/>
      <c r="AN3" s="19" t="inlineStr"/>
    </row>
    <row r="4" ht="40" customHeight="1">
      <c r="A4" s="29" t="inlineStr">
        <is>
          <t>DA Name</t>
        </is>
      </c>
      <c r="B4" s="29" t="inlineStr">
        <is>
          <t>Total
Area (SF)</t>
        </is>
      </c>
      <c r="C4" s="29" t="inlineStr">
        <is>
          <t>DOEE
Trigger</t>
        </is>
      </c>
      <c r="D4" s="29" t="inlineStr">
        <is>
          <t>Imp
(ac)</t>
        </is>
      </c>
      <c r="E4" s="29" t="inlineStr">
        <is>
          <t>Imp Veh
(ac)</t>
        </is>
      </c>
      <c r="F4" s="29" t="inlineStr">
        <is>
          <t>Comp
(ac)</t>
        </is>
      </c>
      <c r="G4" s="29" t="inlineStr">
        <is>
          <t>Natural
(ac)</t>
        </is>
      </c>
      <c r="H4" s="29" t="inlineStr">
        <is>
          <t>BMP
(ac)</t>
        </is>
      </c>
      <c r="I4" s="27" t="inlineStr">
        <is>
          <t>Ex Imp
(SF)</t>
        </is>
      </c>
      <c r="J4" s="27" t="inlineStr">
        <is>
          <t>Ex Woods
HSG-A (SF)</t>
        </is>
      </c>
      <c r="K4" s="27" t="inlineStr">
        <is>
          <t>Ex Woods
HSG-B (SF)</t>
        </is>
      </c>
      <c r="L4" s="27" t="inlineStr">
        <is>
          <t>Ex Woods
HSG-C (SF)</t>
        </is>
      </c>
      <c r="M4" s="27" t="inlineStr">
        <is>
          <t>Ex Woods
HSG-D (SF)</t>
        </is>
      </c>
      <c r="N4" s="27" t="inlineStr">
        <is>
          <t>Ex BMP
HSG-A (SF)</t>
        </is>
      </c>
      <c r="O4" s="27" t="inlineStr">
        <is>
          <t>Ex BMP
HSG-B (SF)</t>
        </is>
      </c>
      <c r="P4" s="27" t="inlineStr">
        <is>
          <t>Ex BMP
HSG-C (SF)</t>
        </is>
      </c>
      <c r="Q4" s="27" t="inlineStr">
        <is>
          <t>Ex BMP
HSG-D (SF)</t>
        </is>
      </c>
      <c r="R4" s="27" t="inlineStr">
        <is>
          <t>Ex Comp
HSG-A (SF)</t>
        </is>
      </c>
      <c r="S4" s="27" t="inlineStr">
        <is>
          <t>Ex Comp
HSG-B (SF)</t>
        </is>
      </c>
      <c r="T4" s="27" t="inlineStr">
        <is>
          <t>Ex Comp
HSG-C (SF)</t>
        </is>
      </c>
      <c r="U4" s="27" t="inlineStr">
        <is>
          <t>Ex Comp
HSG-D (SF)</t>
        </is>
      </c>
      <c r="V4" s="27" t="inlineStr">
        <is>
          <t>Prop Imp
(SF)</t>
        </is>
      </c>
      <c r="W4" s="27" t="inlineStr">
        <is>
          <t>Prop Woods
HSG-A (SF)</t>
        </is>
      </c>
      <c r="X4" s="27" t="inlineStr">
        <is>
          <t>Prop Woods
HSG-B (SF)</t>
        </is>
      </c>
      <c r="Y4" s="27" t="inlineStr">
        <is>
          <t>Prop Woods
HSG-C (SF)</t>
        </is>
      </c>
      <c r="Z4" s="27" t="inlineStr">
        <is>
          <t>Prop Woods
HSG-D (SF)</t>
        </is>
      </c>
      <c r="AA4" s="27" t="inlineStr">
        <is>
          <t>Prop BMP
HSG-A (SF)</t>
        </is>
      </c>
      <c r="AB4" s="27" t="inlineStr">
        <is>
          <t>Prop BMP
HSG-B (SF)</t>
        </is>
      </c>
      <c r="AC4" s="27" t="inlineStr">
        <is>
          <t>Prop BMP
HSG-C (SF)</t>
        </is>
      </c>
      <c r="AD4" s="27" t="inlineStr">
        <is>
          <t>Prop BMP
HSG-D (SF)</t>
        </is>
      </c>
      <c r="AE4" s="27" t="inlineStr">
        <is>
          <t>Prop Comp
HSG-A (SF)</t>
        </is>
      </c>
      <c r="AF4" s="27" t="inlineStr">
        <is>
          <t>Prop Comp
HSG-B (SF)</t>
        </is>
      </c>
      <c r="AG4" s="27" t="inlineStr">
        <is>
          <t>Prop Comp
HSG-C (SF)</t>
        </is>
      </c>
      <c r="AH4" s="27" t="inlineStr">
        <is>
          <t>Prop Comp
HSG-D (SF)</t>
        </is>
      </c>
      <c r="AI4" s="29" t="inlineStr">
        <is>
          <t>DOEE P
(in)</t>
        </is>
      </c>
      <c r="AJ4" s="29" t="inlineStr">
        <is>
          <t>SWRv Imp
(ft3)</t>
        </is>
      </c>
      <c r="AK4" s="29" t="inlineStr">
        <is>
          <t>SWRv Comp
(ft3)</t>
        </is>
      </c>
      <c r="AL4" s="29" t="inlineStr">
        <is>
          <t>SWRv Total
(ft3)</t>
        </is>
      </c>
      <c r="AM4" s="27" t="inlineStr">
        <is>
          <t>Pre-dev
Runoff (ft3)</t>
        </is>
      </c>
      <c r="AN4" s="27" t="inlineStr">
        <is>
          <t>Prop Cond
Runoff (ft3)</t>
        </is>
      </c>
    </row>
    <row r="5" ht="26" customHeight="1">
      <c r="A5" s="6" t="inlineStr">
        <is>
          <t>CURVE NUMBERS (CN) — edit per project soil survey:</t>
        </is>
      </c>
      <c r="B5" s="28" t="n"/>
      <c r="C5" s="28" t="n"/>
      <c r="D5" s="28" t="n"/>
      <c r="E5" s="28" t="n"/>
      <c r="F5" s="28" t="n"/>
      <c r="G5" s="28" t="n"/>
      <c r="H5" s="24" t="n"/>
      <c r="I5" s="30" t="inlineStr">
        <is>
          <t>CN=98
(fixed)</t>
        </is>
      </c>
      <c r="J5" s="31" t="n">
        <v>25</v>
      </c>
      <c r="K5" s="31" t="n">
        <v>55</v>
      </c>
      <c r="L5" s="31" t="n">
        <v>70</v>
      </c>
      <c r="M5" s="31" t="n">
        <v>77</v>
      </c>
      <c r="N5" s="31" t="n">
        <v>39</v>
      </c>
      <c r="O5" s="31" t="n">
        <v>61</v>
      </c>
      <c r="P5" s="31" t="n">
        <v>74</v>
      </c>
      <c r="Q5" s="31" t="n">
        <v>80</v>
      </c>
      <c r="R5" s="31" t="n">
        <v>49</v>
      </c>
      <c r="S5" s="31" t="n">
        <v>69</v>
      </c>
      <c r="T5" s="31" t="n">
        <v>79</v>
      </c>
      <c r="U5" s="31" t="n">
        <v>84</v>
      </c>
      <c r="V5" s="30" t="inlineStr">
        <is>
          <t>CN=98
(fixed)</t>
        </is>
      </c>
      <c r="W5" s="12">
        <f>J5</f>
        <v/>
      </c>
      <c r="X5" s="12">
        <f>K5</f>
        <v/>
      </c>
      <c r="Y5" s="12">
        <f>L5</f>
        <v/>
      </c>
      <c r="Z5" s="12">
        <f>M5</f>
        <v/>
      </c>
      <c r="AA5" s="12">
        <f>N5</f>
        <v/>
      </c>
      <c r="AB5" s="12">
        <f>O5</f>
        <v/>
      </c>
      <c r="AC5" s="12">
        <f>P5</f>
        <v/>
      </c>
      <c r="AD5" s="12">
        <f>Q5</f>
        <v/>
      </c>
      <c r="AE5" s="12">
        <f>R5</f>
        <v/>
      </c>
      <c r="AF5" s="12">
        <f>S5</f>
        <v/>
      </c>
      <c r="AG5" s="12">
        <f>T5</f>
        <v/>
      </c>
      <c r="AH5" s="12">
        <f>U5</f>
        <v/>
      </c>
      <c r="AI5" s="22" t="inlineStr">
        <is>
          <t>↑ see above</t>
        </is>
      </c>
      <c r="AJ5" s="22" t="inlineStr">
        <is>
          <t>↑ see above</t>
        </is>
      </c>
      <c r="AK5" s="22" t="inlineStr">
        <is>
          <t>↑ see above</t>
        </is>
      </c>
      <c r="AL5" s="22" t="inlineStr">
        <is>
          <t>↑ see above</t>
        </is>
      </c>
      <c r="AM5" s="22" t="inlineStr">
        <is>
          <t>↑ SCS</t>
        </is>
      </c>
      <c r="AN5" s="22" t="inlineStr">
        <is>
          <t>↑ SCS</t>
        </is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12">
        <f>IFERROR(IFS(C6="MLD",'5-Parameters'!$B$4,C6="MSI",'5-Parameters'!$B$5,C6="MSI-AWDZ",'5-Parameters'!$B$6,TRUE,"N/A"),"")</f>
        <v/>
      </c>
      <c r="AJ6" s="12">
        <f>IFERROR(IF(C6="","",AI6/12*0.95*(D6+E6+H6)*43560),"")</f>
        <v/>
      </c>
      <c r="AK6" s="12">
        <f>IFERROR(IF(C6="","",AI6/12*0.25*F6*43560),"")</f>
        <v/>
      </c>
      <c r="AL6" s="12">
        <f>IFERROR(IF(C6="","",AJ6+AK6),"")</f>
        <v/>
      </c>
      <c r="AM6" s="12">
        <f>IFERROR((I6*MAX(0,IF('5-Parameters'!$B$8&gt;0.2*(1000/98-10),('5-Parameters'!$B$8-0.2*(1000/98-10))^2/('5-Parameters'!$B$8+0.8*(1000/98-10)),0))+J6*MAX(0,IF('5-Parameters'!$B$8&gt;0.2*(1000/$J$5-10),('5-Parameters'!$B$8-0.2*(1000/$J$5-10))^2/('5-Parameters'!$B$8+0.8*(1000/$J$5-10)),0))+K6*MAX(0,IF('5-Parameters'!$B$8&gt;0.2*(1000/$K$5-10),('5-Parameters'!$B$8-0.2*(1000/$K$5-10))^2/('5-Parameters'!$B$8+0.8*(1000/$K$5-10)),0))+L6*MAX(0,IF('5-Parameters'!$B$8&gt;0.2*(1000/$L$5-10),('5-Parameters'!$B$8-0.2*(1000/$L$5-10))^2/('5-Parameters'!$B$8+0.8*(1000/$L$5-10)),0))+M6*MAX(0,IF('5-Parameters'!$B$8&gt;0.2*(1000/$M$5-10),('5-Parameters'!$B$8-0.2*(1000/$M$5-10))^2/('5-Parameters'!$B$8+0.8*(1000/$M$5-10)),0))+N6*MAX(0,IF('5-Parameters'!$B$8&gt;0.2*(1000/$N$5-10),('5-Parameters'!$B$8-0.2*(1000/$N$5-10))^2/('5-Parameters'!$B$8+0.8*(1000/$N$5-10)),0))+O6*MAX(0,IF('5-Parameters'!$B$8&gt;0.2*(1000/$O$5-10),('5-Parameters'!$B$8-0.2*(1000/$O$5-10))^2/('5-Parameters'!$B$8+0.8*(1000/$O$5-10)),0))+P6*MAX(0,IF('5-Parameters'!$B$8&gt;0.2*(1000/$P$5-10),('5-Parameters'!$B$8-0.2*(1000/$P$5-10))^2/('5-Parameters'!$B$8+0.8*(1000/$P$5-10)),0))+Q6*MAX(0,IF('5-Parameters'!$B$8&gt;0.2*(1000/$Q$5-10),('5-Parameters'!$B$8-0.2*(1000/$Q$5-10))^2/('5-Parameters'!$B$8+0.8*(1000/$Q$5-10)),0))+R6*MAX(0,IF('5-Parameters'!$B$8&gt;0.2*(1000/$R$5-10),('5-Parameters'!$B$8-0.2*(1000/$R$5-10))^2/('5-Parameters'!$B$8+0.8*(1000/$R$5-10)),0))+S6*MAX(0,IF('5-Parameters'!$B$8&gt;0.2*(1000/$S$5-10),('5-Parameters'!$B$8-0.2*(1000/$S$5-10))^2/('5-Parameters'!$B$8+0.8*(1000/$S$5-10)),0))+T6*MAX(0,IF('5-Parameters'!$B$8&gt;0.2*(1000/$T$5-10),('5-Parameters'!$B$8-0.2*(1000/$T$5-10))^2/('5-Parameters'!$B$8+0.8*(1000/$T$5-10)),0))+U6*MAX(0,IF('5-Parameters'!$B$8&gt;0.2*(1000/$U$5-10),('5-Parameters'!$B$8-0.2*(1000/$U$5-10))^2/('5-Parameters'!$B$8+0.8*(1000/$U$5-10)),0)))/12,0)</f>
        <v/>
      </c>
      <c r="AN6" s="12">
        <f>IFERROR((V6*MAX(0,IF('5-Parameters'!$B$8&gt;0.2*(1000/98-10),('5-Parameters'!$B$8-0.2*(1000/98-10))^2/('5-Parameters'!$B$8+0.8*(1000/98-10)),0))+W6*MAX(0,IF('5-Parameters'!$B$8&gt;0.2*(1000/$W$5-10),('5-Parameters'!$B$8-0.2*(1000/$W$5-10))^2/('5-Parameters'!$B$8+0.8*(1000/$W$5-10)),0))+X6*MAX(0,IF('5-Parameters'!$B$8&gt;0.2*(1000/$X$5-10),('5-Parameters'!$B$8-0.2*(1000/$X$5-10))^2/('5-Parameters'!$B$8+0.8*(1000/$X$5-10)),0))+Y6*MAX(0,IF('5-Parameters'!$B$8&gt;0.2*(1000/$Y$5-10),('5-Parameters'!$B$8-0.2*(1000/$Y$5-10))^2/('5-Parameters'!$B$8+0.8*(1000/$Y$5-10)),0))+Z6*MAX(0,IF('5-Parameters'!$B$8&gt;0.2*(1000/$Z$5-10),('5-Parameters'!$B$8-0.2*(1000/$Z$5-10))^2/('5-Parameters'!$B$8+0.8*(1000/$Z$5-10)),0))+AA6*MAX(0,IF('5-Parameters'!$B$8&gt;0.2*(1000/$AA$5-10),('5-Parameters'!$B$8-0.2*(1000/$AA$5-10))^2/('5-Parameters'!$B$8+0.8*(1000/$AA$5-10)),0))+AB6*MAX(0,IF('5-Parameters'!$B$8&gt;0.2*(1000/$AB$5-10),('5-Parameters'!$B$8-0.2*(1000/$AB$5-10))^2/('5-Parameters'!$B$8+0.8*(1000/$AB$5-10)),0))+AC6*MAX(0,IF('5-Parameters'!$B$8&gt;0.2*(1000/$AC$5-10),('5-Parameters'!$B$8-0.2*(1000/$AC$5-10))^2/('5-Parameters'!$B$8+0.8*(1000/$AC$5-10)),0))+AD6*MAX(0,IF('5-Parameters'!$B$8&gt;0.2*(1000/$AD$5-10),('5-Parameters'!$B$8-0.2*(1000/$AD$5-10))^2/('5-Parameters'!$B$8+0.8*(1000/$AD$5-10)),0))+AE6*MAX(0,IF('5-Parameters'!$B$8&gt;0.2*(1000/$AE$5-10),('5-Parameters'!$B$8-0.2*(1000/$AE$5-10))^2/('5-Parameters'!$B$8+0.8*(1000/$AE$5-10)),0))+AF6*MAX(0,IF('5-Parameters'!$B$8&gt;0.2*(1000/$AF$5-10),('5-Parameters'!$B$8-0.2*(1000/$AF$5-10))^2/('5-Parameters'!$B$8+0.8*(1000/$AF$5-10)),0))+AG6*MAX(0,IF('5-Parameters'!$B$8&gt;0.2*(1000/$AG$5-10),('5-Parameters'!$B$8-0.2*(1000/$AG$5-10))^2/('5-Parameters'!$B$8+0.8*(1000/$AG$5-10)),0))+AH6*MAX(0,IF('5-Parameters'!$B$8&gt;0.2*(1000/$AH$5-10),('5-Parameters'!$B$8-0.2*(1000/$AH$5-10))^2/('5-Parameters'!$B$8+0.8*(1000/$AH$5-10)),0)))/12,0)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12">
        <f>IFERROR(IFS(C7="MLD",'5-Parameters'!$B$4,C7="MSI",'5-Parameters'!$B$5,C7="MSI-AWDZ",'5-Parameters'!$B$6,TRUE,"N/A"),"")</f>
        <v/>
      </c>
      <c r="AJ7" s="12">
        <f>IFERROR(IF(C7="","",AI7/12*0.95*(D7+E7+H7)*43560),"")</f>
        <v/>
      </c>
      <c r="AK7" s="12">
        <f>IFERROR(IF(C7="","",AI7/12*0.25*F7*43560),"")</f>
        <v/>
      </c>
      <c r="AL7" s="12">
        <f>IFERROR(IF(C7="","",AJ7+AK7),"")</f>
        <v/>
      </c>
      <c r="AM7" s="12">
        <f>IFERROR((I7*MAX(0,IF('5-Parameters'!$B$8&gt;0.2*(1000/98-10),('5-Parameters'!$B$8-0.2*(1000/98-10))^2/('5-Parameters'!$B$8+0.8*(1000/98-10)),0))+J7*MAX(0,IF('5-Parameters'!$B$8&gt;0.2*(1000/$J$5-10),('5-Parameters'!$B$8-0.2*(1000/$J$5-10))^2/('5-Parameters'!$B$8+0.8*(1000/$J$5-10)),0))+K7*MAX(0,IF('5-Parameters'!$B$8&gt;0.2*(1000/$K$5-10),('5-Parameters'!$B$8-0.2*(1000/$K$5-10))^2/('5-Parameters'!$B$8+0.8*(1000/$K$5-10)),0))+L7*MAX(0,IF('5-Parameters'!$B$8&gt;0.2*(1000/$L$5-10),('5-Parameters'!$B$8-0.2*(1000/$L$5-10))^2/('5-Parameters'!$B$8+0.8*(1000/$L$5-10)),0))+M7*MAX(0,IF('5-Parameters'!$B$8&gt;0.2*(1000/$M$5-10),('5-Parameters'!$B$8-0.2*(1000/$M$5-10))^2/('5-Parameters'!$B$8+0.8*(1000/$M$5-10)),0))+N7*MAX(0,IF('5-Parameters'!$B$8&gt;0.2*(1000/$N$5-10),('5-Parameters'!$B$8-0.2*(1000/$N$5-10))^2/('5-Parameters'!$B$8+0.8*(1000/$N$5-10)),0))+O7*MAX(0,IF('5-Parameters'!$B$8&gt;0.2*(1000/$O$5-10),('5-Parameters'!$B$8-0.2*(1000/$O$5-10))^2/('5-Parameters'!$B$8+0.8*(1000/$O$5-10)),0))+P7*MAX(0,IF('5-Parameters'!$B$8&gt;0.2*(1000/$P$5-10),('5-Parameters'!$B$8-0.2*(1000/$P$5-10))^2/('5-Parameters'!$B$8+0.8*(1000/$P$5-10)),0))+Q7*MAX(0,IF('5-Parameters'!$B$8&gt;0.2*(1000/$Q$5-10),('5-Parameters'!$B$8-0.2*(1000/$Q$5-10))^2/('5-Parameters'!$B$8+0.8*(1000/$Q$5-10)),0))+R7*MAX(0,IF('5-Parameters'!$B$8&gt;0.2*(1000/$R$5-10),('5-Parameters'!$B$8-0.2*(1000/$R$5-10))^2/('5-Parameters'!$B$8+0.8*(1000/$R$5-10)),0))+S7*MAX(0,IF('5-Parameters'!$B$8&gt;0.2*(1000/$S$5-10),('5-Parameters'!$B$8-0.2*(1000/$S$5-10))^2/('5-Parameters'!$B$8+0.8*(1000/$S$5-10)),0))+T7*MAX(0,IF('5-Parameters'!$B$8&gt;0.2*(1000/$T$5-10),('5-Parameters'!$B$8-0.2*(1000/$T$5-10))^2/('5-Parameters'!$B$8+0.8*(1000/$T$5-10)),0))+U7*MAX(0,IF('5-Parameters'!$B$8&gt;0.2*(1000/$U$5-10),('5-Parameters'!$B$8-0.2*(1000/$U$5-10))^2/('5-Parameters'!$B$8+0.8*(1000/$U$5-10)),0)))/12,0)</f>
        <v/>
      </c>
      <c r="AN7" s="12">
        <f>IFERROR((V7*MAX(0,IF('5-Parameters'!$B$8&gt;0.2*(1000/98-10),('5-Parameters'!$B$8-0.2*(1000/98-10))^2/('5-Parameters'!$B$8+0.8*(1000/98-10)),0))+W7*MAX(0,IF('5-Parameters'!$B$8&gt;0.2*(1000/$W$5-10),('5-Parameters'!$B$8-0.2*(1000/$W$5-10))^2/('5-Parameters'!$B$8+0.8*(1000/$W$5-10)),0))+X7*MAX(0,IF('5-Parameters'!$B$8&gt;0.2*(1000/$X$5-10),('5-Parameters'!$B$8-0.2*(1000/$X$5-10))^2/('5-Parameters'!$B$8+0.8*(1000/$X$5-10)),0))+Y7*MAX(0,IF('5-Parameters'!$B$8&gt;0.2*(1000/$Y$5-10),('5-Parameters'!$B$8-0.2*(1000/$Y$5-10))^2/('5-Parameters'!$B$8+0.8*(1000/$Y$5-10)),0))+Z7*MAX(0,IF('5-Parameters'!$B$8&gt;0.2*(1000/$Z$5-10),('5-Parameters'!$B$8-0.2*(1000/$Z$5-10))^2/('5-Parameters'!$B$8+0.8*(1000/$Z$5-10)),0))+AA7*MAX(0,IF('5-Parameters'!$B$8&gt;0.2*(1000/$AA$5-10),('5-Parameters'!$B$8-0.2*(1000/$AA$5-10))^2/('5-Parameters'!$B$8+0.8*(1000/$AA$5-10)),0))+AB7*MAX(0,IF('5-Parameters'!$B$8&gt;0.2*(1000/$AB$5-10),('5-Parameters'!$B$8-0.2*(1000/$AB$5-10))^2/('5-Parameters'!$B$8+0.8*(1000/$AB$5-10)),0))+AC7*MAX(0,IF('5-Parameters'!$B$8&gt;0.2*(1000/$AC$5-10),('5-Parameters'!$B$8-0.2*(1000/$AC$5-10))^2/('5-Parameters'!$B$8+0.8*(1000/$AC$5-10)),0))+AD7*MAX(0,IF('5-Parameters'!$B$8&gt;0.2*(1000/$AD$5-10),('5-Parameters'!$B$8-0.2*(1000/$AD$5-10))^2/('5-Parameters'!$B$8+0.8*(1000/$AD$5-10)),0))+AE7*MAX(0,IF('5-Parameters'!$B$8&gt;0.2*(1000/$AE$5-10),('5-Parameters'!$B$8-0.2*(1000/$AE$5-10))^2/('5-Parameters'!$B$8+0.8*(1000/$AE$5-10)),0))+AF7*MAX(0,IF('5-Parameters'!$B$8&gt;0.2*(1000/$AF$5-10),('5-Parameters'!$B$8-0.2*(1000/$AF$5-10))^2/('5-Parameters'!$B$8+0.8*(1000/$AF$5-10)),0))+AG7*MAX(0,IF('5-Parameters'!$B$8&gt;0.2*(1000/$AG$5-10),('5-Parameters'!$B$8-0.2*(1000/$AG$5-10))^2/('5-Parameters'!$B$8+0.8*(1000/$AG$5-10)),0))+AH7*MAX(0,IF('5-Parameters'!$B$8&gt;0.2*(1000/$AH$5-10),('5-Parameters'!$B$8-0.2*(1000/$AH$5-10))^2/('5-Parameters'!$B$8+0.8*(1000/$AH$5-10)),0)))/12,0)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12">
        <f>IFERROR(IFS(C8="MLD",'5-Parameters'!$B$4,C8="MSI",'5-Parameters'!$B$5,C8="MSI-AWDZ",'5-Parameters'!$B$6,TRUE,"N/A"),"")</f>
        <v/>
      </c>
      <c r="AJ8" s="12">
        <f>IFERROR(IF(C8="","",AI8/12*0.95*(D8+E8+H8)*43560),"")</f>
        <v/>
      </c>
      <c r="AK8" s="12">
        <f>IFERROR(IF(C8="","",AI8/12*0.25*F8*43560),"")</f>
        <v/>
      </c>
      <c r="AL8" s="12">
        <f>IFERROR(IF(C8="","",AJ8+AK8),"")</f>
        <v/>
      </c>
      <c r="AM8" s="12">
        <f>IFERROR((I8*MAX(0,IF('5-Parameters'!$B$8&gt;0.2*(1000/98-10),('5-Parameters'!$B$8-0.2*(1000/98-10))^2/('5-Parameters'!$B$8+0.8*(1000/98-10)),0))+J8*MAX(0,IF('5-Parameters'!$B$8&gt;0.2*(1000/$J$5-10),('5-Parameters'!$B$8-0.2*(1000/$J$5-10))^2/('5-Parameters'!$B$8+0.8*(1000/$J$5-10)),0))+K8*MAX(0,IF('5-Parameters'!$B$8&gt;0.2*(1000/$K$5-10),('5-Parameters'!$B$8-0.2*(1000/$K$5-10))^2/('5-Parameters'!$B$8+0.8*(1000/$K$5-10)),0))+L8*MAX(0,IF('5-Parameters'!$B$8&gt;0.2*(1000/$L$5-10),('5-Parameters'!$B$8-0.2*(1000/$L$5-10))^2/('5-Parameters'!$B$8+0.8*(1000/$L$5-10)),0))+M8*MAX(0,IF('5-Parameters'!$B$8&gt;0.2*(1000/$M$5-10),('5-Parameters'!$B$8-0.2*(1000/$M$5-10))^2/('5-Parameters'!$B$8+0.8*(1000/$M$5-10)),0))+N8*MAX(0,IF('5-Parameters'!$B$8&gt;0.2*(1000/$N$5-10),('5-Parameters'!$B$8-0.2*(1000/$N$5-10))^2/('5-Parameters'!$B$8+0.8*(1000/$N$5-10)),0))+O8*MAX(0,IF('5-Parameters'!$B$8&gt;0.2*(1000/$O$5-10),('5-Parameters'!$B$8-0.2*(1000/$O$5-10))^2/('5-Parameters'!$B$8+0.8*(1000/$O$5-10)),0))+P8*MAX(0,IF('5-Parameters'!$B$8&gt;0.2*(1000/$P$5-10),('5-Parameters'!$B$8-0.2*(1000/$P$5-10))^2/('5-Parameters'!$B$8+0.8*(1000/$P$5-10)),0))+Q8*MAX(0,IF('5-Parameters'!$B$8&gt;0.2*(1000/$Q$5-10),('5-Parameters'!$B$8-0.2*(1000/$Q$5-10))^2/('5-Parameters'!$B$8+0.8*(1000/$Q$5-10)),0))+R8*MAX(0,IF('5-Parameters'!$B$8&gt;0.2*(1000/$R$5-10),('5-Parameters'!$B$8-0.2*(1000/$R$5-10))^2/('5-Parameters'!$B$8+0.8*(1000/$R$5-10)),0))+S8*MAX(0,IF('5-Parameters'!$B$8&gt;0.2*(1000/$S$5-10),('5-Parameters'!$B$8-0.2*(1000/$S$5-10))^2/('5-Parameters'!$B$8+0.8*(1000/$S$5-10)),0))+T8*MAX(0,IF('5-Parameters'!$B$8&gt;0.2*(1000/$T$5-10),('5-Parameters'!$B$8-0.2*(1000/$T$5-10))^2/('5-Parameters'!$B$8+0.8*(1000/$T$5-10)),0))+U8*MAX(0,IF('5-Parameters'!$B$8&gt;0.2*(1000/$U$5-10),('5-Parameters'!$B$8-0.2*(1000/$U$5-10))^2/('5-Parameters'!$B$8+0.8*(1000/$U$5-10)),0)))/12,0)</f>
        <v/>
      </c>
      <c r="AN8" s="12">
        <f>IFERROR((V8*MAX(0,IF('5-Parameters'!$B$8&gt;0.2*(1000/98-10),('5-Parameters'!$B$8-0.2*(1000/98-10))^2/('5-Parameters'!$B$8+0.8*(1000/98-10)),0))+W8*MAX(0,IF('5-Parameters'!$B$8&gt;0.2*(1000/$W$5-10),('5-Parameters'!$B$8-0.2*(1000/$W$5-10))^2/('5-Parameters'!$B$8+0.8*(1000/$W$5-10)),0))+X8*MAX(0,IF('5-Parameters'!$B$8&gt;0.2*(1000/$X$5-10),('5-Parameters'!$B$8-0.2*(1000/$X$5-10))^2/('5-Parameters'!$B$8+0.8*(1000/$X$5-10)),0))+Y8*MAX(0,IF('5-Parameters'!$B$8&gt;0.2*(1000/$Y$5-10),('5-Parameters'!$B$8-0.2*(1000/$Y$5-10))^2/('5-Parameters'!$B$8+0.8*(1000/$Y$5-10)),0))+Z8*MAX(0,IF('5-Parameters'!$B$8&gt;0.2*(1000/$Z$5-10),('5-Parameters'!$B$8-0.2*(1000/$Z$5-10))^2/('5-Parameters'!$B$8+0.8*(1000/$Z$5-10)),0))+AA8*MAX(0,IF('5-Parameters'!$B$8&gt;0.2*(1000/$AA$5-10),('5-Parameters'!$B$8-0.2*(1000/$AA$5-10))^2/('5-Parameters'!$B$8+0.8*(1000/$AA$5-10)),0))+AB8*MAX(0,IF('5-Parameters'!$B$8&gt;0.2*(1000/$AB$5-10),('5-Parameters'!$B$8-0.2*(1000/$AB$5-10))^2/('5-Parameters'!$B$8+0.8*(1000/$AB$5-10)),0))+AC8*MAX(0,IF('5-Parameters'!$B$8&gt;0.2*(1000/$AC$5-10),('5-Parameters'!$B$8-0.2*(1000/$AC$5-10))^2/('5-Parameters'!$B$8+0.8*(1000/$AC$5-10)),0))+AD8*MAX(0,IF('5-Parameters'!$B$8&gt;0.2*(1000/$AD$5-10),('5-Parameters'!$B$8-0.2*(1000/$AD$5-10))^2/('5-Parameters'!$B$8+0.8*(1000/$AD$5-10)),0))+AE8*MAX(0,IF('5-Parameters'!$B$8&gt;0.2*(1000/$AE$5-10),('5-Parameters'!$B$8-0.2*(1000/$AE$5-10))^2/('5-Parameters'!$B$8+0.8*(1000/$AE$5-10)),0))+AF8*MAX(0,IF('5-Parameters'!$B$8&gt;0.2*(1000/$AF$5-10),('5-Parameters'!$B$8-0.2*(1000/$AF$5-10))^2/('5-Parameters'!$B$8+0.8*(1000/$AF$5-10)),0))+AG8*MAX(0,IF('5-Parameters'!$B$8&gt;0.2*(1000/$AG$5-10),('5-Parameters'!$B$8-0.2*(1000/$AG$5-10))^2/('5-Parameters'!$B$8+0.8*(1000/$AG$5-10)),0))+AH8*MAX(0,IF('5-Parameters'!$B$8&gt;0.2*(1000/$AH$5-10),('5-Parameters'!$B$8-0.2*(1000/$AH$5-10))^2/('5-Parameters'!$B$8+0.8*(1000/$AH$5-10)),0)))/12,0)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12">
        <f>IFERROR(IFS(C9="MLD",'5-Parameters'!$B$4,C9="MSI",'5-Parameters'!$B$5,C9="MSI-AWDZ",'5-Parameters'!$B$6,TRUE,"N/A"),"")</f>
        <v/>
      </c>
      <c r="AJ9" s="12">
        <f>IFERROR(IF(C9="","",AI9/12*0.95*(D9+E9+H9)*43560),"")</f>
        <v/>
      </c>
      <c r="AK9" s="12">
        <f>IFERROR(IF(C9="","",AI9/12*0.25*F9*43560),"")</f>
        <v/>
      </c>
      <c r="AL9" s="12">
        <f>IFERROR(IF(C9="","",AJ9+AK9),"")</f>
        <v/>
      </c>
      <c r="AM9" s="12">
        <f>IFERROR((I9*MAX(0,IF('5-Parameters'!$B$8&gt;0.2*(1000/98-10),('5-Parameters'!$B$8-0.2*(1000/98-10))^2/('5-Parameters'!$B$8+0.8*(1000/98-10)),0))+J9*MAX(0,IF('5-Parameters'!$B$8&gt;0.2*(1000/$J$5-10),('5-Parameters'!$B$8-0.2*(1000/$J$5-10))^2/('5-Parameters'!$B$8+0.8*(1000/$J$5-10)),0))+K9*MAX(0,IF('5-Parameters'!$B$8&gt;0.2*(1000/$K$5-10),('5-Parameters'!$B$8-0.2*(1000/$K$5-10))^2/('5-Parameters'!$B$8+0.8*(1000/$K$5-10)),0))+L9*MAX(0,IF('5-Parameters'!$B$8&gt;0.2*(1000/$L$5-10),('5-Parameters'!$B$8-0.2*(1000/$L$5-10))^2/('5-Parameters'!$B$8+0.8*(1000/$L$5-10)),0))+M9*MAX(0,IF('5-Parameters'!$B$8&gt;0.2*(1000/$M$5-10),('5-Parameters'!$B$8-0.2*(1000/$M$5-10))^2/('5-Parameters'!$B$8+0.8*(1000/$M$5-10)),0))+N9*MAX(0,IF('5-Parameters'!$B$8&gt;0.2*(1000/$N$5-10),('5-Parameters'!$B$8-0.2*(1000/$N$5-10))^2/('5-Parameters'!$B$8+0.8*(1000/$N$5-10)),0))+O9*MAX(0,IF('5-Parameters'!$B$8&gt;0.2*(1000/$O$5-10),('5-Parameters'!$B$8-0.2*(1000/$O$5-10))^2/('5-Parameters'!$B$8+0.8*(1000/$O$5-10)),0))+P9*MAX(0,IF('5-Parameters'!$B$8&gt;0.2*(1000/$P$5-10),('5-Parameters'!$B$8-0.2*(1000/$P$5-10))^2/('5-Parameters'!$B$8+0.8*(1000/$P$5-10)),0))+Q9*MAX(0,IF('5-Parameters'!$B$8&gt;0.2*(1000/$Q$5-10),('5-Parameters'!$B$8-0.2*(1000/$Q$5-10))^2/('5-Parameters'!$B$8+0.8*(1000/$Q$5-10)),0))+R9*MAX(0,IF('5-Parameters'!$B$8&gt;0.2*(1000/$R$5-10),('5-Parameters'!$B$8-0.2*(1000/$R$5-10))^2/('5-Parameters'!$B$8+0.8*(1000/$R$5-10)),0))+S9*MAX(0,IF('5-Parameters'!$B$8&gt;0.2*(1000/$S$5-10),('5-Parameters'!$B$8-0.2*(1000/$S$5-10))^2/('5-Parameters'!$B$8+0.8*(1000/$S$5-10)),0))+T9*MAX(0,IF('5-Parameters'!$B$8&gt;0.2*(1000/$T$5-10),('5-Parameters'!$B$8-0.2*(1000/$T$5-10))^2/('5-Parameters'!$B$8+0.8*(1000/$T$5-10)),0))+U9*MAX(0,IF('5-Parameters'!$B$8&gt;0.2*(1000/$U$5-10),('5-Parameters'!$B$8-0.2*(1000/$U$5-10))^2/('5-Parameters'!$B$8+0.8*(1000/$U$5-10)),0)))/12,0)</f>
        <v/>
      </c>
      <c r="AN9" s="12">
        <f>IFERROR((V9*MAX(0,IF('5-Parameters'!$B$8&gt;0.2*(1000/98-10),('5-Parameters'!$B$8-0.2*(1000/98-10))^2/('5-Parameters'!$B$8+0.8*(1000/98-10)),0))+W9*MAX(0,IF('5-Parameters'!$B$8&gt;0.2*(1000/$W$5-10),('5-Parameters'!$B$8-0.2*(1000/$W$5-10))^2/('5-Parameters'!$B$8+0.8*(1000/$W$5-10)),0))+X9*MAX(0,IF('5-Parameters'!$B$8&gt;0.2*(1000/$X$5-10),('5-Parameters'!$B$8-0.2*(1000/$X$5-10))^2/('5-Parameters'!$B$8+0.8*(1000/$X$5-10)),0))+Y9*MAX(0,IF('5-Parameters'!$B$8&gt;0.2*(1000/$Y$5-10),('5-Parameters'!$B$8-0.2*(1000/$Y$5-10))^2/('5-Parameters'!$B$8+0.8*(1000/$Y$5-10)),0))+Z9*MAX(0,IF('5-Parameters'!$B$8&gt;0.2*(1000/$Z$5-10),('5-Parameters'!$B$8-0.2*(1000/$Z$5-10))^2/('5-Parameters'!$B$8+0.8*(1000/$Z$5-10)),0))+AA9*MAX(0,IF('5-Parameters'!$B$8&gt;0.2*(1000/$AA$5-10),('5-Parameters'!$B$8-0.2*(1000/$AA$5-10))^2/('5-Parameters'!$B$8+0.8*(1000/$AA$5-10)),0))+AB9*MAX(0,IF('5-Parameters'!$B$8&gt;0.2*(1000/$AB$5-10),('5-Parameters'!$B$8-0.2*(1000/$AB$5-10))^2/('5-Parameters'!$B$8+0.8*(1000/$AB$5-10)),0))+AC9*MAX(0,IF('5-Parameters'!$B$8&gt;0.2*(1000/$AC$5-10),('5-Parameters'!$B$8-0.2*(1000/$AC$5-10))^2/('5-Parameters'!$B$8+0.8*(1000/$AC$5-10)),0))+AD9*MAX(0,IF('5-Parameters'!$B$8&gt;0.2*(1000/$AD$5-10),('5-Parameters'!$B$8-0.2*(1000/$AD$5-10))^2/('5-Parameters'!$B$8+0.8*(1000/$AD$5-10)),0))+AE9*MAX(0,IF('5-Parameters'!$B$8&gt;0.2*(1000/$AE$5-10),('5-Parameters'!$B$8-0.2*(1000/$AE$5-10))^2/('5-Parameters'!$B$8+0.8*(1000/$AE$5-10)),0))+AF9*MAX(0,IF('5-Parameters'!$B$8&gt;0.2*(1000/$AF$5-10),('5-Parameters'!$B$8-0.2*(1000/$AF$5-10))^2/('5-Parameters'!$B$8+0.8*(1000/$AF$5-10)),0))+AG9*MAX(0,IF('5-Parameters'!$B$8&gt;0.2*(1000/$AG$5-10),('5-Parameters'!$B$8-0.2*(1000/$AG$5-10))^2/('5-Parameters'!$B$8+0.8*(1000/$AG$5-10)),0))+AH9*MAX(0,IF('5-Parameters'!$B$8&gt;0.2*(1000/$AH$5-10),('5-Parameters'!$B$8-0.2*(1000/$AH$5-10))^2/('5-Parameters'!$B$8+0.8*(1000/$AH$5-10)),0)))/12,0)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12">
        <f>IFERROR(IFS(C10="MLD",'5-Parameters'!$B$4,C10="MSI",'5-Parameters'!$B$5,C10="MSI-AWDZ",'5-Parameters'!$B$6,TRUE,"N/A"),"")</f>
        <v/>
      </c>
      <c r="AJ10" s="12">
        <f>IFERROR(IF(C10="","",AI10/12*0.95*(D10+E10+H10)*43560),"")</f>
        <v/>
      </c>
      <c r="AK10" s="12">
        <f>IFERROR(IF(C10="","",AI10/12*0.25*F10*43560),"")</f>
        <v/>
      </c>
      <c r="AL10" s="12">
        <f>IFERROR(IF(C10="","",AJ10+AK10),"")</f>
        <v/>
      </c>
      <c r="AM10" s="12">
        <f>IFERROR((I10*MAX(0,IF('5-Parameters'!$B$8&gt;0.2*(1000/98-10),('5-Parameters'!$B$8-0.2*(1000/98-10))^2/('5-Parameters'!$B$8+0.8*(1000/98-10)),0))+J10*MAX(0,IF('5-Parameters'!$B$8&gt;0.2*(1000/$J$5-10),('5-Parameters'!$B$8-0.2*(1000/$J$5-10))^2/('5-Parameters'!$B$8+0.8*(1000/$J$5-10)),0))+K10*MAX(0,IF('5-Parameters'!$B$8&gt;0.2*(1000/$K$5-10),('5-Parameters'!$B$8-0.2*(1000/$K$5-10))^2/('5-Parameters'!$B$8+0.8*(1000/$K$5-10)),0))+L10*MAX(0,IF('5-Parameters'!$B$8&gt;0.2*(1000/$L$5-10),('5-Parameters'!$B$8-0.2*(1000/$L$5-10))^2/('5-Parameters'!$B$8+0.8*(1000/$L$5-10)),0))+M10*MAX(0,IF('5-Parameters'!$B$8&gt;0.2*(1000/$M$5-10),('5-Parameters'!$B$8-0.2*(1000/$M$5-10))^2/('5-Parameters'!$B$8+0.8*(1000/$M$5-10)),0))+N10*MAX(0,IF('5-Parameters'!$B$8&gt;0.2*(1000/$N$5-10),('5-Parameters'!$B$8-0.2*(1000/$N$5-10))^2/('5-Parameters'!$B$8+0.8*(1000/$N$5-10)),0))+O10*MAX(0,IF('5-Parameters'!$B$8&gt;0.2*(1000/$O$5-10),('5-Parameters'!$B$8-0.2*(1000/$O$5-10))^2/('5-Parameters'!$B$8+0.8*(1000/$O$5-10)),0))+P10*MAX(0,IF('5-Parameters'!$B$8&gt;0.2*(1000/$P$5-10),('5-Parameters'!$B$8-0.2*(1000/$P$5-10))^2/('5-Parameters'!$B$8+0.8*(1000/$P$5-10)),0))+Q10*MAX(0,IF('5-Parameters'!$B$8&gt;0.2*(1000/$Q$5-10),('5-Parameters'!$B$8-0.2*(1000/$Q$5-10))^2/('5-Parameters'!$B$8+0.8*(1000/$Q$5-10)),0))+R10*MAX(0,IF('5-Parameters'!$B$8&gt;0.2*(1000/$R$5-10),('5-Parameters'!$B$8-0.2*(1000/$R$5-10))^2/('5-Parameters'!$B$8+0.8*(1000/$R$5-10)),0))+S10*MAX(0,IF('5-Parameters'!$B$8&gt;0.2*(1000/$S$5-10),('5-Parameters'!$B$8-0.2*(1000/$S$5-10))^2/('5-Parameters'!$B$8+0.8*(1000/$S$5-10)),0))+T10*MAX(0,IF('5-Parameters'!$B$8&gt;0.2*(1000/$T$5-10),('5-Parameters'!$B$8-0.2*(1000/$T$5-10))^2/('5-Parameters'!$B$8+0.8*(1000/$T$5-10)),0))+U10*MAX(0,IF('5-Parameters'!$B$8&gt;0.2*(1000/$U$5-10),('5-Parameters'!$B$8-0.2*(1000/$U$5-10))^2/('5-Parameters'!$B$8+0.8*(1000/$U$5-10)),0)))/12,0)</f>
        <v/>
      </c>
      <c r="AN10" s="12">
        <f>IFERROR((V10*MAX(0,IF('5-Parameters'!$B$8&gt;0.2*(1000/98-10),('5-Parameters'!$B$8-0.2*(1000/98-10))^2/('5-Parameters'!$B$8+0.8*(1000/98-10)),0))+W10*MAX(0,IF('5-Parameters'!$B$8&gt;0.2*(1000/$W$5-10),('5-Parameters'!$B$8-0.2*(1000/$W$5-10))^2/('5-Parameters'!$B$8+0.8*(1000/$W$5-10)),0))+X10*MAX(0,IF('5-Parameters'!$B$8&gt;0.2*(1000/$X$5-10),('5-Parameters'!$B$8-0.2*(1000/$X$5-10))^2/('5-Parameters'!$B$8+0.8*(1000/$X$5-10)),0))+Y10*MAX(0,IF('5-Parameters'!$B$8&gt;0.2*(1000/$Y$5-10),('5-Parameters'!$B$8-0.2*(1000/$Y$5-10))^2/('5-Parameters'!$B$8+0.8*(1000/$Y$5-10)),0))+Z10*MAX(0,IF('5-Parameters'!$B$8&gt;0.2*(1000/$Z$5-10),('5-Parameters'!$B$8-0.2*(1000/$Z$5-10))^2/('5-Parameters'!$B$8+0.8*(1000/$Z$5-10)),0))+AA10*MAX(0,IF('5-Parameters'!$B$8&gt;0.2*(1000/$AA$5-10),('5-Parameters'!$B$8-0.2*(1000/$AA$5-10))^2/('5-Parameters'!$B$8+0.8*(1000/$AA$5-10)),0))+AB10*MAX(0,IF('5-Parameters'!$B$8&gt;0.2*(1000/$AB$5-10),('5-Parameters'!$B$8-0.2*(1000/$AB$5-10))^2/('5-Parameters'!$B$8+0.8*(1000/$AB$5-10)),0))+AC10*MAX(0,IF('5-Parameters'!$B$8&gt;0.2*(1000/$AC$5-10),('5-Parameters'!$B$8-0.2*(1000/$AC$5-10))^2/('5-Parameters'!$B$8+0.8*(1000/$AC$5-10)),0))+AD10*MAX(0,IF('5-Parameters'!$B$8&gt;0.2*(1000/$AD$5-10),('5-Parameters'!$B$8-0.2*(1000/$AD$5-10))^2/('5-Parameters'!$B$8+0.8*(1000/$AD$5-10)),0))+AE10*MAX(0,IF('5-Parameters'!$B$8&gt;0.2*(1000/$AE$5-10),('5-Parameters'!$B$8-0.2*(1000/$AE$5-10))^2/('5-Parameters'!$B$8+0.8*(1000/$AE$5-10)),0))+AF10*MAX(0,IF('5-Parameters'!$B$8&gt;0.2*(1000/$AF$5-10),('5-Parameters'!$B$8-0.2*(1000/$AF$5-10))^2/('5-Parameters'!$B$8+0.8*(1000/$AF$5-10)),0))+AG10*MAX(0,IF('5-Parameters'!$B$8&gt;0.2*(1000/$AG$5-10),('5-Parameters'!$B$8-0.2*(1000/$AG$5-10))^2/('5-Parameters'!$B$8+0.8*(1000/$AG$5-10)),0))+AH10*MAX(0,IF('5-Parameters'!$B$8&gt;0.2*(1000/$AH$5-10),('5-Parameters'!$B$8-0.2*(1000/$AH$5-10))^2/('5-Parameters'!$B$8+0.8*(1000/$AH$5-10)),0)))/12,0)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  <c r="AB11" s="23" t="n"/>
      <c r="AC11" s="23" t="n"/>
      <c r="AD11" s="23" t="n"/>
      <c r="AE11" s="23" t="n"/>
      <c r="AF11" s="23" t="n"/>
      <c r="AG11" s="23" t="n"/>
      <c r="AH11" s="23" t="n"/>
      <c r="AI11" s="12">
        <f>IFERROR(IFS(C11="MLD",'5-Parameters'!$B$4,C11="MSI",'5-Parameters'!$B$5,C11="MSI-AWDZ",'5-Parameters'!$B$6,TRUE,"N/A"),"")</f>
        <v/>
      </c>
      <c r="AJ11" s="12">
        <f>IFERROR(IF(C11="","",AI11/12*0.95*(D11+E11+H11)*43560),"")</f>
        <v/>
      </c>
      <c r="AK11" s="12">
        <f>IFERROR(IF(C11="","",AI11/12*0.25*F11*43560),"")</f>
        <v/>
      </c>
      <c r="AL11" s="12">
        <f>IFERROR(IF(C11="","",AJ11+AK11),"")</f>
        <v/>
      </c>
      <c r="AM11" s="12">
        <f>IFERROR((I11*MAX(0,IF('5-Parameters'!$B$8&gt;0.2*(1000/98-10),('5-Parameters'!$B$8-0.2*(1000/98-10))^2/('5-Parameters'!$B$8+0.8*(1000/98-10)),0))+J11*MAX(0,IF('5-Parameters'!$B$8&gt;0.2*(1000/$J$5-10),('5-Parameters'!$B$8-0.2*(1000/$J$5-10))^2/('5-Parameters'!$B$8+0.8*(1000/$J$5-10)),0))+K11*MAX(0,IF('5-Parameters'!$B$8&gt;0.2*(1000/$K$5-10),('5-Parameters'!$B$8-0.2*(1000/$K$5-10))^2/('5-Parameters'!$B$8+0.8*(1000/$K$5-10)),0))+L11*MAX(0,IF('5-Parameters'!$B$8&gt;0.2*(1000/$L$5-10),('5-Parameters'!$B$8-0.2*(1000/$L$5-10))^2/('5-Parameters'!$B$8+0.8*(1000/$L$5-10)),0))+M11*MAX(0,IF('5-Parameters'!$B$8&gt;0.2*(1000/$M$5-10),('5-Parameters'!$B$8-0.2*(1000/$M$5-10))^2/('5-Parameters'!$B$8+0.8*(1000/$M$5-10)),0))+N11*MAX(0,IF('5-Parameters'!$B$8&gt;0.2*(1000/$N$5-10),('5-Parameters'!$B$8-0.2*(1000/$N$5-10))^2/('5-Parameters'!$B$8+0.8*(1000/$N$5-10)),0))+O11*MAX(0,IF('5-Parameters'!$B$8&gt;0.2*(1000/$O$5-10),('5-Parameters'!$B$8-0.2*(1000/$O$5-10))^2/('5-Parameters'!$B$8+0.8*(1000/$O$5-10)),0))+P11*MAX(0,IF('5-Parameters'!$B$8&gt;0.2*(1000/$P$5-10),('5-Parameters'!$B$8-0.2*(1000/$P$5-10))^2/('5-Parameters'!$B$8+0.8*(1000/$P$5-10)),0))+Q11*MAX(0,IF('5-Parameters'!$B$8&gt;0.2*(1000/$Q$5-10),('5-Parameters'!$B$8-0.2*(1000/$Q$5-10))^2/('5-Parameters'!$B$8+0.8*(1000/$Q$5-10)),0))+R11*MAX(0,IF('5-Parameters'!$B$8&gt;0.2*(1000/$R$5-10),('5-Parameters'!$B$8-0.2*(1000/$R$5-10))^2/('5-Parameters'!$B$8+0.8*(1000/$R$5-10)),0))+S11*MAX(0,IF('5-Parameters'!$B$8&gt;0.2*(1000/$S$5-10),('5-Parameters'!$B$8-0.2*(1000/$S$5-10))^2/('5-Parameters'!$B$8+0.8*(1000/$S$5-10)),0))+T11*MAX(0,IF('5-Parameters'!$B$8&gt;0.2*(1000/$T$5-10),('5-Parameters'!$B$8-0.2*(1000/$T$5-10))^2/('5-Parameters'!$B$8+0.8*(1000/$T$5-10)),0))+U11*MAX(0,IF('5-Parameters'!$B$8&gt;0.2*(1000/$U$5-10),('5-Parameters'!$B$8-0.2*(1000/$U$5-10))^2/('5-Parameters'!$B$8+0.8*(1000/$U$5-10)),0)))/12,0)</f>
        <v/>
      </c>
      <c r="AN11" s="12">
        <f>IFERROR((V11*MAX(0,IF('5-Parameters'!$B$8&gt;0.2*(1000/98-10),('5-Parameters'!$B$8-0.2*(1000/98-10))^2/('5-Parameters'!$B$8+0.8*(1000/98-10)),0))+W11*MAX(0,IF('5-Parameters'!$B$8&gt;0.2*(1000/$W$5-10),('5-Parameters'!$B$8-0.2*(1000/$W$5-10))^2/('5-Parameters'!$B$8+0.8*(1000/$W$5-10)),0))+X11*MAX(0,IF('5-Parameters'!$B$8&gt;0.2*(1000/$X$5-10),('5-Parameters'!$B$8-0.2*(1000/$X$5-10))^2/('5-Parameters'!$B$8+0.8*(1000/$X$5-10)),0))+Y11*MAX(0,IF('5-Parameters'!$B$8&gt;0.2*(1000/$Y$5-10),('5-Parameters'!$B$8-0.2*(1000/$Y$5-10))^2/('5-Parameters'!$B$8+0.8*(1000/$Y$5-10)),0))+Z11*MAX(0,IF('5-Parameters'!$B$8&gt;0.2*(1000/$Z$5-10),('5-Parameters'!$B$8-0.2*(1000/$Z$5-10))^2/('5-Parameters'!$B$8+0.8*(1000/$Z$5-10)),0))+AA11*MAX(0,IF('5-Parameters'!$B$8&gt;0.2*(1000/$AA$5-10),('5-Parameters'!$B$8-0.2*(1000/$AA$5-10))^2/('5-Parameters'!$B$8+0.8*(1000/$AA$5-10)),0))+AB11*MAX(0,IF('5-Parameters'!$B$8&gt;0.2*(1000/$AB$5-10),('5-Parameters'!$B$8-0.2*(1000/$AB$5-10))^2/('5-Parameters'!$B$8+0.8*(1000/$AB$5-10)),0))+AC11*MAX(0,IF('5-Parameters'!$B$8&gt;0.2*(1000/$AC$5-10),('5-Parameters'!$B$8-0.2*(1000/$AC$5-10))^2/('5-Parameters'!$B$8+0.8*(1000/$AC$5-10)),0))+AD11*MAX(0,IF('5-Parameters'!$B$8&gt;0.2*(1000/$AD$5-10),('5-Parameters'!$B$8-0.2*(1000/$AD$5-10))^2/('5-Parameters'!$B$8+0.8*(1000/$AD$5-10)),0))+AE11*MAX(0,IF('5-Parameters'!$B$8&gt;0.2*(1000/$AE$5-10),('5-Parameters'!$B$8-0.2*(1000/$AE$5-10))^2/('5-Parameters'!$B$8+0.8*(1000/$AE$5-10)),0))+AF11*MAX(0,IF('5-Parameters'!$B$8&gt;0.2*(1000/$AF$5-10),('5-Parameters'!$B$8-0.2*(1000/$AF$5-10))^2/('5-Parameters'!$B$8+0.8*(1000/$AF$5-10)),0))+AG11*MAX(0,IF('5-Parameters'!$B$8&gt;0.2*(1000/$AG$5-10),('5-Parameters'!$B$8-0.2*(1000/$AG$5-10))^2/('5-Parameters'!$B$8+0.8*(1000/$AG$5-10)),0))+AH11*MAX(0,IF('5-Parameters'!$B$8&gt;0.2*(1000/$AH$5-10),('5-Parameters'!$B$8-0.2*(1000/$AH$5-10))^2/('5-Parameters'!$B$8+0.8*(1000/$AH$5-10)),0)))/12,0)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23" t="n"/>
      <c r="AC12" s="23" t="n"/>
      <c r="AD12" s="23" t="n"/>
      <c r="AE12" s="23" t="n"/>
      <c r="AF12" s="23" t="n"/>
      <c r="AG12" s="23" t="n"/>
      <c r="AH12" s="23" t="n"/>
      <c r="AI12" s="12">
        <f>IFERROR(IFS(C12="MLD",'5-Parameters'!$B$4,C12="MSI",'5-Parameters'!$B$5,C12="MSI-AWDZ",'5-Parameters'!$B$6,TRUE,"N/A"),"")</f>
        <v/>
      </c>
      <c r="AJ12" s="12">
        <f>IFERROR(IF(C12="","",AI12/12*0.95*(D12+E12+H12)*43560),"")</f>
        <v/>
      </c>
      <c r="AK12" s="12">
        <f>IFERROR(IF(C12="","",AI12/12*0.25*F12*43560),"")</f>
        <v/>
      </c>
      <c r="AL12" s="12">
        <f>IFERROR(IF(C12="","",AJ12+AK12),"")</f>
        <v/>
      </c>
      <c r="AM12" s="12">
        <f>IFERROR((I12*MAX(0,IF('5-Parameters'!$B$8&gt;0.2*(1000/98-10),('5-Parameters'!$B$8-0.2*(1000/98-10))^2/('5-Parameters'!$B$8+0.8*(1000/98-10)),0))+J12*MAX(0,IF('5-Parameters'!$B$8&gt;0.2*(1000/$J$5-10),('5-Parameters'!$B$8-0.2*(1000/$J$5-10))^2/('5-Parameters'!$B$8+0.8*(1000/$J$5-10)),0))+K12*MAX(0,IF('5-Parameters'!$B$8&gt;0.2*(1000/$K$5-10),('5-Parameters'!$B$8-0.2*(1000/$K$5-10))^2/('5-Parameters'!$B$8+0.8*(1000/$K$5-10)),0))+L12*MAX(0,IF('5-Parameters'!$B$8&gt;0.2*(1000/$L$5-10),('5-Parameters'!$B$8-0.2*(1000/$L$5-10))^2/('5-Parameters'!$B$8+0.8*(1000/$L$5-10)),0))+M12*MAX(0,IF('5-Parameters'!$B$8&gt;0.2*(1000/$M$5-10),('5-Parameters'!$B$8-0.2*(1000/$M$5-10))^2/('5-Parameters'!$B$8+0.8*(1000/$M$5-10)),0))+N12*MAX(0,IF('5-Parameters'!$B$8&gt;0.2*(1000/$N$5-10),('5-Parameters'!$B$8-0.2*(1000/$N$5-10))^2/('5-Parameters'!$B$8+0.8*(1000/$N$5-10)),0))+O12*MAX(0,IF('5-Parameters'!$B$8&gt;0.2*(1000/$O$5-10),('5-Parameters'!$B$8-0.2*(1000/$O$5-10))^2/('5-Parameters'!$B$8+0.8*(1000/$O$5-10)),0))+P12*MAX(0,IF('5-Parameters'!$B$8&gt;0.2*(1000/$P$5-10),('5-Parameters'!$B$8-0.2*(1000/$P$5-10))^2/('5-Parameters'!$B$8+0.8*(1000/$P$5-10)),0))+Q12*MAX(0,IF('5-Parameters'!$B$8&gt;0.2*(1000/$Q$5-10),('5-Parameters'!$B$8-0.2*(1000/$Q$5-10))^2/('5-Parameters'!$B$8+0.8*(1000/$Q$5-10)),0))+R12*MAX(0,IF('5-Parameters'!$B$8&gt;0.2*(1000/$R$5-10),('5-Parameters'!$B$8-0.2*(1000/$R$5-10))^2/('5-Parameters'!$B$8+0.8*(1000/$R$5-10)),0))+S12*MAX(0,IF('5-Parameters'!$B$8&gt;0.2*(1000/$S$5-10),('5-Parameters'!$B$8-0.2*(1000/$S$5-10))^2/('5-Parameters'!$B$8+0.8*(1000/$S$5-10)),0))+T12*MAX(0,IF('5-Parameters'!$B$8&gt;0.2*(1000/$T$5-10),('5-Parameters'!$B$8-0.2*(1000/$T$5-10))^2/('5-Parameters'!$B$8+0.8*(1000/$T$5-10)),0))+U12*MAX(0,IF('5-Parameters'!$B$8&gt;0.2*(1000/$U$5-10),('5-Parameters'!$B$8-0.2*(1000/$U$5-10))^2/('5-Parameters'!$B$8+0.8*(1000/$U$5-10)),0)))/12,0)</f>
        <v/>
      </c>
      <c r="AN12" s="12">
        <f>IFERROR((V12*MAX(0,IF('5-Parameters'!$B$8&gt;0.2*(1000/98-10),('5-Parameters'!$B$8-0.2*(1000/98-10))^2/('5-Parameters'!$B$8+0.8*(1000/98-10)),0))+W12*MAX(0,IF('5-Parameters'!$B$8&gt;0.2*(1000/$W$5-10),('5-Parameters'!$B$8-0.2*(1000/$W$5-10))^2/('5-Parameters'!$B$8+0.8*(1000/$W$5-10)),0))+X12*MAX(0,IF('5-Parameters'!$B$8&gt;0.2*(1000/$X$5-10),('5-Parameters'!$B$8-0.2*(1000/$X$5-10))^2/('5-Parameters'!$B$8+0.8*(1000/$X$5-10)),0))+Y12*MAX(0,IF('5-Parameters'!$B$8&gt;0.2*(1000/$Y$5-10),('5-Parameters'!$B$8-0.2*(1000/$Y$5-10))^2/('5-Parameters'!$B$8+0.8*(1000/$Y$5-10)),0))+Z12*MAX(0,IF('5-Parameters'!$B$8&gt;0.2*(1000/$Z$5-10),('5-Parameters'!$B$8-0.2*(1000/$Z$5-10))^2/('5-Parameters'!$B$8+0.8*(1000/$Z$5-10)),0))+AA12*MAX(0,IF('5-Parameters'!$B$8&gt;0.2*(1000/$AA$5-10),('5-Parameters'!$B$8-0.2*(1000/$AA$5-10))^2/('5-Parameters'!$B$8+0.8*(1000/$AA$5-10)),0))+AB12*MAX(0,IF('5-Parameters'!$B$8&gt;0.2*(1000/$AB$5-10),('5-Parameters'!$B$8-0.2*(1000/$AB$5-10))^2/('5-Parameters'!$B$8+0.8*(1000/$AB$5-10)),0))+AC12*MAX(0,IF('5-Parameters'!$B$8&gt;0.2*(1000/$AC$5-10),('5-Parameters'!$B$8-0.2*(1000/$AC$5-10))^2/('5-Parameters'!$B$8+0.8*(1000/$AC$5-10)),0))+AD12*MAX(0,IF('5-Parameters'!$B$8&gt;0.2*(1000/$AD$5-10),('5-Parameters'!$B$8-0.2*(1000/$AD$5-10))^2/('5-Parameters'!$B$8+0.8*(1000/$AD$5-10)),0))+AE12*MAX(0,IF('5-Parameters'!$B$8&gt;0.2*(1000/$AE$5-10),('5-Parameters'!$B$8-0.2*(1000/$AE$5-10))^2/('5-Parameters'!$B$8+0.8*(1000/$AE$5-10)),0))+AF12*MAX(0,IF('5-Parameters'!$B$8&gt;0.2*(1000/$AF$5-10),('5-Parameters'!$B$8-0.2*(1000/$AF$5-10))^2/('5-Parameters'!$B$8+0.8*(1000/$AF$5-10)),0))+AG12*MAX(0,IF('5-Parameters'!$B$8&gt;0.2*(1000/$AG$5-10),('5-Parameters'!$B$8-0.2*(1000/$AG$5-10))^2/('5-Parameters'!$B$8+0.8*(1000/$AG$5-10)),0))+AH12*MAX(0,IF('5-Parameters'!$B$8&gt;0.2*(1000/$AH$5-10),('5-Parameters'!$B$8-0.2*(1000/$AH$5-10))^2/('5-Parameters'!$B$8+0.8*(1000/$AH$5-10)),0)))/12,0)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12">
        <f>IFERROR(IFS(C13="MLD",'5-Parameters'!$B$4,C13="MSI",'5-Parameters'!$B$5,C13="MSI-AWDZ",'5-Parameters'!$B$6,TRUE,"N/A"),"")</f>
        <v/>
      </c>
      <c r="AJ13" s="12">
        <f>IFERROR(IF(C13="","",AI13/12*0.95*(D13+E13+H13)*43560),"")</f>
        <v/>
      </c>
      <c r="AK13" s="12">
        <f>IFERROR(IF(C13="","",AI13/12*0.25*F13*43560),"")</f>
        <v/>
      </c>
      <c r="AL13" s="12">
        <f>IFERROR(IF(C13="","",AJ13+AK13),"")</f>
        <v/>
      </c>
      <c r="AM13" s="12">
        <f>IFERROR((I13*MAX(0,IF('5-Parameters'!$B$8&gt;0.2*(1000/98-10),('5-Parameters'!$B$8-0.2*(1000/98-10))^2/('5-Parameters'!$B$8+0.8*(1000/98-10)),0))+J13*MAX(0,IF('5-Parameters'!$B$8&gt;0.2*(1000/$J$5-10),('5-Parameters'!$B$8-0.2*(1000/$J$5-10))^2/('5-Parameters'!$B$8+0.8*(1000/$J$5-10)),0))+K13*MAX(0,IF('5-Parameters'!$B$8&gt;0.2*(1000/$K$5-10),('5-Parameters'!$B$8-0.2*(1000/$K$5-10))^2/('5-Parameters'!$B$8+0.8*(1000/$K$5-10)),0))+L13*MAX(0,IF('5-Parameters'!$B$8&gt;0.2*(1000/$L$5-10),('5-Parameters'!$B$8-0.2*(1000/$L$5-10))^2/('5-Parameters'!$B$8+0.8*(1000/$L$5-10)),0))+M13*MAX(0,IF('5-Parameters'!$B$8&gt;0.2*(1000/$M$5-10),('5-Parameters'!$B$8-0.2*(1000/$M$5-10))^2/('5-Parameters'!$B$8+0.8*(1000/$M$5-10)),0))+N13*MAX(0,IF('5-Parameters'!$B$8&gt;0.2*(1000/$N$5-10),('5-Parameters'!$B$8-0.2*(1000/$N$5-10))^2/('5-Parameters'!$B$8+0.8*(1000/$N$5-10)),0))+O13*MAX(0,IF('5-Parameters'!$B$8&gt;0.2*(1000/$O$5-10),('5-Parameters'!$B$8-0.2*(1000/$O$5-10))^2/('5-Parameters'!$B$8+0.8*(1000/$O$5-10)),0))+P13*MAX(0,IF('5-Parameters'!$B$8&gt;0.2*(1000/$P$5-10),('5-Parameters'!$B$8-0.2*(1000/$P$5-10))^2/('5-Parameters'!$B$8+0.8*(1000/$P$5-10)),0))+Q13*MAX(0,IF('5-Parameters'!$B$8&gt;0.2*(1000/$Q$5-10),('5-Parameters'!$B$8-0.2*(1000/$Q$5-10))^2/('5-Parameters'!$B$8+0.8*(1000/$Q$5-10)),0))+R13*MAX(0,IF('5-Parameters'!$B$8&gt;0.2*(1000/$R$5-10),('5-Parameters'!$B$8-0.2*(1000/$R$5-10))^2/('5-Parameters'!$B$8+0.8*(1000/$R$5-10)),0))+S13*MAX(0,IF('5-Parameters'!$B$8&gt;0.2*(1000/$S$5-10),('5-Parameters'!$B$8-0.2*(1000/$S$5-10))^2/('5-Parameters'!$B$8+0.8*(1000/$S$5-10)),0))+T13*MAX(0,IF('5-Parameters'!$B$8&gt;0.2*(1000/$T$5-10),('5-Parameters'!$B$8-0.2*(1000/$T$5-10))^2/('5-Parameters'!$B$8+0.8*(1000/$T$5-10)),0))+U13*MAX(0,IF('5-Parameters'!$B$8&gt;0.2*(1000/$U$5-10),('5-Parameters'!$B$8-0.2*(1000/$U$5-10))^2/('5-Parameters'!$B$8+0.8*(1000/$U$5-10)),0)))/12,0)</f>
        <v/>
      </c>
      <c r="AN13" s="12">
        <f>IFERROR((V13*MAX(0,IF('5-Parameters'!$B$8&gt;0.2*(1000/98-10),('5-Parameters'!$B$8-0.2*(1000/98-10))^2/('5-Parameters'!$B$8+0.8*(1000/98-10)),0))+W13*MAX(0,IF('5-Parameters'!$B$8&gt;0.2*(1000/$W$5-10),('5-Parameters'!$B$8-0.2*(1000/$W$5-10))^2/('5-Parameters'!$B$8+0.8*(1000/$W$5-10)),0))+X13*MAX(0,IF('5-Parameters'!$B$8&gt;0.2*(1000/$X$5-10),('5-Parameters'!$B$8-0.2*(1000/$X$5-10))^2/('5-Parameters'!$B$8+0.8*(1000/$X$5-10)),0))+Y13*MAX(0,IF('5-Parameters'!$B$8&gt;0.2*(1000/$Y$5-10),('5-Parameters'!$B$8-0.2*(1000/$Y$5-10))^2/('5-Parameters'!$B$8+0.8*(1000/$Y$5-10)),0))+Z13*MAX(0,IF('5-Parameters'!$B$8&gt;0.2*(1000/$Z$5-10),('5-Parameters'!$B$8-0.2*(1000/$Z$5-10))^2/('5-Parameters'!$B$8+0.8*(1000/$Z$5-10)),0))+AA13*MAX(0,IF('5-Parameters'!$B$8&gt;0.2*(1000/$AA$5-10),('5-Parameters'!$B$8-0.2*(1000/$AA$5-10))^2/('5-Parameters'!$B$8+0.8*(1000/$AA$5-10)),0))+AB13*MAX(0,IF('5-Parameters'!$B$8&gt;0.2*(1000/$AB$5-10),('5-Parameters'!$B$8-0.2*(1000/$AB$5-10))^2/('5-Parameters'!$B$8+0.8*(1000/$AB$5-10)),0))+AC13*MAX(0,IF('5-Parameters'!$B$8&gt;0.2*(1000/$AC$5-10),('5-Parameters'!$B$8-0.2*(1000/$AC$5-10))^2/('5-Parameters'!$B$8+0.8*(1000/$AC$5-10)),0))+AD13*MAX(0,IF('5-Parameters'!$B$8&gt;0.2*(1000/$AD$5-10),('5-Parameters'!$B$8-0.2*(1000/$AD$5-10))^2/('5-Parameters'!$B$8+0.8*(1000/$AD$5-10)),0))+AE13*MAX(0,IF('5-Parameters'!$B$8&gt;0.2*(1000/$AE$5-10),('5-Parameters'!$B$8-0.2*(1000/$AE$5-10))^2/('5-Parameters'!$B$8+0.8*(1000/$AE$5-10)),0))+AF13*MAX(0,IF('5-Parameters'!$B$8&gt;0.2*(1000/$AF$5-10),('5-Parameters'!$B$8-0.2*(1000/$AF$5-10))^2/('5-Parameters'!$B$8+0.8*(1000/$AF$5-10)),0))+AG13*MAX(0,IF('5-Parameters'!$B$8&gt;0.2*(1000/$AG$5-10),('5-Parameters'!$B$8-0.2*(1000/$AG$5-10))^2/('5-Parameters'!$B$8+0.8*(1000/$AG$5-10)),0))+AH13*MAX(0,IF('5-Parameters'!$B$8&gt;0.2*(1000/$AH$5-10),('5-Parameters'!$B$8-0.2*(1000/$AH$5-10))^2/('5-Parameters'!$B$8+0.8*(1000/$AH$5-10)),0)))/12,0)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12">
        <f>IFERROR(IFS(C14="MLD",'5-Parameters'!$B$4,C14="MSI",'5-Parameters'!$B$5,C14="MSI-AWDZ",'5-Parameters'!$B$6,TRUE,"N/A"),"")</f>
        <v/>
      </c>
      <c r="AJ14" s="12">
        <f>IFERROR(IF(C14="","",AI14/12*0.95*(D14+E14+H14)*43560),"")</f>
        <v/>
      </c>
      <c r="AK14" s="12">
        <f>IFERROR(IF(C14="","",AI14/12*0.25*F14*43560),"")</f>
        <v/>
      </c>
      <c r="AL14" s="12">
        <f>IFERROR(IF(C14="","",AJ14+AK14),"")</f>
        <v/>
      </c>
      <c r="AM14" s="12">
        <f>IFERROR((I14*MAX(0,IF('5-Parameters'!$B$8&gt;0.2*(1000/98-10),('5-Parameters'!$B$8-0.2*(1000/98-10))^2/('5-Parameters'!$B$8+0.8*(1000/98-10)),0))+J14*MAX(0,IF('5-Parameters'!$B$8&gt;0.2*(1000/$J$5-10),('5-Parameters'!$B$8-0.2*(1000/$J$5-10))^2/('5-Parameters'!$B$8+0.8*(1000/$J$5-10)),0))+K14*MAX(0,IF('5-Parameters'!$B$8&gt;0.2*(1000/$K$5-10),('5-Parameters'!$B$8-0.2*(1000/$K$5-10))^2/('5-Parameters'!$B$8+0.8*(1000/$K$5-10)),0))+L14*MAX(0,IF('5-Parameters'!$B$8&gt;0.2*(1000/$L$5-10),('5-Parameters'!$B$8-0.2*(1000/$L$5-10))^2/('5-Parameters'!$B$8+0.8*(1000/$L$5-10)),0))+M14*MAX(0,IF('5-Parameters'!$B$8&gt;0.2*(1000/$M$5-10),('5-Parameters'!$B$8-0.2*(1000/$M$5-10))^2/('5-Parameters'!$B$8+0.8*(1000/$M$5-10)),0))+N14*MAX(0,IF('5-Parameters'!$B$8&gt;0.2*(1000/$N$5-10),('5-Parameters'!$B$8-0.2*(1000/$N$5-10))^2/('5-Parameters'!$B$8+0.8*(1000/$N$5-10)),0))+O14*MAX(0,IF('5-Parameters'!$B$8&gt;0.2*(1000/$O$5-10),('5-Parameters'!$B$8-0.2*(1000/$O$5-10))^2/('5-Parameters'!$B$8+0.8*(1000/$O$5-10)),0))+P14*MAX(0,IF('5-Parameters'!$B$8&gt;0.2*(1000/$P$5-10),('5-Parameters'!$B$8-0.2*(1000/$P$5-10))^2/('5-Parameters'!$B$8+0.8*(1000/$P$5-10)),0))+Q14*MAX(0,IF('5-Parameters'!$B$8&gt;0.2*(1000/$Q$5-10),('5-Parameters'!$B$8-0.2*(1000/$Q$5-10))^2/('5-Parameters'!$B$8+0.8*(1000/$Q$5-10)),0))+R14*MAX(0,IF('5-Parameters'!$B$8&gt;0.2*(1000/$R$5-10),('5-Parameters'!$B$8-0.2*(1000/$R$5-10))^2/('5-Parameters'!$B$8+0.8*(1000/$R$5-10)),0))+S14*MAX(0,IF('5-Parameters'!$B$8&gt;0.2*(1000/$S$5-10),('5-Parameters'!$B$8-0.2*(1000/$S$5-10))^2/('5-Parameters'!$B$8+0.8*(1000/$S$5-10)),0))+T14*MAX(0,IF('5-Parameters'!$B$8&gt;0.2*(1000/$T$5-10),('5-Parameters'!$B$8-0.2*(1000/$T$5-10))^2/('5-Parameters'!$B$8+0.8*(1000/$T$5-10)),0))+U14*MAX(0,IF('5-Parameters'!$B$8&gt;0.2*(1000/$U$5-10),('5-Parameters'!$B$8-0.2*(1000/$U$5-10))^2/('5-Parameters'!$B$8+0.8*(1000/$U$5-10)),0)))/12,0)</f>
        <v/>
      </c>
      <c r="AN14" s="12">
        <f>IFERROR((V14*MAX(0,IF('5-Parameters'!$B$8&gt;0.2*(1000/98-10),('5-Parameters'!$B$8-0.2*(1000/98-10))^2/('5-Parameters'!$B$8+0.8*(1000/98-10)),0))+W14*MAX(0,IF('5-Parameters'!$B$8&gt;0.2*(1000/$W$5-10),('5-Parameters'!$B$8-0.2*(1000/$W$5-10))^2/('5-Parameters'!$B$8+0.8*(1000/$W$5-10)),0))+X14*MAX(0,IF('5-Parameters'!$B$8&gt;0.2*(1000/$X$5-10),('5-Parameters'!$B$8-0.2*(1000/$X$5-10))^2/('5-Parameters'!$B$8+0.8*(1000/$X$5-10)),0))+Y14*MAX(0,IF('5-Parameters'!$B$8&gt;0.2*(1000/$Y$5-10),('5-Parameters'!$B$8-0.2*(1000/$Y$5-10))^2/('5-Parameters'!$B$8+0.8*(1000/$Y$5-10)),0))+Z14*MAX(0,IF('5-Parameters'!$B$8&gt;0.2*(1000/$Z$5-10),('5-Parameters'!$B$8-0.2*(1000/$Z$5-10))^2/('5-Parameters'!$B$8+0.8*(1000/$Z$5-10)),0))+AA14*MAX(0,IF('5-Parameters'!$B$8&gt;0.2*(1000/$AA$5-10),('5-Parameters'!$B$8-0.2*(1000/$AA$5-10))^2/('5-Parameters'!$B$8+0.8*(1000/$AA$5-10)),0))+AB14*MAX(0,IF('5-Parameters'!$B$8&gt;0.2*(1000/$AB$5-10),('5-Parameters'!$B$8-0.2*(1000/$AB$5-10))^2/('5-Parameters'!$B$8+0.8*(1000/$AB$5-10)),0))+AC14*MAX(0,IF('5-Parameters'!$B$8&gt;0.2*(1000/$AC$5-10),('5-Parameters'!$B$8-0.2*(1000/$AC$5-10))^2/('5-Parameters'!$B$8+0.8*(1000/$AC$5-10)),0))+AD14*MAX(0,IF('5-Parameters'!$B$8&gt;0.2*(1000/$AD$5-10),('5-Parameters'!$B$8-0.2*(1000/$AD$5-10))^2/('5-Parameters'!$B$8+0.8*(1000/$AD$5-10)),0))+AE14*MAX(0,IF('5-Parameters'!$B$8&gt;0.2*(1000/$AE$5-10),('5-Parameters'!$B$8-0.2*(1000/$AE$5-10))^2/('5-Parameters'!$B$8+0.8*(1000/$AE$5-10)),0))+AF14*MAX(0,IF('5-Parameters'!$B$8&gt;0.2*(1000/$AF$5-10),('5-Parameters'!$B$8-0.2*(1000/$AF$5-10))^2/('5-Parameters'!$B$8+0.8*(1000/$AF$5-10)),0))+AG14*MAX(0,IF('5-Parameters'!$B$8&gt;0.2*(1000/$AG$5-10),('5-Parameters'!$B$8-0.2*(1000/$AG$5-10))^2/('5-Parameters'!$B$8+0.8*(1000/$AG$5-10)),0))+AH14*MAX(0,IF('5-Parameters'!$B$8&gt;0.2*(1000/$AH$5-10),('5-Parameters'!$B$8-0.2*(1000/$AH$5-10))^2/('5-Parameters'!$B$8+0.8*(1000/$AH$5-10)),0)))/12,0)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12">
        <f>IFERROR(IFS(C15="MLD",'5-Parameters'!$B$4,C15="MSI",'5-Parameters'!$B$5,C15="MSI-AWDZ",'5-Parameters'!$B$6,TRUE,"N/A"),"")</f>
        <v/>
      </c>
      <c r="AJ15" s="12">
        <f>IFERROR(IF(C15="","",AI15/12*0.95*(D15+E15+H15)*43560),"")</f>
        <v/>
      </c>
      <c r="AK15" s="12">
        <f>IFERROR(IF(C15="","",AI15/12*0.25*F15*43560),"")</f>
        <v/>
      </c>
      <c r="AL15" s="12">
        <f>IFERROR(IF(C15="","",AJ15+AK15),"")</f>
        <v/>
      </c>
      <c r="AM15" s="12">
        <f>IFERROR((I15*MAX(0,IF('5-Parameters'!$B$8&gt;0.2*(1000/98-10),('5-Parameters'!$B$8-0.2*(1000/98-10))^2/('5-Parameters'!$B$8+0.8*(1000/98-10)),0))+J15*MAX(0,IF('5-Parameters'!$B$8&gt;0.2*(1000/$J$5-10),('5-Parameters'!$B$8-0.2*(1000/$J$5-10))^2/('5-Parameters'!$B$8+0.8*(1000/$J$5-10)),0))+K15*MAX(0,IF('5-Parameters'!$B$8&gt;0.2*(1000/$K$5-10),('5-Parameters'!$B$8-0.2*(1000/$K$5-10))^2/('5-Parameters'!$B$8+0.8*(1000/$K$5-10)),0))+L15*MAX(0,IF('5-Parameters'!$B$8&gt;0.2*(1000/$L$5-10),('5-Parameters'!$B$8-0.2*(1000/$L$5-10))^2/('5-Parameters'!$B$8+0.8*(1000/$L$5-10)),0))+M15*MAX(0,IF('5-Parameters'!$B$8&gt;0.2*(1000/$M$5-10),('5-Parameters'!$B$8-0.2*(1000/$M$5-10))^2/('5-Parameters'!$B$8+0.8*(1000/$M$5-10)),0))+N15*MAX(0,IF('5-Parameters'!$B$8&gt;0.2*(1000/$N$5-10),('5-Parameters'!$B$8-0.2*(1000/$N$5-10))^2/('5-Parameters'!$B$8+0.8*(1000/$N$5-10)),0))+O15*MAX(0,IF('5-Parameters'!$B$8&gt;0.2*(1000/$O$5-10),('5-Parameters'!$B$8-0.2*(1000/$O$5-10))^2/('5-Parameters'!$B$8+0.8*(1000/$O$5-10)),0))+P15*MAX(0,IF('5-Parameters'!$B$8&gt;0.2*(1000/$P$5-10),('5-Parameters'!$B$8-0.2*(1000/$P$5-10))^2/('5-Parameters'!$B$8+0.8*(1000/$P$5-10)),0))+Q15*MAX(0,IF('5-Parameters'!$B$8&gt;0.2*(1000/$Q$5-10),('5-Parameters'!$B$8-0.2*(1000/$Q$5-10))^2/('5-Parameters'!$B$8+0.8*(1000/$Q$5-10)),0))+R15*MAX(0,IF('5-Parameters'!$B$8&gt;0.2*(1000/$R$5-10),('5-Parameters'!$B$8-0.2*(1000/$R$5-10))^2/('5-Parameters'!$B$8+0.8*(1000/$R$5-10)),0))+S15*MAX(0,IF('5-Parameters'!$B$8&gt;0.2*(1000/$S$5-10),('5-Parameters'!$B$8-0.2*(1000/$S$5-10))^2/('5-Parameters'!$B$8+0.8*(1000/$S$5-10)),0))+T15*MAX(0,IF('5-Parameters'!$B$8&gt;0.2*(1000/$T$5-10),('5-Parameters'!$B$8-0.2*(1000/$T$5-10))^2/('5-Parameters'!$B$8+0.8*(1000/$T$5-10)),0))+U15*MAX(0,IF('5-Parameters'!$B$8&gt;0.2*(1000/$U$5-10),('5-Parameters'!$B$8-0.2*(1000/$U$5-10))^2/('5-Parameters'!$B$8+0.8*(1000/$U$5-10)),0)))/12,0)</f>
        <v/>
      </c>
      <c r="AN15" s="12">
        <f>IFERROR((V15*MAX(0,IF('5-Parameters'!$B$8&gt;0.2*(1000/98-10),('5-Parameters'!$B$8-0.2*(1000/98-10))^2/('5-Parameters'!$B$8+0.8*(1000/98-10)),0))+W15*MAX(0,IF('5-Parameters'!$B$8&gt;0.2*(1000/$W$5-10),('5-Parameters'!$B$8-0.2*(1000/$W$5-10))^2/('5-Parameters'!$B$8+0.8*(1000/$W$5-10)),0))+X15*MAX(0,IF('5-Parameters'!$B$8&gt;0.2*(1000/$X$5-10),('5-Parameters'!$B$8-0.2*(1000/$X$5-10))^2/('5-Parameters'!$B$8+0.8*(1000/$X$5-10)),0))+Y15*MAX(0,IF('5-Parameters'!$B$8&gt;0.2*(1000/$Y$5-10),('5-Parameters'!$B$8-0.2*(1000/$Y$5-10))^2/('5-Parameters'!$B$8+0.8*(1000/$Y$5-10)),0))+Z15*MAX(0,IF('5-Parameters'!$B$8&gt;0.2*(1000/$Z$5-10),('5-Parameters'!$B$8-0.2*(1000/$Z$5-10))^2/('5-Parameters'!$B$8+0.8*(1000/$Z$5-10)),0))+AA15*MAX(0,IF('5-Parameters'!$B$8&gt;0.2*(1000/$AA$5-10),('5-Parameters'!$B$8-0.2*(1000/$AA$5-10))^2/('5-Parameters'!$B$8+0.8*(1000/$AA$5-10)),0))+AB15*MAX(0,IF('5-Parameters'!$B$8&gt;0.2*(1000/$AB$5-10),('5-Parameters'!$B$8-0.2*(1000/$AB$5-10))^2/('5-Parameters'!$B$8+0.8*(1000/$AB$5-10)),0))+AC15*MAX(0,IF('5-Parameters'!$B$8&gt;0.2*(1000/$AC$5-10),('5-Parameters'!$B$8-0.2*(1000/$AC$5-10))^2/('5-Parameters'!$B$8+0.8*(1000/$AC$5-10)),0))+AD15*MAX(0,IF('5-Parameters'!$B$8&gt;0.2*(1000/$AD$5-10),('5-Parameters'!$B$8-0.2*(1000/$AD$5-10))^2/('5-Parameters'!$B$8+0.8*(1000/$AD$5-10)),0))+AE15*MAX(0,IF('5-Parameters'!$B$8&gt;0.2*(1000/$AE$5-10),('5-Parameters'!$B$8-0.2*(1000/$AE$5-10))^2/('5-Parameters'!$B$8+0.8*(1000/$AE$5-10)),0))+AF15*MAX(0,IF('5-Parameters'!$B$8&gt;0.2*(1000/$AF$5-10),('5-Parameters'!$B$8-0.2*(1000/$AF$5-10))^2/('5-Parameters'!$B$8+0.8*(1000/$AF$5-10)),0))+AG15*MAX(0,IF('5-Parameters'!$B$8&gt;0.2*(1000/$AG$5-10),('5-Parameters'!$B$8-0.2*(1000/$AG$5-10))^2/('5-Parameters'!$B$8+0.8*(1000/$AG$5-10)),0))+AH15*MAX(0,IF('5-Parameters'!$B$8&gt;0.2*(1000/$AH$5-10),('5-Parameters'!$B$8-0.2*(1000/$AH$5-10))^2/('5-Parameters'!$B$8+0.8*(1000/$AH$5-10)),0)))/12,0)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23" t="n"/>
      <c r="AC16" s="23" t="n"/>
      <c r="AD16" s="23" t="n"/>
      <c r="AE16" s="23" t="n"/>
      <c r="AF16" s="23" t="n"/>
      <c r="AG16" s="23" t="n"/>
      <c r="AH16" s="23" t="n"/>
      <c r="AI16" s="12">
        <f>IFERROR(IFS(C16="MLD",'5-Parameters'!$B$4,C16="MSI",'5-Parameters'!$B$5,C16="MSI-AWDZ",'5-Parameters'!$B$6,TRUE,"N/A"),"")</f>
        <v/>
      </c>
      <c r="AJ16" s="12">
        <f>IFERROR(IF(C16="","",AI16/12*0.95*(D16+E16+H16)*43560),"")</f>
        <v/>
      </c>
      <c r="AK16" s="12">
        <f>IFERROR(IF(C16="","",AI16/12*0.25*F16*43560),"")</f>
        <v/>
      </c>
      <c r="AL16" s="12">
        <f>IFERROR(IF(C16="","",AJ16+AK16),"")</f>
        <v/>
      </c>
      <c r="AM16" s="12">
        <f>IFERROR((I16*MAX(0,IF('5-Parameters'!$B$8&gt;0.2*(1000/98-10),('5-Parameters'!$B$8-0.2*(1000/98-10))^2/('5-Parameters'!$B$8+0.8*(1000/98-10)),0))+J16*MAX(0,IF('5-Parameters'!$B$8&gt;0.2*(1000/$J$5-10),('5-Parameters'!$B$8-0.2*(1000/$J$5-10))^2/('5-Parameters'!$B$8+0.8*(1000/$J$5-10)),0))+K16*MAX(0,IF('5-Parameters'!$B$8&gt;0.2*(1000/$K$5-10),('5-Parameters'!$B$8-0.2*(1000/$K$5-10))^2/('5-Parameters'!$B$8+0.8*(1000/$K$5-10)),0))+L16*MAX(0,IF('5-Parameters'!$B$8&gt;0.2*(1000/$L$5-10),('5-Parameters'!$B$8-0.2*(1000/$L$5-10))^2/('5-Parameters'!$B$8+0.8*(1000/$L$5-10)),0))+M16*MAX(0,IF('5-Parameters'!$B$8&gt;0.2*(1000/$M$5-10),('5-Parameters'!$B$8-0.2*(1000/$M$5-10))^2/('5-Parameters'!$B$8+0.8*(1000/$M$5-10)),0))+N16*MAX(0,IF('5-Parameters'!$B$8&gt;0.2*(1000/$N$5-10),('5-Parameters'!$B$8-0.2*(1000/$N$5-10))^2/('5-Parameters'!$B$8+0.8*(1000/$N$5-10)),0))+O16*MAX(0,IF('5-Parameters'!$B$8&gt;0.2*(1000/$O$5-10),('5-Parameters'!$B$8-0.2*(1000/$O$5-10))^2/('5-Parameters'!$B$8+0.8*(1000/$O$5-10)),0))+P16*MAX(0,IF('5-Parameters'!$B$8&gt;0.2*(1000/$P$5-10),('5-Parameters'!$B$8-0.2*(1000/$P$5-10))^2/('5-Parameters'!$B$8+0.8*(1000/$P$5-10)),0))+Q16*MAX(0,IF('5-Parameters'!$B$8&gt;0.2*(1000/$Q$5-10),('5-Parameters'!$B$8-0.2*(1000/$Q$5-10))^2/('5-Parameters'!$B$8+0.8*(1000/$Q$5-10)),0))+R16*MAX(0,IF('5-Parameters'!$B$8&gt;0.2*(1000/$R$5-10),('5-Parameters'!$B$8-0.2*(1000/$R$5-10))^2/('5-Parameters'!$B$8+0.8*(1000/$R$5-10)),0))+S16*MAX(0,IF('5-Parameters'!$B$8&gt;0.2*(1000/$S$5-10),('5-Parameters'!$B$8-0.2*(1000/$S$5-10))^2/('5-Parameters'!$B$8+0.8*(1000/$S$5-10)),0))+T16*MAX(0,IF('5-Parameters'!$B$8&gt;0.2*(1000/$T$5-10),('5-Parameters'!$B$8-0.2*(1000/$T$5-10))^2/('5-Parameters'!$B$8+0.8*(1000/$T$5-10)),0))+U16*MAX(0,IF('5-Parameters'!$B$8&gt;0.2*(1000/$U$5-10),('5-Parameters'!$B$8-0.2*(1000/$U$5-10))^2/('5-Parameters'!$B$8+0.8*(1000/$U$5-10)),0)))/12,0)</f>
        <v/>
      </c>
      <c r="AN16" s="12">
        <f>IFERROR((V16*MAX(0,IF('5-Parameters'!$B$8&gt;0.2*(1000/98-10),('5-Parameters'!$B$8-0.2*(1000/98-10))^2/('5-Parameters'!$B$8+0.8*(1000/98-10)),0))+W16*MAX(0,IF('5-Parameters'!$B$8&gt;0.2*(1000/$W$5-10),('5-Parameters'!$B$8-0.2*(1000/$W$5-10))^2/('5-Parameters'!$B$8+0.8*(1000/$W$5-10)),0))+X16*MAX(0,IF('5-Parameters'!$B$8&gt;0.2*(1000/$X$5-10),('5-Parameters'!$B$8-0.2*(1000/$X$5-10))^2/('5-Parameters'!$B$8+0.8*(1000/$X$5-10)),0))+Y16*MAX(0,IF('5-Parameters'!$B$8&gt;0.2*(1000/$Y$5-10),('5-Parameters'!$B$8-0.2*(1000/$Y$5-10))^2/('5-Parameters'!$B$8+0.8*(1000/$Y$5-10)),0))+Z16*MAX(0,IF('5-Parameters'!$B$8&gt;0.2*(1000/$Z$5-10),('5-Parameters'!$B$8-0.2*(1000/$Z$5-10))^2/('5-Parameters'!$B$8+0.8*(1000/$Z$5-10)),0))+AA16*MAX(0,IF('5-Parameters'!$B$8&gt;0.2*(1000/$AA$5-10),('5-Parameters'!$B$8-0.2*(1000/$AA$5-10))^2/('5-Parameters'!$B$8+0.8*(1000/$AA$5-10)),0))+AB16*MAX(0,IF('5-Parameters'!$B$8&gt;0.2*(1000/$AB$5-10),('5-Parameters'!$B$8-0.2*(1000/$AB$5-10))^2/('5-Parameters'!$B$8+0.8*(1000/$AB$5-10)),0))+AC16*MAX(0,IF('5-Parameters'!$B$8&gt;0.2*(1000/$AC$5-10),('5-Parameters'!$B$8-0.2*(1000/$AC$5-10))^2/('5-Parameters'!$B$8+0.8*(1000/$AC$5-10)),0))+AD16*MAX(0,IF('5-Parameters'!$B$8&gt;0.2*(1000/$AD$5-10),('5-Parameters'!$B$8-0.2*(1000/$AD$5-10))^2/('5-Parameters'!$B$8+0.8*(1000/$AD$5-10)),0))+AE16*MAX(0,IF('5-Parameters'!$B$8&gt;0.2*(1000/$AE$5-10),('5-Parameters'!$B$8-0.2*(1000/$AE$5-10))^2/('5-Parameters'!$B$8+0.8*(1000/$AE$5-10)),0))+AF16*MAX(0,IF('5-Parameters'!$B$8&gt;0.2*(1000/$AF$5-10),('5-Parameters'!$B$8-0.2*(1000/$AF$5-10))^2/('5-Parameters'!$B$8+0.8*(1000/$AF$5-10)),0))+AG16*MAX(0,IF('5-Parameters'!$B$8&gt;0.2*(1000/$AG$5-10),('5-Parameters'!$B$8-0.2*(1000/$AG$5-10))^2/('5-Parameters'!$B$8+0.8*(1000/$AG$5-10)),0))+AH16*MAX(0,IF('5-Parameters'!$B$8&gt;0.2*(1000/$AH$5-10),('5-Parameters'!$B$8-0.2*(1000/$AH$5-10))^2/('5-Parameters'!$B$8+0.8*(1000/$AH$5-10)),0)))/12,0)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  <c r="AF17" s="23" t="n"/>
      <c r="AG17" s="23" t="n"/>
      <c r="AH17" s="23" t="n"/>
      <c r="AI17" s="12">
        <f>IFERROR(IFS(C17="MLD",'5-Parameters'!$B$4,C17="MSI",'5-Parameters'!$B$5,C17="MSI-AWDZ",'5-Parameters'!$B$6,TRUE,"N/A"),"")</f>
        <v/>
      </c>
      <c r="AJ17" s="12">
        <f>IFERROR(IF(C17="","",AI17/12*0.95*(D17+E17+H17)*43560),"")</f>
        <v/>
      </c>
      <c r="AK17" s="12">
        <f>IFERROR(IF(C17="","",AI17/12*0.25*F17*43560),"")</f>
        <v/>
      </c>
      <c r="AL17" s="12">
        <f>IFERROR(IF(C17="","",AJ17+AK17),"")</f>
        <v/>
      </c>
      <c r="AM17" s="12">
        <f>IFERROR((I17*MAX(0,IF('5-Parameters'!$B$8&gt;0.2*(1000/98-10),('5-Parameters'!$B$8-0.2*(1000/98-10))^2/('5-Parameters'!$B$8+0.8*(1000/98-10)),0))+J17*MAX(0,IF('5-Parameters'!$B$8&gt;0.2*(1000/$J$5-10),('5-Parameters'!$B$8-0.2*(1000/$J$5-10))^2/('5-Parameters'!$B$8+0.8*(1000/$J$5-10)),0))+K17*MAX(0,IF('5-Parameters'!$B$8&gt;0.2*(1000/$K$5-10),('5-Parameters'!$B$8-0.2*(1000/$K$5-10))^2/('5-Parameters'!$B$8+0.8*(1000/$K$5-10)),0))+L17*MAX(0,IF('5-Parameters'!$B$8&gt;0.2*(1000/$L$5-10),('5-Parameters'!$B$8-0.2*(1000/$L$5-10))^2/('5-Parameters'!$B$8+0.8*(1000/$L$5-10)),0))+M17*MAX(0,IF('5-Parameters'!$B$8&gt;0.2*(1000/$M$5-10),('5-Parameters'!$B$8-0.2*(1000/$M$5-10))^2/('5-Parameters'!$B$8+0.8*(1000/$M$5-10)),0))+N17*MAX(0,IF('5-Parameters'!$B$8&gt;0.2*(1000/$N$5-10),('5-Parameters'!$B$8-0.2*(1000/$N$5-10))^2/('5-Parameters'!$B$8+0.8*(1000/$N$5-10)),0))+O17*MAX(0,IF('5-Parameters'!$B$8&gt;0.2*(1000/$O$5-10),('5-Parameters'!$B$8-0.2*(1000/$O$5-10))^2/('5-Parameters'!$B$8+0.8*(1000/$O$5-10)),0))+P17*MAX(0,IF('5-Parameters'!$B$8&gt;0.2*(1000/$P$5-10),('5-Parameters'!$B$8-0.2*(1000/$P$5-10))^2/('5-Parameters'!$B$8+0.8*(1000/$P$5-10)),0))+Q17*MAX(0,IF('5-Parameters'!$B$8&gt;0.2*(1000/$Q$5-10),('5-Parameters'!$B$8-0.2*(1000/$Q$5-10))^2/('5-Parameters'!$B$8+0.8*(1000/$Q$5-10)),0))+R17*MAX(0,IF('5-Parameters'!$B$8&gt;0.2*(1000/$R$5-10),('5-Parameters'!$B$8-0.2*(1000/$R$5-10))^2/('5-Parameters'!$B$8+0.8*(1000/$R$5-10)),0))+S17*MAX(0,IF('5-Parameters'!$B$8&gt;0.2*(1000/$S$5-10),('5-Parameters'!$B$8-0.2*(1000/$S$5-10))^2/('5-Parameters'!$B$8+0.8*(1000/$S$5-10)),0))+T17*MAX(0,IF('5-Parameters'!$B$8&gt;0.2*(1000/$T$5-10),('5-Parameters'!$B$8-0.2*(1000/$T$5-10))^2/('5-Parameters'!$B$8+0.8*(1000/$T$5-10)),0))+U17*MAX(0,IF('5-Parameters'!$B$8&gt;0.2*(1000/$U$5-10),('5-Parameters'!$B$8-0.2*(1000/$U$5-10))^2/('5-Parameters'!$B$8+0.8*(1000/$U$5-10)),0)))/12,0)</f>
        <v/>
      </c>
      <c r="AN17" s="12">
        <f>IFERROR((V17*MAX(0,IF('5-Parameters'!$B$8&gt;0.2*(1000/98-10),('5-Parameters'!$B$8-0.2*(1000/98-10))^2/('5-Parameters'!$B$8+0.8*(1000/98-10)),0))+W17*MAX(0,IF('5-Parameters'!$B$8&gt;0.2*(1000/$W$5-10),('5-Parameters'!$B$8-0.2*(1000/$W$5-10))^2/('5-Parameters'!$B$8+0.8*(1000/$W$5-10)),0))+X17*MAX(0,IF('5-Parameters'!$B$8&gt;0.2*(1000/$X$5-10),('5-Parameters'!$B$8-0.2*(1000/$X$5-10))^2/('5-Parameters'!$B$8+0.8*(1000/$X$5-10)),0))+Y17*MAX(0,IF('5-Parameters'!$B$8&gt;0.2*(1000/$Y$5-10),('5-Parameters'!$B$8-0.2*(1000/$Y$5-10))^2/('5-Parameters'!$B$8+0.8*(1000/$Y$5-10)),0))+Z17*MAX(0,IF('5-Parameters'!$B$8&gt;0.2*(1000/$Z$5-10),('5-Parameters'!$B$8-0.2*(1000/$Z$5-10))^2/('5-Parameters'!$B$8+0.8*(1000/$Z$5-10)),0))+AA17*MAX(0,IF('5-Parameters'!$B$8&gt;0.2*(1000/$AA$5-10),('5-Parameters'!$B$8-0.2*(1000/$AA$5-10))^2/('5-Parameters'!$B$8+0.8*(1000/$AA$5-10)),0))+AB17*MAX(0,IF('5-Parameters'!$B$8&gt;0.2*(1000/$AB$5-10),('5-Parameters'!$B$8-0.2*(1000/$AB$5-10))^2/('5-Parameters'!$B$8+0.8*(1000/$AB$5-10)),0))+AC17*MAX(0,IF('5-Parameters'!$B$8&gt;0.2*(1000/$AC$5-10),('5-Parameters'!$B$8-0.2*(1000/$AC$5-10))^2/('5-Parameters'!$B$8+0.8*(1000/$AC$5-10)),0))+AD17*MAX(0,IF('5-Parameters'!$B$8&gt;0.2*(1000/$AD$5-10),('5-Parameters'!$B$8-0.2*(1000/$AD$5-10))^2/('5-Parameters'!$B$8+0.8*(1000/$AD$5-10)),0))+AE17*MAX(0,IF('5-Parameters'!$B$8&gt;0.2*(1000/$AE$5-10),('5-Parameters'!$B$8-0.2*(1000/$AE$5-10))^2/('5-Parameters'!$B$8+0.8*(1000/$AE$5-10)),0))+AF17*MAX(0,IF('5-Parameters'!$B$8&gt;0.2*(1000/$AF$5-10),('5-Parameters'!$B$8-0.2*(1000/$AF$5-10))^2/('5-Parameters'!$B$8+0.8*(1000/$AF$5-10)),0))+AG17*MAX(0,IF('5-Parameters'!$B$8&gt;0.2*(1000/$AG$5-10),('5-Parameters'!$B$8-0.2*(1000/$AG$5-10))^2/('5-Parameters'!$B$8+0.8*(1000/$AG$5-10)),0))+AH17*MAX(0,IF('5-Parameters'!$B$8&gt;0.2*(1000/$AH$5-10),('5-Parameters'!$B$8-0.2*(1000/$AH$5-10))^2/('5-Parameters'!$B$8+0.8*(1000/$AH$5-10)),0)))/12,0)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23" t="n"/>
      <c r="AC18" s="23" t="n"/>
      <c r="AD18" s="23" t="n"/>
      <c r="AE18" s="23" t="n"/>
      <c r="AF18" s="23" t="n"/>
      <c r="AG18" s="23" t="n"/>
      <c r="AH18" s="23" t="n"/>
      <c r="AI18" s="12">
        <f>IFERROR(IFS(C18="MLD",'5-Parameters'!$B$4,C18="MSI",'5-Parameters'!$B$5,C18="MSI-AWDZ",'5-Parameters'!$B$6,TRUE,"N/A"),"")</f>
        <v/>
      </c>
      <c r="AJ18" s="12">
        <f>IFERROR(IF(C18="","",AI18/12*0.95*(D18+E18+H18)*43560),"")</f>
        <v/>
      </c>
      <c r="AK18" s="12">
        <f>IFERROR(IF(C18="","",AI18/12*0.25*F18*43560),"")</f>
        <v/>
      </c>
      <c r="AL18" s="12">
        <f>IFERROR(IF(C18="","",AJ18+AK18),"")</f>
        <v/>
      </c>
      <c r="AM18" s="12">
        <f>IFERROR((I18*MAX(0,IF('5-Parameters'!$B$8&gt;0.2*(1000/98-10),('5-Parameters'!$B$8-0.2*(1000/98-10))^2/('5-Parameters'!$B$8+0.8*(1000/98-10)),0))+J18*MAX(0,IF('5-Parameters'!$B$8&gt;0.2*(1000/$J$5-10),('5-Parameters'!$B$8-0.2*(1000/$J$5-10))^2/('5-Parameters'!$B$8+0.8*(1000/$J$5-10)),0))+K18*MAX(0,IF('5-Parameters'!$B$8&gt;0.2*(1000/$K$5-10),('5-Parameters'!$B$8-0.2*(1000/$K$5-10))^2/('5-Parameters'!$B$8+0.8*(1000/$K$5-10)),0))+L18*MAX(0,IF('5-Parameters'!$B$8&gt;0.2*(1000/$L$5-10),('5-Parameters'!$B$8-0.2*(1000/$L$5-10))^2/('5-Parameters'!$B$8+0.8*(1000/$L$5-10)),0))+M18*MAX(0,IF('5-Parameters'!$B$8&gt;0.2*(1000/$M$5-10),('5-Parameters'!$B$8-0.2*(1000/$M$5-10))^2/('5-Parameters'!$B$8+0.8*(1000/$M$5-10)),0))+N18*MAX(0,IF('5-Parameters'!$B$8&gt;0.2*(1000/$N$5-10),('5-Parameters'!$B$8-0.2*(1000/$N$5-10))^2/('5-Parameters'!$B$8+0.8*(1000/$N$5-10)),0))+O18*MAX(0,IF('5-Parameters'!$B$8&gt;0.2*(1000/$O$5-10),('5-Parameters'!$B$8-0.2*(1000/$O$5-10))^2/('5-Parameters'!$B$8+0.8*(1000/$O$5-10)),0))+P18*MAX(0,IF('5-Parameters'!$B$8&gt;0.2*(1000/$P$5-10),('5-Parameters'!$B$8-0.2*(1000/$P$5-10))^2/('5-Parameters'!$B$8+0.8*(1000/$P$5-10)),0))+Q18*MAX(0,IF('5-Parameters'!$B$8&gt;0.2*(1000/$Q$5-10),('5-Parameters'!$B$8-0.2*(1000/$Q$5-10))^2/('5-Parameters'!$B$8+0.8*(1000/$Q$5-10)),0))+R18*MAX(0,IF('5-Parameters'!$B$8&gt;0.2*(1000/$R$5-10),('5-Parameters'!$B$8-0.2*(1000/$R$5-10))^2/('5-Parameters'!$B$8+0.8*(1000/$R$5-10)),0))+S18*MAX(0,IF('5-Parameters'!$B$8&gt;0.2*(1000/$S$5-10),('5-Parameters'!$B$8-0.2*(1000/$S$5-10))^2/('5-Parameters'!$B$8+0.8*(1000/$S$5-10)),0))+T18*MAX(0,IF('5-Parameters'!$B$8&gt;0.2*(1000/$T$5-10),('5-Parameters'!$B$8-0.2*(1000/$T$5-10))^2/('5-Parameters'!$B$8+0.8*(1000/$T$5-10)),0))+U18*MAX(0,IF('5-Parameters'!$B$8&gt;0.2*(1000/$U$5-10),('5-Parameters'!$B$8-0.2*(1000/$U$5-10))^2/('5-Parameters'!$B$8+0.8*(1000/$U$5-10)),0)))/12,0)</f>
        <v/>
      </c>
      <c r="AN18" s="12">
        <f>IFERROR((V18*MAX(0,IF('5-Parameters'!$B$8&gt;0.2*(1000/98-10),('5-Parameters'!$B$8-0.2*(1000/98-10))^2/('5-Parameters'!$B$8+0.8*(1000/98-10)),0))+W18*MAX(0,IF('5-Parameters'!$B$8&gt;0.2*(1000/$W$5-10),('5-Parameters'!$B$8-0.2*(1000/$W$5-10))^2/('5-Parameters'!$B$8+0.8*(1000/$W$5-10)),0))+X18*MAX(0,IF('5-Parameters'!$B$8&gt;0.2*(1000/$X$5-10),('5-Parameters'!$B$8-0.2*(1000/$X$5-10))^2/('5-Parameters'!$B$8+0.8*(1000/$X$5-10)),0))+Y18*MAX(0,IF('5-Parameters'!$B$8&gt;0.2*(1000/$Y$5-10),('5-Parameters'!$B$8-0.2*(1000/$Y$5-10))^2/('5-Parameters'!$B$8+0.8*(1000/$Y$5-10)),0))+Z18*MAX(0,IF('5-Parameters'!$B$8&gt;0.2*(1000/$Z$5-10),('5-Parameters'!$B$8-0.2*(1000/$Z$5-10))^2/('5-Parameters'!$B$8+0.8*(1000/$Z$5-10)),0))+AA18*MAX(0,IF('5-Parameters'!$B$8&gt;0.2*(1000/$AA$5-10),('5-Parameters'!$B$8-0.2*(1000/$AA$5-10))^2/('5-Parameters'!$B$8+0.8*(1000/$AA$5-10)),0))+AB18*MAX(0,IF('5-Parameters'!$B$8&gt;0.2*(1000/$AB$5-10),('5-Parameters'!$B$8-0.2*(1000/$AB$5-10))^2/('5-Parameters'!$B$8+0.8*(1000/$AB$5-10)),0))+AC18*MAX(0,IF('5-Parameters'!$B$8&gt;0.2*(1000/$AC$5-10),('5-Parameters'!$B$8-0.2*(1000/$AC$5-10))^2/('5-Parameters'!$B$8+0.8*(1000/$AC$5-10)),0))+AD18*MAX(0,IF('5-Parameters'!$B$8&gt;0.2*(1000/$AD$5-10),('5-Parameters'!$B$8-0.2*(1000/$AD$5-10))^2/('5-Parameters'!$B$8+0.8*(1000/$AD$5-10)),0))+AE18*MAX(0,IF('5-Parameters'!$B$8&gt;0.2*(1000/$AE$5-10),('5-Parameters'!$B$8-0.2*(1000/$AE$5-10))^2/('5-Parameters'!$B$8+0.8*(1000/$AE$5-10)),0))+AF18*MAX(0,IF('5-Parameters'!$B$8&gt;0.2*(1000/$AF$5-10),('5-Parameters'!$B$8-0.2*(1000/$AF$5-10))^2/('5-Parameters'!$B$8+0.8*(1000/$AF$5-10)),0))+AG18*MAX(0,IF('5-Parameters'!$B$8&gt;0.2*(1000/$AG$5-10),('5-Parameters'!$B$8-0.2*(1000/$AG$5-10))^2/('5-Parameters'!$B$8+0.8*(1000/$AG$5-10)),0))+AH18*MAX(0,IF('5-Parameters'!$B$8&gt;0.2*(1000/$AH$5-10),('5-Parameters'!$B$8-0.2*(1000/$AH$5-10))^2/('5-Parameters'!$B$8+0.8*(1000/$AH$5-10)),0)))/12,0)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23" t="n"/>
      <c r="AC19" s="23" t="n"/>
      <c r="AD19" s="23" t="n"/>
      <c r="AE19" s="23" t="n"/>
      <c r="AF19" s="23" t="n"/>
      <c r="AG19" s="23" t="n"/>
      <c r="AH19" s="23" t="n"/>
      <c r="AI19" s="12">
        <f>IFERROR(IFS(C19="MLD",'5-Parameters'!$B$4,C19="MSI",'5-Parameters'!$B$5,C19="MSI-AWDZ",'5-Parameters'!$B$6,TRUE,"N/A"),"")</f>
        <v/>
      </c>
      <c r="AJ19" s="12">
        <f>IFERROR(IF(C19="","",AI19/12*0.95*(D19+E19+H19)*43560),"")</f>
        <v/>
      </c>
      <c r="AK19" s="12">
        <f>IFERROR(IF(C19="","",AI19/12*0.25*F19*43560),"")</f>
        <v/>
      </c>
      <c r="AL19" s="12">
        <f>IFERROR(IF(C19="","",AJ19+AK19),"")</f>
        <v/>
      </c>
      <c r="AM19" s="12">
        <f>IFERROR((I19*MAX(0,IF('5-Parameters'!$B$8&gt;0.2*(1000/98-10),('5-Parameters'!$B$8-0.2*(1000/98-10))^2/('5-Parameters'!$B$8+0.8*(1000/98-10)),0))+J19*MAX(0,IF('5-Parameters'!$B$8&gt;0.2*(1000/$J$5-10),('5-Parameters'!$B$8-0.2*(1000/$J$5-10))^2/('5-Parameters'!$B$8+0.8*(1000/$J$5-10)),0))+K19*MAX(0,IF('5-Parameters'!$B$8&gt;0.2*(1000/$K$5-10),('5-Parameters'!$B$8-0.2*(1000/$K$5-10))^2/('5-Parameters'!$B$8+0.8*(1000/$K$5-10)),0))+L19*MAX(0,IF('5-Parameters'!$B$8&gt;0.2*(1000/$L$5-10),('5-Parameters'!$B$8-0.2*(1000/$L$5-10))^2/('5-Parameters'!$B$8+0.8*(1000/$L$5-10)),0))+M19*MAX(0,IF('5-Parameters'!$B$8&gt;0.2*(1000/$M$5-10),('5-Parameters'!$B$8-0.2*(1000/$M$5-10))^2/('5-Parameters'!$B$8+0.8*(1000/$M$5-10)),0))+N19*MAX(0,IF('5-Parameters'!$B$8&gt;0.2*(1000/$N$5-10),('5-Parameters'!$B$8-0.2*(1000/$N$5-10))^2/('5-Parameters'!$B$8+0.8*(1000/$N$5-10)),0))+O19*MAX(0,IF('5-Parameters'!$B$8&gt;0.2*(1000/$O$5-10),('5-Parameters'!$B$8-0.2*(1000/$O$5-10))^2/('5-Parameters'!$B$8+0.8*(1000/$O$5-10)),0))+P19*MAX(0,IF('5-Parameters'!$B$8&gt;0.2*(1000/$P$5-10),('5-Parameters'!$B$8-0.2*(1000/$P$5-10))^2/('5-Parameters'!$B$8+0.8*(1000/$P$5-10)),0))+Q19*MAX(0,IF('5-Parameters'!$B$8&gt;0.2*(1000/$Q$5-10),('5-Parameters'!$B$8-0.2*(1000/$Q$5-10))^2/('5-Parameters'!$B$8+0.8*(1000/$Q$5-10)),0))+R19*MAX(0,IF('5-Parameters'!$B$8&gt;0.2*(1000/$R$5-10),('5-Parameters'!$B$8-0.2*(1000/$R$5-10))^2/('5-Parameters'!$B$8+0.8*(1000/$R$5-10)),0))+S19*MAX(0,IF('5-Parameters'!$B$8&gt;0.2*(1000/$S$5-10),('5-Parameters'!$B$8-0.2*(1000/$S$5-10))^2/('5-Parameters'!$B$8+0.8*(1000/$S$5-10)),0))+T19*MAX(0,IF('5-Parameters'!$B$8&gt;0.2*(1000/$T$5-10),('5-Parameters'!$B$8-0.2*(1000/$T$5-10))^2/('5-Parameters'!$B$8+0.8*(1000/$T$5-10)),0))+U19*MAX(0,IF('5-Parameters'!$B$8&gt;0.2*(1000/$U$5-10),('5-Parameters'!$B$8-0.2*(1000/$U$5-10))^2/('5-Parameters'!$B$8+0.8*(1000/$U$5-10)),0)))/12,0)</f>
        <v/>
      </c>
      <c r="AN19" s="12">
        <f>IFERROR((V19*MAX(0,IF('5-Parameters'!$B$8&gt;0.2*(1000/98-10),('5-Parameters'!$B$8-0.2*(1000/98-10))^2/('5-Parameters'!$B$8+0.8*(1000/98-10)),0))+W19*MAX(0,IF('5-Parameters'!$B$8&gt;0.2*(1000/$W$5-10),('5-Parameters'!$B$8-0.2*(1000/$W$5-10))^2/('5-Parameters'!$B$8+0.8*(1000/$W$5-10)),0))+X19*MAX(0,IF('5-Parameters'!$B$8&gt;0.2*(1000/$X$5-10),('5-Parameters'!$B$8-0.2*(1000/$X$5-10))^2/('5-Parameters'!$B$8+0.8*(1000/$X$5-10)),0))+Y19*MAX(0,IF('5-Parameters'!$B$8&gt;0.2*(1000/$Y$5-10),('5-Parameters'!$B$8-0.2*(1000/$Y$5-10))^2/('5-Parameters'!$B$8+0.8*(1000/$Y$5-10)),0))+Z19*MAX(0,IF('5-Parameters'!$B$8&gt;0.2*(1000/$Z$5-10),('5-Parameters'!$B$8-0.2*(1000/$Z$5-10))^2/('5-Parameters'!$B$8+0.8*(1000/$Z$5-10)),0))+AA19*MAX(0,IF('5-Parameters'!$B$8&gt;0.2*(1000/$AA$5-10),('5-Parameters'!$B$8-0.2*(1000/$AA$5-10))^2/('5-Parameters'!$B$8+0.8*(1000/$AA$5-10)),0))+AB19*MAX(0,IF('5-Parameters'!$B$8&gt;0.2*(1000/$AB$5-10),('5-Parameters'!$B$8-0.2*(1000/$AB$5-10))^2/('5-Parameters'!$B$8+0.8*(1000/$AB$5-10)),0))+AC19*MAX(0,IF('5-Parameters'!$B$8&gt;0.2*(1000/$AC$5-10),('5-Parameters'!$B$8-0.2*(1000/$AC$5-10))^2/('5-Parameters'!$B$8+0.8*(1000/$AC$5-10)),0))+AD19*MAX(0,IF('5-Parameters'!$B$8&gt;0.2*(1000/$AD$5-10),('5-Parameters'!$B$8-0.2*(1000/$AD$5-10))^2/('5-Parameters'!$B$8+0.8*(1000/$AD$5-10)),0))+AE19*MAX(0,IF('5-Parameters'!$B$8&gt;0.2*(1000/$AE$5-10),('5-Parameters'!$B$8-0.2*(1000/$AE$5-10))^2/('5-Parameters'!$B$8+0.8*(1000/$AE$5-10)),0))+AF19*MAX(0,IF('5-Parameters'!$B$8&gt;0.2*(1000/$AF$5-10),('5-Parameters'!$B$8-0.2*(1000/$AF$5-10))^2/('5-Parameters'!$B$8+0.8*(1000/$AF$5-10)),0))+AG19*MAX(0,IF('5-Parameters'!$B$8&gt;0.2*(1000/$AG$5-10),('5-Parameters'!$B$8-0.2*(1000/$AG$5-10))^2/('5-Parameters'!$B$8+0.8*(1000/$AG$5-10)),0))+AH19*MAX(0,IF('5-Parameters'!$B$8&gt;0.2*(1000/$AH$5-10),('5-Parameters'!$B$8-0.2*(1000/$AH$5-10))^2/('5-Parameters'!$B$8+0.8*(1000/$AH$5-10)),0)))/12,0)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23" t="n"/>
      <c r="AC20" s="23" t="n"/>
      <c r="AD20" s="23" t="n"/>
      <c r="AE20" s="23" t="n"/>
      <c r="AF20" s="23" t="n"/>
      <c r="AG20" s="23" t="n"/>
      <c r="AH20" s="23" t="n"/>
      <c r="AI20" s="12">
        <f>IFERROR(IFS(C20="MLD",'5-Parameters'!$B$4,C20="MSI",'5-Parameters'!$B$5,C20="MSI-AWDZ",'5-Parameters'!$B$6,TRUE,"N/A"),"")</f>
        <v/>
      </c>
      <c r="AJ20" s="12">
        <f>IFERROR(IF(C20="","",AI20/12*0.95*(D20+E20+H20)*43560),"")</f>
        <v/>
      </c>
      <c r="AK20" s="12">
        <f>IFERROR(IF(C20="","",AI20/12*0.25*F20*43560),"")</f>
        <v/>
      </c>
      <c r="AL20" s="12">
        <f>IFERROR(IF(C20="","",AJ20+AK20),"")</f>
        <v/>
      </c>
      <c r="AM20" s="12">
        <f>IFERROR((I20*MAX(0,IF('5-Parameters'!$B$8&gt;0.2*(1000/98-10),('5-Parameters'!$B$8-0.2*(1000/98-10))^2/('5-Parameters'!$B$8+0.8*(1000/98-10)),0))+J20*MAX(0,IF('5-Parameters'!$B$8&gt;0.2*(1000/$J$5-10),('5-Parameters'!$B$8-0.2*(1000/$J$5-10))^2/('5-Parameters'!$B$8+0.8*(1000/$J$5-10)),0))+K20*MAX(0,IF('5-Parameters'!$B$8&gt;0.2*(1000/$K$5-10),('5-Parameters'!$B$8-0.2*(1000/$K$5-10))^2/('5-Parameters'!$B$8+0.8*(1000/$K$5-10)),0))+L20*MAX(0,IF('5-Parameters'!$B$8&gt;0.2*(1000/$L$5-10),('5-Parameters'!$B$8-0.2*(1000/$L$5-10))^2/('5-Parameters'!$B$8+0.8*(1000/$L$5-10)),0))+M20*MAX(0,IF('5-Parameters'!$B$8&gt;0.2*(1000/$M$5-10),('5-Parameters'!$B$8-0.2*(1000/$M$5-10))^2/('5-Parameters'!$B$8+0.8*(1000/$M$5-10)),0))+N20*MAX(0,IF('5-Parameters'!$B$8&gt;0.2*(1000/$N$5-10),('5-Parameters'!$B$8-0.2*(1000/$N$5-10))^2/('5-Parameters'!$B$8+0.8*(1000/$N$5-10)),0))+O20*MAX(0,IF('5-Parameters'!$B$8&gt;0.2*(1000/$O$5-10),('5-Parameters'!$B$8-0.2*(1000/$O$5-10))^2/('5-Parameters'!$B$8+0.8*(1000/$O$5-10)),0))+P20*MAX(0,IF('5-Parameters'!$B$8&gt;0.2*(1000/$P$5-10),('5-Parameters'!$B$8-0.2*(1000/$P$5-10))^2/('5-Parameters'!$B$8+0.8*(1000/$P$5-10)),0))+Q20*MAX(0,IF('5-Parameters'!$B$8&gt;0.2*(1000/$Q$5-10),('5-Parameters'!$B$8-0.2*(1000/$Q$5-10))^2/('5-Parameters'!$B$8+0.8*(1000/$Q$5-10)),0))+R20*MAX(0,IF('5-Parameters'!$B$8&gt;0.2*(1000/$R$5-10),('5-Parameters'!$B$8-0.2*(1000/$R$5-10))^2/('5-Parameters'!$B$8+0.8*(1000/$R$5-10)),0))+S20*MAX(0,IF('5-Parameters'!$B$8&gt;0.2*(1000/$S$5-10),('5-Parameters'!$B$8-0.2*(1000/$S$5-10))^2/('5-Parameters'!$B$8+0.8*(1000/$S$5-10)),0))+T20*MAX(0,IF('5-Parameters'!$B$8&gt;0.2*(1000/$T$5-10),('5-Parameters'!$B$8-0.2*(1000/$T$5-10))^2/('5-Parameters'!$B$8+0.8*(1000/$T$5-10)),0))+U20*MAX(0,IF('5-Parameters'!$B$8&gt;0.2*(1000/$U$5-10),('5-Parameters'!$B$8-0.2*(1000/$U$5-10))^2/('5-Parameters'!$B$8+0.8*(1000/$U$5-10)),0)))/12,0)</f>
        <v/>
      </c>
      <c r="AN20" s="12">
        <f>IFERROR((V20*MAX(0,IF('5-Parameters'!$B$8&gt;0.2*(1000/98-10),('5-Parameters'!$B$8-0.2*(1000/98-10))^2/('5-Parameters'!$B$8+0.8*(1000/98-10)),0))+W20*MAX(0,IF('5-Parameters'!$B$8&gt;0.2*(1000/$W$5-10),('5-Parameters'!$B$8-0.2*(1000/$W$5-10))^2/('5-Parameters'!$B$8+0.8*(1000/$W$5-10)),0))+X20*MAX(0,IF('5-Parameters'!$B$8&gt;0.2*(1000/$X$5-10),('5-Parameters'!$B$8-0.2*(1000/$X$5-10))^2/('5-Parameters'!$B$8+0.8*(1000/$X$5-10)),0))+Y20*MAX(0,IF('5-Parameters'!$B$8&gt;0.2*(1000/$Y$5-10),('5-Parameters'!$B$8-0.2*(1000/$Y$5-10))^2/('5-Parameters'!$B$8+0.8*(1000/$Y$5-10)),0))+Z20*MAX(0,IF('5-Parameters'!$B$8&gt;0.2*(1000/$Z$5-10),('5-Parameters'!$B$8-0.2*(1000/$Z$5-10))^2/('5-Parameters'!$B$8+0.8*(1000/$Z$5-10)),0))+AA20*MAX(0,IF('5-Parameters'!$B$8&gt;0.2*(1000/$AA$5-10),('5-Parameters'!$B$8-0.2*(1000/$AA$5-10))^2/('5-Parameters'!$B$8+0.8*(1000/$AA$5-10)),0))+AB20*MAX(0,IF('5-Parameters'!$B$8&gt;0.2*(1000/$AB$5-10),('5-Parameters'!$B$8-0.2*(1000/$AB$5-10))^2/('5-Parameters'!$B$8+0.8*(1000/$AB$5-10)),0))+AC20*MAX(0,IF('5-Parameters'!$B$8&gt;0.2*(1000/$AC$5-10),('5-Parameters'!$B$8-0.2*(1000/$AC$5-10))^2/('5-Parameters'!$B$8+0.8*(1000/$AC$5-10)),0))+AD20*MAX(0,IF('5-Parameters'!$B$8&gt;0.2*(1000/$AD$5-10),('5-Parameters'!$B$8-0.2*(1000/$AD$5-10))^2/('5-Parameters'!$B$8+0.8*(1000/$AD$5-10)),0))+AE20*MAX(0,IF('5-Parameters'!$B$8&gt;0.2*(1000/$AE$5-10),('5-Parameters'!$B$8-0.2*(1000/$AE$5-10))^2/('5-Parameters'!$B$8+0.8*(1000/$AE$5-10)),0))+AF20*MAX(0,IF('5-Parameters'!$B$8&gt;0.2*(1000/$AF$5-10),('5-Parameters'!$B$8-0.2*(1000/$AF$5-10))^2/('5-Parameters'!$B$8+0.8*(1000/$AF$5-10)),0))+AG20*MAX(0,IF('5-Parameters'!$B$8&gt;0.2*(1000/$AG$5-10),('5-Parameters'!$B$8-0.2*(1000/$AG$5-10))^2/('5-Parameters'!$B$8+0.8*(1000/$AG$5-10)),0))+AH20*MAX(0,IF('5-Parameters'!$B$8&gt;0.2*(1000/$AH$5-10),('5-Parameters'!$B$8-0.2*(1000/$AH$5-10))^2/('5-Parameters'!$B$8+0.8*(1000/$AH$5-10)),0)))/12,0)</f>
        <v/>
      </c>
    </row>
    <row r="21">
      <c r="A21" s="9" t="inlineStr">
        <is>
          <t>SITE TOTALS</t>
        </is>
      </c>
      <c r="B21" s="10" t="n"/>
      <c r="C21" s="11" t="n"/>
      <c r="D21" s="3">
        <f>SUM(D6:D20)</f>
        <v/>
      </c>
      <c r="E21" s="3">
        <f>SUM(E6:E20)</f>
        <v/>
      </c>
      <c r="F21" s="3">
        <f>SUM(F6:F20)</f>
        <v/>
      </c>
      <c r="G21" s="3">
        <f>SUM(G6:G20)</f>
        <v/>
      </c>
      <c r="H21" s="3">
        <f>SUM(H6:H20)</f>
        <v/>
      </c>
      <c r="I21" s="27">
        <f>SUM(I6:I20)</f>
        <v/>
      </c>
      <c r="J21" s="27">
        <f>SUM(J6:J20)</f>
        <v/>
      </c>
      <c r="K21" s="27">
        <f>SUM(K6:K20)</f>
        <v/>
      </c>
      <c r="L21" s="27">
        <f>SUM(L6:L20)</f>
        <v/>
      </c>
      <c r="M21" s="27">
        <f>SUM(M6:M20)</f>
        <v/>
      </c>
      <c r="N21" s="27">
        <f>SUM(N6:N20)</f>
        <v/>
      </c>
      <c r="O21" s="27">
        <f>SUM(O6:O20)</f>
        <v/>
      </c>
      <c r="P21" s="27">
        <f>SUM(P6:P20)</f>
        <v/>
      </c>
      <c r="Q21" s="27">
        <f>SUM(Q6:Q20)</f>
        <v/>
      </c>
      <c r="R21" s="27">
        <f>SUM(R6:R20)</f>
        <v/>
      </c>
      <c r="S21" s="27">
        <f>SUM(S6:S20)</f>
        <v/>
      </c>
      <c r="T21" s="27">
        <f>SUM(T6:T20)</f>
        <v/>
      </c>
      <c r="U21" s="27">
        <f>SUM(U6:U20)</f>
        <v/>
      </c>
      <c r="V21" s="19">
        <f>SUM(V6:V20)</f>
        <v/>
      </c>
      <c r="W21" s="19">
        <f>SUM(W6:W20)</f>
        <v/>
      </c>
      <c r="X21" s="19">
        <f>SUM(X6:X20)</f>
        <v/>
      </c>
      <c r="Y21" s="19">
        <f>SUM(Y6:Y20)</f>
        <v/>
      </c>
      <c r="Z21" s="19">
        <f>SUM(Z6:Z20)</f>
        <v/>
      </c>
      <c r="AA21" s="19">
        <f>SUM(AA6:AA20)</f>
        <v/>
      </c>
      <c r="AB21" s="19">
        <f>SUM(AB6:AB20)</f>
        <v/>
      </c>
      <c r="AC21" s="19">
        <f>SUM(AC6:AC20)</f>
        <v/>
      </c>
      <c r="AD21" s="19">
        <f>SUM(AD6:AD20)</f>
        <v/>
      </c>
      <c r="AE21" s="19">
        <f>SUM(AE6:AE20)</f>
        <v/>
      </c>
      <c r="AF21" s="19">
        <f>SUM(AF6:AF20)</f>
        <v/>
      </c>
      <c r="AG21" s="19">
        <f>SUM(AG6:AG20)</f>
        <v/>
      </c>
      <c r="AH21" s="19">
        <f>SUM(AH6:AH20)</f>
        <v/>
      </c>
      <c r="AI21" s="3">
        <f>SUM(AI6:AI20)</f>
        <v/>
      </c>
      <c r="AJ21" s="3">
        <f>SUM(AJ6:AJ20)</f>
        <v/>
      </c>
      <c r="AK21" s="3">
        <f>SUM(AK6:AK20)</f>
        <v/>
      </c>
      <c r="AL21" s="3">
        <f>SUM(AL6:AL20)</f>
        <v/>
      </c>
      <c r="AM21" s="19">
        <f>SUM(AM6:AM20)</f>
        <v/>
      </c>
      <c r="AN21" s="19">
        <f>SUM(AN6:AN20)</f>
        <v/>
      </c>
    </row>
    <row r="22" ht="14" customHeight="1">
      <c r="A22" s="20" t="inlineStr">
        <is>
          <t>DOEE SWRv = (P/12)x[0.95x(Imp+Veh+BMP_ac)+0.25xComp_ac]x43,560. Enter DOEE areas in ACRES.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</row>
    <row r="23" ht="14" customHeight="1">
      <c r="A23" s="20" t="inlineStr">
        <is>
          <t>EISA: Enter Existing and Proposed areas in SF, broken out by land cover AND HSG. CN defaults in Row 5 — adjust per soil borings.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</row>
    <row r="24" ht="14" customHeight="1">
      <c r="A24" s="20" t="inlineStr">
        <is>
          <t>EISA runoff: Q_a=(P-0.2S)^2/(P+0.8S), S=1000/CN-10. Vol=SUM[Area_i x Qa_i]/12. CN=TR-55 values consistent with EISA sample comps.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</row>
    <row r="25" ht="14" customHeight="1">
      <c r="A25" s="20" t="inlineStr">
        <is>
          <t>HSG-A Woods (CN=25) and HSG-B Woods (CN=55) produce zero runoff at P=1.7" (0.2S &gt; 1.7). Include in area for completeness.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</row>
    <row r="26" ht="14" customHeight="1">
      <c r="A26" s="20" t="inlineStr">
        <is>
          <t>EISA compliance (Sheet 1): Net post-dev = Col AN - BMP Vol Inf &lt;= Col AM (pre-dev). Ref: Rock Creek Park EISA §438 calcs.</t>
        </is>
      </c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</row>
  </sheetData>
  <mergeCells count="22">
    <mergeCell ref="R3:U3"/>
    <mergeCell ref="AM2:AN2"/>
    <mergeCell ref="A26:AN26"/>
    <mergeCell ref="J3:M3"/>
    <mergeCell ref="AA3:AD3"/>
    <mergeCell ref="A21:C21"/>
    <mergeCell ref="A23:AN23"/>
    <mergeCell ref="AI2:AL2"/>
    <mergeCell ref="A2:C2"/>
    <mergeCell ref="A22:AN22"/>
    <mergeCell ref="D2:H2"/>
    <mergeCell ref="V3"/>
    <mergeCell ref="V2:AH2"/>
    <mergeCell ref="I2:U2"/>
    <mergeCell ref="A24:AN24"/>
    <mergeCell ref="N3:Q3"/>
    <mergeCell ref="AE3:AH3"/>
    <mergeCell ref="A5:H5"/>
    <mergeCell ref="A1:AN1"/>
    <mergeCell ref="W3:Z3"/>
    <mergeCell ref="I3"/>
    <mergeCell ref="A25:AN25"/>
  </mergeCells>
  <dataValidations count="1">
    <dataValidation sqref="C6:C20" showDropDown="0" showInputMessage="0" showErrorMessage="0" allowBlank="1" type="list">
      <formula1>"MLD,MSI,MSI-AWDZ"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" customWidth="1" min="2" max="2"/>
    <col width="7" customWidth="1" min="3" max="3"/>
    <col width="16" customWidth="1" min="4" max="4"/>
    <col width="7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8" customWidth="1" min="11" max="11"/>
    <col width="8" customWidth="1" min="12" max="12"/>
    <col width="7" customWidth="1" min="13" max="13"/>
    <col width="8" customWidth="1" min="14" max="14"/>
    <col width="7" customWidth="1" min="15" max="15"/>
    <col width="9" customWidth="1" min="16" max="16"/>
    <col width="8" customWidth="1" min="17" max="17"/>
    <col width="7" customWidth="1" min="18" max="18"/>
    <col width="10" customWidth="1" min="19" max="19"/>
    <col width="10" customWidth="1" min="20" max="20"/>
    <col width="7" customWidth="1" min="21" max="21"/>
    <col width="13" customWidth="1" min="22" max="22"/>
    <col width="13" customWidth="1" min="23" max="23"/>
  </cols>
  <sheetData>
    <row r="1" ht="22" customHeight="1">
      <c r="A1" s="9" t="inlineStr">
        <is>
          <t>BMP STORAGE PROVIDED — DOEE COMPLIANCE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1" t="n"/>
    </row>
    <row r="2" ht="40" customHeight="1">
      <c r="A2" s="29" t="inlineStr">
        <is>
          <t>BMP Name</t>
        </is>
      </c>
      <c r="B2" s="29" t="inlineStr">
        <is>
          <t>SDA</t>
        </is>
      </c>
      <c r="C2" s="29" t="inlineStr">
        <is>
          <t>CDA</t>
        </is>
      </c>
      <c r="D2" s="29" t="inlineStr">
        <is>
          <t>Notes</t>
        </is>
      </c>
      <c r="E2" s="29" t="inlineStr">
        <is>
          <t>BMP Type</t>
        </is>
      </c>
      <c r="F2" s="29" t="inlineStr">
        <is>
          <t>SA Bot
(SF)</t>
        </is>
      </c>
      <c r="G2" s="29" t="inlineStr">
        <is>
          <t>SA Top
(SF)</t>
        </is>
      </c>
      <c r="H2" s="29" t="inlineStr">
        <is>
          <t>CDA Imp
(ac)</t>
        </is>
      </c>
      <c r="I2" s="29" t="inlineStr">
        <is>
          <t>CDA Comp
(ac)</t>
        </is>
      </c>
      <c r="J2" s="29" t="inlineStr">
        <is>
          <t>BMP Area
CDA (ac)</t>
        </is>
      </c>
      <c r="K2" s="29" t="inlineStr">
        <is>
          <t>Ponding
(in)</t>
        </is>
      </c>
      <c r="L2" s="29" t="inlineStr">
        <is>
          <t>Media
(in)</t>
        </is>
      </c>
      <c r="M2" s="29" t="inlineStr">
        <is>
          <t>eta
media</t>
        </is>
      </c>
      <c r="N2" s="29" t="inlineStr">
        <is>
          <t>Stone
(in)</t>
        </is>
      </c>
      <c r="O2" s="29" t="inlineStr">
        <is>
          <t>eta
stone</t>
        </is>
      </c>
      <c r="P2" s="29" t="inlineStr">
        <is>
          <t>Cistern
(gal)</t>
        </is>
      </c>
      <c r="Q2" s="29" t="inlineStr">
        <is>
          <t>Drain
Layer (in)</t>
        </is>
      </c>
      <c r="R2" s="29" t="inlineStr">
        <is>
          <t>eta DL</t>
        </is>
      </c>
      <c r="S2" s="9" t="inlineStr">
        <is>
          <t>Sv
(ft3)</t>
        </is>
      </c>
      <c r="T2" s="9" t="inlineStr">
        <is>
          <t>Vmax
(ft3)</t>
        </is>
      </c>
      <c r="U2" s="9" t="inlineStr">
        <is>
          <t>Ret.
Value</t>
        </is>
      </c>
      <c r="V2" s="9" t="inlineStr">
        <is>
          <t>Vol Ret.
(ft3)</t>
        </is>
      </c>
      <c r="W2" s="9" t="inlineStr">
        <is>
          <t>Vol Ret.
(gal)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12">
        <f>IFERROR(IFS(OR(E3="B-1",E3="B-2"),F3*(L3/12*M3+N3/12*O3)+(F3+G3)/2*(K3/12),OR(E3="G-1",E3="G-2"),F3*(L3*M3+Q3*R3)/12,OR(E3="P-1",E3="P-2",E3="P-3"),F3*(N3/12*O3),E3="R-1",P3/7.48,E3="ISD",0,TRUE,0),0)</f>
        <v/>
      </c>
      <c r="T3" s="12">
        <f>IFERROR(('5-Parameters'!$B$7/12)*(0.25*I3+0.95*(H3+J3))*43560,0)</f>
        <v/>
      </c>
      <c r="U3" s="12">
        <f>IFERROR(IFS(E3="B-1",0.6,E3="B-2",1.0,E3="G-1",0.6,E3="G-2",1.0,E3="P-1",1.0,E3="P-2",0.6,E3="P-3",0.6,E3="R-1",1.0,E3="ISD",0.5,TRUE,0),0)</f>
        <v/>
      </c>
      <c r="V3" s="12">
        <f>IFERROR(IF(E3="","",MIN(T3,S3*U3)),0)</f>
        <v/>
      </c>
      <c r="W3" s="12">
        <f>IFERROR(IF(V3=0,"",V3*7.48),"")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12">
        <f>IFERROR(IFS(OR(E4="B-1",E4="B-2"),F4*(L4/12*M4+N4/12*O4)+(F4+G4)/2*(K4/12),OR(E4="G-1",E4="G-2"),F4*(L4*M4+Q4*R4)/12,OR(E4="P-1",E4="P-2",E4="P-3"),F4*(N4/12*O4),E4="R-1",P4/7.48,E4="ISD",0,TRUE,0),0)</f>
        <v/>
      </c>
      <c r="T4" s="12">
        <f>IFERROR(('5-Parameters'!$B$7/12)*(0.25*I4+0.95*(H4+J4))*43560,0)</f>
        <v/>
      </c>
      <c r="U4" s="12">
        <f>IFERROR(IFS(E4="B-1",0.6,E4="B-2",1.0,E4="G-1",0.6,E4="G-2",1.0,E4="P-1",1.0,E4="P-2",0.6,E4="P-3",0.6,E4="R-1",1.0,E4="ISD",0.5,TRUE,0),0)</f>
        <v/>
      </c>
      <c r="V4" s="12">
        <f>IFERROR(IF(E4="","",MIN(T4,S4*U4)),0)</f>
        <v/>
      </c>
      <c r="W4" s="12">
        <f>IFERROR(IF(V4=0,"",V4*7.48),"")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12">
        <f>IFERROR(IFS(OR(E5="B-1",E5="B-2"),F5*(L5/12*M5+N5/12*O5)+(F5+G5)/2*(K5/12),OR(E5="G-1",E5="G-2"),F5*(L5*M5+Q5*R5)/12,OR(E5="P-1",E5="P-2",E5="P-3"),F5*(N5/12*O5),E5="R-1",P5/7.48,E5="ISD",0,TRUE,0),0)</f>
        <v/>
      </c>
      <c r="T5" s="12">
        <f>IFERROR(('5-Parameters'!$B$7/12)*(0.25*I5+0.95*(H5+J5))*43560,0)</f>
        <v/>
      </c>
      <c r="U5" s="12">
        <f>IFERROR(IFS(E5="B-1",0.6,E5="B-2",1.0,E5="G-1",0.6,E5="G-2",1.0,E5="P-1",1.0,E5="P-2",0.6,E5="P-3",0.6,E5="R-1",1.0,E5="ISD",0.5,TRUE,0),0)</f>
        <v/>
      </c>
      <c r="V5" s="12">
        <f>IFERROR(IF(E5="","",MIN(T5,S5*U5)),0)</f>
        <v/>
      </c>
      <c r="W5" s="12">
        <f>IFERROR(IF(V5=0,"",V5*7.48),"")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12">
        <f>IFERROR(IFS(OR(E6="B-1",E6="B-2"),F6*(L6/12*M6+N6/12*O6)+(F6+G6)/2*(K6/12),OR(E6="G-1",E6="G-2"),F6*(L6*M6+Q6*R6)/12,OR(E6="P-1",E6="P-2",E6="P-3"),F6*(N6/12*O6),E6="R-1",P6/7.48,E6="ISD",0,TRUE,0),0)</f>
        <v/>
      </c>
      <c r="T6" s="12">
        <f>IFERROR(('5-Parameters'!$B$7/12)*(0.25*I6+0.95*(H6+J6))*43560,0)</f>
        <v/>
      </c>
      <c r="U6" s="12">
        <f>IFERROR(IFS(E6="B-1",0.6,E6="B-2",1.0,E6="G-1",0.6,E6="G-2",1.0,E6="P-1",1.0,E6="P-2",0.6,E6="P-3",0.6,E6="R-1",1.0,E6="ISD",0.5,TRUE,0),0)</f>
        <v/>
      </c>
      <c r="V6" s="12">
        <f>IFERROR(IF(E6="","",MIN(T6,S6*U6)),0)</f>
        <v/>
      </c>
      <c r="W6" s="12">
        <f>IFERROR(IF(V6=0,"",V6*7.48),"")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12">
        <f>IFERROR(IFS(OR(E7="B-1",E7="B-2"),F7*(L7/12*M7+N7/12*O7)+(F7+G7)/2*(K7/12),OR(E7="G-1",E7="G-2"),F7*(L7*M7+Q7*R7)/12,OR(E7="P-1",E7="P-2",E7="P-3"),F7*(N7/12*O7),E7="R-1",P7/7.48,E7="ISD",0,TRUE,0),0)</f>
        <v/>
      </c>
      <c r="T7" s="12">
        <f>IFERROR(('5-Parameters'!$B$7/12)*(0.25*I7+0.95*(H7+J7))*43560,0)</f>
        <v/>
      </c>
      <c r="U7" s="12">
        <f>IFERROR(IFS(E7="B-1",0.6,E7="B-2",1.0,E7="G-1",0.6,E7="G-2",1.0,E7="P-1",1.0,E7="P-2",0.6,E7="P-3",0.6,E7="R-1",1.0,E7="ISD",0.5,TRUE,0),0)</f>
        <v/>
      </c>
      <c r="V7" s="12">
        <f>IFERROR(IF(E7="","",MIN(T7,S7*U7)),0)</f>
        <v/>
      </c>
      <c r="W7" s="12">
        <f>IFERROR(IF(V7=0,"",V7*7.48),"")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12">
        <f>IFERROR(IFS(OR(E8="B-1",E8="B-2"),F8*(L8/12*M8+N8/12*O8)+(F8+G8)/2*(K8/12),OR(E8="G-1",E8="G-2"),F8*(L8*M8+Q8*R8)/12,OR(E8="P-1",E8="P-2",E8="P-3"),F8*(N8/12*O8),E8="R-1",P8/7.48,E8="ISD",0,TRUE,0),0)</f>
        <v/>
      </c>
      <c r="T8" s="12">
        <f>IFERROR(('5-Parameters'!$B$7/12)*(0.25*I8+0.95*(H8+J8))*43560,0)</f>
        <v/>
      </c>
      <c r="U8" s="12">
        <f>IFERROR(IFS(E8="B-1",0.6,E8="B-2",1.0,E8="G-1",0.6,E8="G-2",1.0,E8="P-1",1.0,E8="P-2",0.6,E8="P-3",0.6,E8="R-1",1.0,E8="ISD",0.5,TRUE,0),0)</f>
        <v/>
      </c>
      <c r="V8" s="12">
        <f>IFERROR(IF(E8="","",MIN(T8,S8*U8)),0)</f>
        <v/>
      </c>
      <c r="W8" s="12">
        <f>IFERROR(IF(V8=0,"",V8*7.48),"")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12">
        <f>IFERROR(IFS(OR(E9="B-1",E9="B-2"),F9*(L9/12*M9+N9/12*O9)+(F9+G9)/2*(K9/12),OR(E9="G-1",E9="G-2"),F9*(L9*M9+Q9*R9)/12,OR(E9="P-1",E9="P-2",E9="P-3"),F9*(N9/12*O9),E9="R-1",P9/7.48,E9="ISD",0,TRUE,0),0)</f>
        <v/>
      </c>
      <c r="T9" s="12">
        <f>IFERROR(('5-Parameters'!$B$7/12)*(0.25*I9+0.95*(H9+J9))*43560,0)</f>
        <v/>
      </c>
      <c r="U9" s="12">
        <f>IFERROR(IFS(E9="B-1",0.6,E9="B-2",1.0,E9="G-1",0.6,E9="G-2",1.0,E9="P-1",1.0,E9="P-2",0.6,E9="P-3",0.6,E9="R-1",1.0,E9="ISD",0.5,TRUE,0),0)</f>
        <v/>
      </c>
      <c r="V9" s="12">
        <f>IFERROR(IF(E9="","",MIN(T9,S9*U9)),0)</f>
        <v/>
      </c>
      <c r="W9" s="12">
        <f>IFERROR(IF(V9=0,"",V9*7.48),"")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12">
        <f>IFERROR(IFS(OR(E10="B-1",E10="B-2"),F10*(L10/12*M10+N10/12*O10)+(F10+G10)/2*(K10/12),OR(E10="G-1",E10="G-2"),F10*(L10*M10+Q10*R10)/12,OR(E10="P-1",E10="P-2",E10="P-3"),F10*(N10/12*O10),E10="R-1",P10/7.48,E10="ISD",0,TRUE,0),0)</f>
        <v/>
      </c>
      <c r="T10" s="12">
        <f>IFERROR(('5-Parameters'!$B$7/12)*(0.25*I10+0.95*(H10+J10))*43560,0)</f>
        <v/>
      </c>
      <c r="U10" s="12">
        <f>IFERROR(IFS(E10="B-1",0.6,E10="B-2",1.0,E10="G-1",0.6,E10="G-2",1.0,E10="P-1",1.0,E10="P-2",0.6,E10="P-3",0.6,E10="R-1",1.0,E10="ISD",0.5,TRUE,0),0)</f>
        <v/>
      </c>
      <c r="V10" s="12">
        <f>IFERROR(IF(E10="","",MIN(T10,S10*U10)),0)</f>
        <v/>
      </c>
      <c r="W10" s="12">
        <f>IFERROR(IF(V10=0,"",V10*7.48),"")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12">
        <f>IFERROR(IFS(OR(E11="B-1",E11="B-2"),F11*(L11/12*M11+N11/12*O11)+(F11+G11)/2*(K11/12),OR(E11="G-1",E11="G-2"),F11*(L11*M11+Q11*R11)/12,OR(E11="P-1",E11="P-2",E11="P-3"),F11*(N11/12*O11),E11="R-1",P11/7.48,E11="ISD",0,TRUE,0),0)</f>
        <v/>
      </c>
      <c r="T11" s="12">
        <f>IFERROR(('5-Parameters'!$B$7/12)*(0.25*I11+0.95*(H11+J11))*43560,0)</f>
        <v/>
      </c>
      <c r="U11" s="12">
        <f>IFERROR(IFS(E11="B-1",0.6,E11="B-2",1.0,E11="G-1",0.6,E11="G-2",1.0,E11="P-1",1.0,E11="P-2",0.6,E11="P-3",0.6,E11="R-1",1.0,E11="ISD",0.5,TRUE,0),0)</f>
        <v/>
      </c>
      <c r="V11" s="12">
        <f>IFERROR(IF(E11="","",MIN(T11,S11*U11)),0)</f>
        <v/>
      </c>
      <c r="W11" s="12">
        <f>IFERROR(IF(V11=0,"",V11*7.48),"")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12">
        <f>IFERROR(IFS(OR(E12="B-1",E12="B-2"),F12*(L12/12*M12+N12/12*O12)+(F12+G12)/2*(K12/12),OR(E12="G-1",E12="G-2"),F12*(L12*M12+Q12*R12)/12,OR(E12="P-1",E12="P-2",E12="P-3"),F12*(N12/12*O12),E12="R-1",P12/7.48,E12="ISD",0,TRUE,0),0)</f>
        <v/>
      </c>
      <c r="T12" s="12">
        <f>IFERROR(('5-Parameters'!$B$7/12)*(0.25*I12+0.95*(H12+J12))*43560,0)</f>
        <v/>
      </c>
      <c r="U12" s="12">
        <f>IFERROR(IFS(E12="B-1",0.6,E12="B-2",1.0,E12="G-1",0.6,E12="G-2",1.0,E12="P-1",1.0,E12="P-2",0.6,E12="P-3",0.6,E12="R-1",1.0,E12="ISD",0.5,TRUE,0),0)</f>
        <v/>
      </c>
      <c r="V12" s="12">
        <f>IFERROR(IF(E12="","",MIN(T12,S12*U12)),0)</f>
        <v/>
      </c>
      <c r="W12" s="12">
        <f>IFERROR(IF(V12=0,"",V12*7.48),"")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12">
        <f>IFERROR(IFS(OR(E13="B-1",E13="B-2"),F13*(L13/12*M13+N13/12*O13)+(F13+G13)/2*(K13/12),OR(E13="G-1",E13="G-2"),F13*(L13*M13+Q13*R13)/12,OR(E13="P-1",E13="P-2",E13="P-3"),F13*(N13/12*O13),E13="R-1",P13/7.48,E13="ISD",0,TRUE,0),0)</f>
        <v/>
      </c>
      <c r="T13" s="12">
        <f>IFERROR(('5-Parameters'!$B$7/12)*(0.25*I13+0.95*(H13+J13))*43560,0)</f>
        <v/>
      </c>
      <c r="U13" s="12">
        <f>IFERROR(IFS(E13="B-1",0.6,E13="B-2",1.0,E13="G-1",0.6,E13="G-2",1.0,E13="P-1",1.0,E13="P-2",0.6,E13="P-3",0.6,E13="R-1",1.0,E13="ISD",0.5,TRUE,0),0)</f>
        <v/>
      </c>
      <c r="V13" s="12">
        <f>IFERROR(IF(E13="","",MIN(T13,S13*U13)),0)</f>
        <v/>
      </c>
      <c r="W13" s="12">
        <f>IFERROR(IF(V13=0,"",V13*7.48),"")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12">
        <f>IFERROR(IFS(OR(E14="B-1",E14="B-2"),F14*(L14/12*M14+N14/12*O14)+(F14+G14)/2*(K14/12),OR(E14="G-1",E14="G-2"),F14*(L14*M14+Q14*R14)/12,OR(E14="P-1",E14="P-2",E14="P-3"),F14*(N14/12*O14),E14="R-1",P14/7.48,E14="ISD",0,TRUE,0),0)</f>
        <v/>
      </c>
      <c r="T14" s="12">
        <f>IFERROR(('5-Parameters'!$B$7/12)*(0.25*I14+0.95*(H14+J14))*43560,0)</f>
        <v/>
      </c>
      <c r="U14" s="12">
        <f>IFERROR(IFS(E14="B-1",0.6,E14="B-2",1.0,E14="G-1",0.6,E14="G-2",1.0,E14="P-1",1.0,E14="P-2",0.6,E14="P-3",0.6,E14="R-1",1.0,E14="ISD",0.5,TRUE,0),0)</f>
        <v/>
      </c>
      <c r="V14" s="12">
        <f>IFERROR(IF(E14="","",MIN(T14,S14*U14)),0)</f>
        <v/>
      </c>
      <c r="W14" s="12">
        <f>IFERROR(IF(V14=0,"",V14*7.48),"")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12">
        <f>IFERROR(IFS(OR(E15="B-1",E15="B-2"),F15*(L15/12*M15+N15/12*O15)+(F15+G15)/2*(K15/12),OR(E15="G-1",E15="G-2"),F15*(L15*M15+Q15*R15)/12,OR(E15="P-1",E15="P-2",E15="P-3"),F15*(N15/12*O15),E15="R-1",P15/7.48,E15="ISD",0,TRUE,0),0)</f>
        <v/>
      </c>
      <c r="T15" s="12">
        <f>IFERROR(('5-Parameters'!$B$7/12)*(0.25*I15+0.95*(H15+J15))*43560,0)</f>
        <v/>
      </c>
      <c r="U15" s="12">
        <f>IFERROR(IFS(E15="B-1",0.6,E15="B-2",1.0,E15="G-1",0.6,E15="G-2",1.0,E15="P-1",1.0,E15="P-2",0.6,E15="P-3",0.6,E15="R-1",1.0,E15="ISD",0.5,TRUE,0),0)</f>
        <v/>
      </c>
      <c r="V15" s="12">
        <f>IFERROR(IF(E15="","",MIN(T15,S15*U15)),0)</f>
        <v/>
      </c>
      <c r="W15" s="12">
        <f>IFERROR(IF(V15=0,"",V15*7.48),"")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12">
        <f>IFERROR(IFS(OR(E16="B-1",E16="B-2"),F16*(L16/12*M16+N16/12*O16)+(F16+G16)/2*(K16/12),OR(E16="G-1",E16="G-2"),F16*(L16*M16+Q16*R16)/12,OR(E16="P-1",E16="P-2",E16="P-3"),F16*(N16/12*O16),E16="R-1",P16/7.48,E16="ISD",0,TRUE,0),0)</f>
        <v/>
      </c>
      <c r="T16" s="12">
        <f>IFERROR(('5-Parameters'!$B$7/12)*(0.25*I16+0.95*(H16+J16))*43560,0)</f>
        <v/>
      </c>
      <c r="U16" s="12">
        <f>IFERROR(IFS(E16="B-1",0.6,E16="B-2",1.0,E16="G-1",0.6,E16="G-2",1.0,E16="P-1",1.0,E16="P-2",0.6,E16="P-3",0.6,E16="R-1",1.0,E16="ISD",0.5,TRUE,0),0)</f>
        <v/>
      </c>
      <c r="V16" s="12">
        <f>IFERROR(IF(E16="","",MIN(T16,S16*U16)),0)</f>
        <v/>
      </c>
      <c r="W16" s="12">
        <f>IFERROR(IF(V16=0,"",V16*7.48),"")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12">
        <f>IFERROR(IFS(OR(E17="B-1",E17="B-2"),F17*(L17/12*M17+N17/12*O17)+(F17+G17)/2*(K17/12),OR(E17="G-1",E17="G-2"),F17*(L17*M17+Q17*R17)/12,OR(E17="P-1",E17="P-2",E17="P-3"),F17*(N17/12*O17),E17="R-1",P17/7.48,E17="ISD",0,TRUE,0),0)</f>
        <v/>
      </c>
      <c r="T17" s="12">
        <f>IFERROR(('5-Parameters'!$B$7/12)*(0.25*I17+0.95*(H17+J17))*43560,0)</f>
        <v/>
      </c>
      <c r="U17" s="12">
        <f>IFERROR(IFS(E17="B-1",0.6,E17="B-2",1.0,E17="G-1",0.6,E17="G-2",1.0,E17="P-1",1.0,E17="P-2",0.6,E17="P-3",0.6,E17="R-1",1.0,E17="ISD",0.5,TRUE,0),0)</f>
        <v/>
      </c>
      <c r="V17" s="12">
        <f>IFERROR(IF(E17="","",MIN(T17,S17*U17)),0)</f>
        <v/>
      </c>
      <c r="W17" s="12">
        <f>IFERROR(IF(V17=0,"",V17*7.48),"")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12">
        <f>IFERROR(IFS(OR(E18="B-1",E18="B-2"),F18*(L18/12*M18+N18/12*O18)+(F18+G18)/2*(K18/12),OR(E18="G-1",E18="G-2"),F18*(L18*M18+Q18*R18)/12,OR(E18="P-1",E18="P-2",E18="P-3"),F18*(N18/12*O18),E18="R-1",P18/7.48,E18="ISD",0,TRUE,0),0)</f>
        <v/>
      </c>
      <c r="T18" s="12">
        <f>IFERROR(('5-Parameters'!$B$7/12)*(0.25*I18+0.95*(H18+J18))*43560,0)</f>
        <v/>
      </c>
      <c r="U18" s="12">
        <f>IFERROR(IFS(E18="B-1",0.6,E18="B-2",1.0,E18="G-1",0.6,E18="G-2",1.0,E18="P-1",1.0,E18="P-2",0.6,E18="P-3",0.6,E18="R-1",1.0,E18="ISD",0.5,TRUE,0),0)</f>
        <v/>
      </c>
      <c r="V18" s="12">
        <f>IFERROR(IF(E18="","",MIN(T18,S18*U18)),0)</f>
        <v/>
      </c>
      <c r="W18" s="12">
        <f>IFERROR(IF(V18=0,"",V18*7.48),"")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12">
        <f>IFERROR(IFS(OR(E19="B-1",E19="B-2"),F19*(L19/12*M19+N19/12*O19)+(F19+G19)/2*(K19/12),OR(E19="G-1",E19="G-2"),F19*(L19*M19+Q19*R19)/12,OR(E19="P-1",E19="P-2",E19="P-3"),F19*(N19/12*O19),E19="R-1",P19/7.48,E19="ISD",0,TRUE,0),0)</f>
        <v/>
      </c>
      <c r="T19" s="12">
        <f>IFERROR(('5-Parameters'!$B$7/12)*(0.25*I19+0.95*(H19+J19))*43560,0)</f>
        <v/>
      </c>
      <c r="U19" s="12">
        <f>IFERROR(IFS(E19="B-1",0.6,E19="B-2",1.0,E19="G-1",0.6,E19="G-2",1.0,E19="P-1",1.0,E19="P-2",0.6,E19="P-3",0.6,E19="R-1",1.0,E19="ISD",0.5,TRUE,0),0)</f>
        <v/>
      </c>
      <c r="V19" s="12">
        <f>IFERROR(IF(E19="","",MIN(T19,S19*U19)),0)</f>
        <v/>
      </c>
      <c r="W19" s="12">
        <f>IFERROR(IF(V19=0,"",V19*7.48),"")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12">
        <f>IFERROR(IFS(OR(E20="B-1",E20="B-2"),F20*(L20/12*M20+N20/12*O20)+(F20+G20)/2*(K20/12),OR(E20="G-1",E20="G-2"),F20*(L20*M20+Q20*R20)/12,OR(E20="P-1",E20="P-2",E20="P-3"),F20*(N20/12*O20),E20="R-1",P20/7.48,E20="ISD",0,TRUE,0),0)</f>
        <v/>
      </c>
      <c r="T20" s="12">
        <f>IFERROR(('5-Parameters'!$B$7/12)*(0.25*I20+0.95*(H20+J20))*43560,0)</f>
        <v/>
      </c>
      <c r="U20" s="12">
        <f>IFERROR(IFS(E20="B-1",0.6,E20="B-2",1.0,E20="G-1",0.6,E20="G-2",1.0,E20="P-1",1.0,E20="P-2",0.6,E20="P-3",0.6,E20="R-1",1.0,E20="ISD",0.5,TRUE,0),0)</f>
        <v/>
      </c>
      <c r="V20" s="12">
        <f>IFERROR(IF(E20="","",MIN(T20,S20*U20)),0)</f>
        <v/>
      </c>
      <c r="W20" s="12">
        <f>IFERROR(IF(V20=0,"",V20*7.48),"")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12">
        <f>IFERROR(IFS(OR(E21="B-1",E21="B-2"),F21*(L21/12*M21+N21/12*O21)+(F21+G21)/2*(K21/12),OR(E21="G-1",E21="G-2"),F21*(L21*M21+Q21*R21)/12,OR(E21="P-1",E21="P-2",E21="P-3"),F21*(N21/12*O21),E21="R-1",P21/7.48,E21="ISD",0,TRUE,0),0)</f>
        <v/>
      </c>
      <c r="T21" s="12">
        <f>IFERROR(('5-Parameters'!$B$7/12)*(0.25*I21+0.95*(H21+J21))*43560,0)</f>
        <v/>
      </c>
      <c r="U21" s="12">
        <f>IFERROR(IFS(E21="B-1",0.6,E21="B-2",1.0,E21="G-1",0.6,E21="G-2",1.0,E21="P-1",1.0,E21="P-2",0.6,E21="P-3",0.6,E21="R-1",1.0,E21="ISD",0.5,TRUE,0),0)</f>
        <v/>
      </c>
      <c r="V21" s="12">
        <f>IFERROR(IF(E21="","",MIN(T21,S21*U21)),0)</f>
        <v/>
      </c>
      <c r="W21" s="12">
        <f>IFERROR(IF(V21=0,"",V21*7.48),"")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12">
        <f>IFERROR(IFS(OR(E22="B-1",E22="B-2"),F22*(L22/12*M22+N22/12*O22)+(F22+G22)/2*(K22/12),OR(E22="G-1",E22="G-2"),F22*(L22*M22+Q22*R22)/12,OR(E22="P-1",E22="P-2",E22="P-3"),F22*(N22/12*O22),E22="R-1",P22/7.48,E22="ISD",0,TRUE,0),0)</f>
        <v/>
      </c>
      <c r="T22" s="12">
        <f>IFERROR(('5-Parameters'!$B$7/12)*(0.25*I22+0.95*(H22+J22))*43560,0)</f>
        <v/>
      </c>
      <c r="U22" s="12">
        <f>IFERROR(IFS(E22="B-1",0.6,E22="B-2",1.0,E22="G-1",0.6,E22="G-2",1.0,E22="P-1",1.0,E22="P-2",0.6,E22="P-3",0.6,E22="R-1",1.0,E22="ISD",0.5,TRUE,0),0)</f>
        <v/>
      </c>
      <c r="V22" s="12">
        <f>IFERROR(IF(E22="","",MIN(T22,S22*U22)),0)</f>
        <v/>
      </c>
      <c r="W22" s="12">
        <f>IFERROR(IF(V22=0,"",V22*7.48),"")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12">
        <f>IFERROR(IFS(OR(E23="B-1",E23="B-2"),F23*(L23/12*M23+N23/12*O23)+(F23+G23)/2*(K23/12),OR(E23="G-1",E23="G-2"),F23*(L23*M23+Q23*R23)/12,OR(E23="P-1",E23="P-2",E23="P-3"),F23*(N23/12*O23),E23="R-1",P23/7.48,E23="ISD",0,TRUE,0),0)</f>
        <v/>
      </c>
      <c r="T23" s="12">
        <f>IFERROR(('5-Parameters'!$B$7/12)*(0.25*I23+0.95*(H23+J23))*43560,0)</f>
        <v/>
      </c>
      <c r="U23" s="12">
        <f>IFERROR(IFS(E23="B-1",0.6,E23="B-2",1.0,E23="G-1",0.6,E23="G-2",1.0,E23="P-1",1.0,E23="P-2",0.6,E23="P-3",0.6,E23="R-1",1.0,E23="ISD",0.5,TRUE,0),0)</f>
        <v/>
      </c>
      <c r="V23" s="12">
        <f>IFERROR(IF(E23="","",MIN(T23,S23*U23)),0)</f>
        <v/>
      </c>
      <c r="W23" s="12">
        <f>IFERROR(IF(V23=0,"",V23*7.48),"")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12">
        <f>IFERROR(IFS(OR(E24="B-1",E24="B-2"),F24*(L24/12*M24+N24/12*O24)+(F24+G24)/2*(K24/12),OR(E24="G-1",E24="G-2"),F24*(L24*M24+Q24*R24)/12,OR(E24="P-1",E24="P-2",E24="P-3"),F24*(N24/12*O24),E24="R-1",P24/7.48,E24="ISD",0,TRUE,0),0)</f>
        <v/>
      </c>
      <c r="T24" s="12">
        <f>IFERROR(('5-Parameters'!$B$7/12)*(0.25*I24+0.95*(H24+J24))*43560,0)</f>
        <v/>
      </c>
      <c r="U24" s="12">
        <f>IFERROR(IFS(E24="B-1",0.6,E24="B-2",1.0,E24="G-1",0.6,E24="G-2",1.0,E24="P-1",1.0,E24="P-2",0.6,E24="P-3",0.6,E24="R-1",1.0,E24="ISD",0.5,TRUE,0),0)</f>
        <v/>
      </c>
      <c r="V24" s="12">
        <f>IFERROR(IF(E24="","",MIN(T24,S24*U24)),0)</f>
        <v/>
      </c>
      <c r="W24" s="12">
        <f>IFERROR(IF(V24=0,"",V24*7.48),"")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12">
        <f>IFERROR(IFS(OR(E25="B-1",E25="B-2"),F25*(L25/12*M25+N25/12*O25)+(F25+G25)/2*(K25/12),OR(E25="G-1",E25="G-2"),F25*(L25*M25+Q25*R25)/12,OR(E25="P-1",E25="P-2",E25="P-3"),F25*(N25/12*O25),E25="R-1",P25/7.48,E25="ISD",0,TRUE,0),0)</f>
        <v/>
      </c>
      <c r="T25" s="12">
        <f>IFERROR(('5-Parameters'!$B$7/12)*(0.25*I25+0.95*(H25+J25))*43560,0)</f>
        <v/>
      </c>
      <c r="U25" s="12">
        <f>IFERROR(IFS(E25="B-1",0.6,E25="B-2",1.0,E25="G-1",0.6,E25="G-2",1.0,E25="P-1",1.0,E25="P-2",0.6,E25="P-3",0.6,E25="R-1",1.0,E25="ISD",0.5,TRUE,0),0)</f>
        <v/>
      </c>
      <c r="V25" s="12">
        <f>IFERROR(IF(E25="","",MIN(T25,S25*U25)),0)</f>
        <v/>
      </c>
      <c r="W25" s="12">
        <f>IFERROR(IF(V25=0,"",V25*7.48),"")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12">
        <f>IFERROR(IFS(OR(E26="B-1",E26="B-2"),F26*(L26/12*M26+N26/12*O26)+(F26+G26)/2*(K26/12),OR(E26="G-1",E26="G-2"),F26*(L26*M26+Q26*R26)/12,OR(E26="P-1",E26="P-2",E26="P-3"),F26*(N26/12*O26),E26="R-1",P26/7.48,E26="ISD",0,TRUE,0),0)</f>
        <v/>
      </c>
      <c r="T26" s="12">
        <f>IFERROR(('5-Parameters'!$B$7/12)*(0.25*I26+0.95*(H26+J26))*43560,0)</f>
        <v/>
      </c>
      <c r="U26" s="12">
        <f>IFERROR(IFS(E26="B-1",0.6,E26="B-2",1.0,E26="G-1",0.6,E26="G-2",1.0,E26="P-1",1.0,E26="P-2",0.6,E26="P-3",0.6,E26="R-1",1.0,E26="ISD",0.5,TRUE,0),0)</f>
        <v/>
      </c>
      <c r="V26" s="12">
        <f>IFERROR(IF(E26="","",MIN(T26,S26*U26)),0)</f>
        <v/>
      </c>
      <c r="W26" s="12">
        <f>IFERROR(IF(V26=0,"",V26*7.48),"")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12">
        <f>IFERROR(IFS(OR(E27="B-1",E27="B-2"),F27*(L27/12*M27+N27/12*O27)+(F27+G27)/2*(K27/12),OR(E27="G-1",E27="G-2"),F27*(L27*M27+Q27*R27)/12,OR(E27="P-1",E27="P-2",E27="P-3"),F27*(N27/12*O27),E27="R-1",P27/7.48,E27="ISD",0,TRUE,0),0)</f>
        <v/>
      </c>
      <c r="T27" s="12">
        <f>IFERROR(('5-Parameters'!$B$7/12)*(0.25*I27+0.95*(H27+J27))*43560,0)</f>
        <v/>
      </c>
      <c r="U27" s="12">
        <f>IFERROR(IFS(E27="B-1",0.6,E27="B-2",1.0,E27="G-1",0.6,E27="G-2",1.0,E27="P-1",1.0,E27="P-2",0.6,E27="P-3",0.6,E27="R-1",1.0,E27="ISD",0.5,TRUE,0),0)</f>
        <v/>
      </c>
      <c r="V27" s="12">
        <f>IFERROR(IF(E27="","",MIN(T27,S27*U27)),0)</f>
        <v/>
      </c>
      <c r="W27" s="12">
        <f>IFERROR(IF(V27=0,"",V27*7.48),"")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12">
        <f>IFERROR(IFS(OR(E28="B-1",E28="B-2"),F28*(L28/12*M28+N28/12*O28)+(F28+G28)/2*(K28/12),OR(E28="G-1",E28="G-2"),F28*(L28*M28+Q28*R28)/12,OR(E28="P-1",E28="P-2",E28="P-3"),F28*(N28/12*O28),E28="R-1",P28/7.48,E28="ISD",0,TRUE,0),0)</f>
        <v/>
      </c>
      <c r="T28" s="12">
        <f>IFERROR(('5-Parameters'!$B$7/12)*(0.25*I28+0.95*(H28+J28))*43560,0)</f>
        <v/>
      </c>
      <c r="U28" s="12">
        <f>IFERROR(IFS(E28="B-1",0.6,E28="B-2",1.0,E28="G-1",0.6,E28="G-2",1.0,E28="P-1",1.0,E28="P-2",0.6,E28="P-3",0.6,E28="R-1",1.0,E28="ISD",0.5,TRUE,0),0)</f>
        <v/>
      </c>
      <c r="V28" s="12">
        <f>IFERROR(IF(E28="","",MIN(T28,S28*U28)),0)</f>
        <v/>
      </c>
      <c r="W28" s="12">
        <f>IFERROR(IF(V28=0,"",V28*7.48),"")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12">
        <f>IFERROR(IFS(OR(E29="B-1",E29="B-2"),F29*(L29/12*M29+N29/12*O29)+(F29+G29)/2*(K29/12),OR(E29="G-1",E29="G-2"),F29*(L29*M29+Q29*R29)/12,OR(E29="P-1",E29="P-2",E29="P-3"),F29*(N29/12*O29),E29="R-1",P29/7.48,E29="ISD",0,TRUE,0),0)</f>
        <v/>
      </c>
      <c r="T29" s="12">
        <f>IFERROR(('5-Parameters'!$B$7/12)*(0.25*I29+0.95*(H29+J29))*43560,0)</f>
        <v/>
      </c>
      <c r="U29" s="12">
        <f>IFERROR(IFS(E29="B-1",0.6,E29="B-2",1.0,E29="G-1",0.6,E29="G-2",1.0,E29="P-1",1.0,E29="P-2",0.6,E29="P-3",0.6,E29="R-1",1.0,E29="ISD",0.5,TRUE,0),0)</f>
        <v/>
      </c>
      <c r="V29" s="12">
        <f>IFERROR(IF(E29="","",MIN(T29,S29*U29)),0)</f>
        <v/>
      </c>
      <c r="W29" s="12">
        <f>IFERROR(IF(V29=0,"",V29*7.48),"")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12">
        <f>IFERROR(IFS(OR(E30="B-1",E30="B-2"),F30*(L30/12*M30+N30/12*O30)+(F30+G30)/2*(K30/12),OR(E30="G-1",E30="G-2"),F30*(L30*M30+Q30*R30)/12,OR(E30="P-1",E30="P-2",E30="P-3"),F30*(N30/12*O30),E30="R-1",P30/7.48,E30="ISD",0,TRUE,0),0)</f>
        <v/>
      </c>
      <c r="T30" s="12">
        <f>IFERROR(('5-Parameters'!$B$7/12)*(0.25*I30+0.95*(H30+J30))*43560,0)</f>
        <v/>
      </c>
      <c r="U30" s="12">
        <f>IFERROR(IFS(E30="B-1",0.6,E30="B-2",1.0,E30="G-1",0.6,E30="G-2",1.0,E30="P-1",1.0,E30="P-2",0.6,E30="P-3",0.6,E30="R-1",1.0,E30="ISD",0.5,TRUE,0),0)</f>
        <v/>
      </c>
      <c r="V30" s="12">
        <f>IFERROR(IF(E30="","",MIN(T30,S30*U30)),0)</f>
        <v/>
      </c>
      <c r="W30" s="12">
        <f>IFERROR(IF(V30=0,"",V30*7.48),"")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12">
        <f>IFERROR(IFS(OR(E31="B-1",E31="B-2"),F31*(L31/12*M31+N31/12*O31)+(F31+G31)/2*(K31/12),OR(E31="G-1",E31="G-2"),F31*(L31*M31+Q31*R31)/12,OR(E31="P-1",E31="P-2",E31="P-3"),F31*(N31/12*O31),E31="R-1",P31/7.48,E31="ISD",0,TRUE,0),0)</f>
        <v/>
      </c>
      <c r="T31" s="12">
        <f>IFERROR(('5-Parameters'!$B$7/12)*(0.25*I31+0.95*(H31+J31))*43560,0)</f>
        <v/>
      </c>
      <c r="U31" s="12">
        <f>IFERROR(IFS(E31="B-1",0.6,E31="B-2",1.0,E31="G-1",0.6,E31="G-2",1.0,E31="P-1",1.0,E31="P-2",0.6,E31="P-3",0.6,E31="R-1",1.0,E31="ISD",0.5,TRUE,0),0)</f>
        <v/>
      </c>
      <c r="V31" s="12">
        <f>IFERROR(IF(E31="","",MIN(T31,S31*U31)),0)</f>
        <v/>
      </c>
      <c r="W31" s="12">
        <f>IFERROR(IF(V31=0,"",V31*7.48),"")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12">
        <f>IFERROR(IFS(OR(E32="B-1",E32="B-2"),F32*(L32/12*M32+N32/12*O32)+(F32+G32)/2*(K32/12),OR(E32="G-1",E32="G-2"),F32*(L32*M32+Q32*R32)/12,OR(E32="P-1",E32="P-2",E32="P-3"),F32*(N32/12*O32),E32="R-1",P32/7.48,E32="ISD",0,TRUE,0),0)</f>
        <v/>
      </c>
      <c r="T32" s="12">
        <f>IFERROR(('5-Parameters'!$B$7/12)*(0.25*I32+0.95*(H32+J32))*43560,0)</f>
        <v/>
      </c>
      <c r="U32" s="12">
        <f>IFERROR(IFS(E32="B-1",0.6,E32="B-2",1.0,E32="G-1",0.6,E32="G-2",1.0,E32="P-1",1.0,E32="P-2",0.6,E32="P-3",0.6,E32="R-1",1.0,E32="ISD",0.5,TRUE,0),0)</f>
        <v/>
      </c>
      <c r="V32" s="12">
        <f>IFERROR(IF(E32="","",MIN(T32,S32*U32)),0)</f>
        <v/>
      </c>
      <c r="W32" s="12">
        <f>IFERROR(IF(V32=0,"",V32*7.48),"")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12">
        <f>IFERROR(IFS(OR(E33="B-1",E33="B-2"),F33*(L33/12*M33+N33/12*O33)+(F33+G33)/2*(K33/12),OR(E33="G-1",E33="G-2"),F33*(L33*M33+Q33*R33)/12,OR(E33="P-1",E33="P-2",E33="P-3"),F33*(N33/12*O33),E33="R-1",P33/7.48,E33="ISD",0,TRUE,0),0)</f>
        <v/>
      </c>
      <c r="T33" s="12">
        <f>IFERROR(('5-Parameters'!$B$7/12)*(0.25*I33+0.95*(H33+J33))*43560,0)</f>
        <v/>
      </c>
      <c r="U33" s="12">
        <f>IFERROR(IFS(E33="B-1",0.6,E33="B-2",1.0,E33="G-1",0.6,E33="G-2",1.0,E33="P-1",1.0,E33="P-2",0.6,E33="P-3",0.6,E33="R-1",1.0,E33="ISD",0.5,TRUE,0),0)</f>
        <v/>
      </c>
      <c r="V33" s="12">
        <f>IFERROR(IF(E33="","",MIN(T33,S33*U33)),0)</f>
        <v/>
      </c>
      <c r="W33" s="12">
        <f>IFERROR(IF(V33=0,"",V33*7.48),"")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12">
        <f>IFERROR(IFS(OR(E34="B-1",E34="B-2"),F34*(L34/12*M34+N34/12*O34)+(F34+G34)/2*(K34/12),OR(E34="G-1",E34="G-2"),F34*(L34*M34+Q34*R34)/12,OR(E34="P-1",E34="P-2",E34="P-3"),F34*(N34/12*O34),E34="R-1",P34/7.48,E34="ISD",0,TRUE,0),0)</f>
        <v/>
      </c>
      <c r="T34" s="12">
        <f>IFERROR(('5-Parameters'!$B$7/12)*(0.25*I34+0.95*(H34+J34))*43560,0)</f>
        <v/>
      </c>
      <c r="U34" s="12">
        <f>IFERROR(IFS(E34="B-1",0.6,E34="B-2",1.0,E34="G-1",0.6,E34="G-2",1.0,E34="P-1",1.0,E34="P-2",0.6,E34="P-3",0.6,E34="R-1",1.0,E34="ISD",0.5,TRUE,0),0)</f>
        <v/>
      </c>
      <c r="V34" s="12">
        <f>IFERROR(IF(E34="","",MIN(T34,S34*U34)),0)</f>
        <v/>
      </c>
      <c r="W34" s="12">
        <f>IFERROR(IF(V34=0,"",V34*7.48),"")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12">
        <f>IFERROR(IFS(OR(E35="B-1",E35="B-2"),F35*(L35/12*M35+N35/12*O35)+(F35+G35)/2*(K35/12),OR(E35="G-1",E35="G-2"),F35*(L35*M35+Q35*R35)/12,OR(E35="P-1",E35="P-2",E35="P-3"),F35*(N35/12*O35),E35="R-1",P35/7.48,E35="ISD",0,TRUE,0),0)</f>
        <v/>
      </c>
      <c r="T35" s="12">
        <f>IFERROR(('5-Parameters'!$B$7/12)*(0.25*I35+0.95*(H35+J35))*43560,0)</f>
        <v/>
      </c>
      <c r="U35" s="12">
        <f>IFERROR(IFS(E35="B-1",0.6,E35="B-2",1.0,E35="G-1",0.6,E35="G-2",1.0,E35="P-1",1.0,E35="P-2",0.6,E35="P-3",0.6,E35="R-1",1.0,E35="ISD",0.5,TRUE,0),0)</f>
        <v/>
      </c>
      <c r="V35" s="12">
        <f>IFERROR(IF(E35="","",MIN(T35,S35*U35)),0)</f>
        <v/>
      </c>
      <c r="W35" s="12">
        <f>IFERROR(IF(V35=0,"",V35*7.48),"")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12">
        <f>IFERROR(IFS(OR(E36="B-1",E36="B-2"),F36*(L36/12*M36+N36/12*O36)+(F36+G36)/2*(K36/12),OR(E36="G-1",E36="G-2"),F36*(L36*M36+Q36*R36)/12,OR(E36="P-1",E36="P-2",E36="P-3"),F36*(N36/12*O36),E36="R-1",P36/7.48,E36="ISD",0,TRUE,0),0)</f>
        <v/>
      </c>
      <c r="T36" s="12">
        <f>IFERROR(('5-Parameters'!$B$7/12)*(0.25*I36+0.95*(H36+J36))*43560,0)</f>
        <v/>
      </c>
      <c r="U36" s="12">
        <f>IFERROR(IFS(E36="B-1",0.6,E36="B-2",1.0,E36="G-1",0.6,E36="G-2",1.0,E36="P-1",1.0,E36="P-2",0.6,E36="P-3",0.6,E36="R-1",1.0,E36="ISD",0.5,TRUE,0),0)</f>
        <v/>
      </c>
      <c r="V36" s="12">
        <f>IFERROR(IF(E36="","",MIN(T36,S36*U36)),0)</f>
        <v/>
      </c>
      <c r="W36" s="12">
        <f>IFERROR(IF(V36=0,"",V36*7.48),"")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12">
        <f>IFERROR(IFS(OR(E37="B-1",E37="B-2"),F37*(L37/12*M37+N37/12*O37)+(F37+G37)/2*(K37/12),OR(E37="G-1",E37="G-2"),F37*(L37*M37+Q37*R37)/12,OR(E37="P-1",E37="P-2",E37="P-3"),F37*(N37/12*O37),E37="R-1",P37/7.48,E37="ISD",0,TRUE,0),0)</f>
        <v/>
      </c>
      <c r="T37" s="12">
        <f>IFERROR(('5-Parameters'!$B$7/12)*(0.25*I37+0.95*(H37+J37))*43560,0)</f>
        <v/>
      </c>
      <c r="U37" s="12">
        <f>IFERROR(IFS(E37="B-1",0.6,E37="B-2",1.0,E37="G-1",0.6,E37="G-2",1.0,E37="P-1",1.0,E37="P-2",0.6,E37="P-3",0.6,E37="R-1",1.0,E37="ISD",0.5,TRUE,0),0)</f>
        <v/>
      </c>
      <c r="V37" s="12">
        <f>IFERROR(IF(E37="","",MIN(T37,S37*U37)),0)</f>
        <v/>
      </c>
      <c r="W37" s="12">
        <f>IFERROR(IF(V37=0,"",V37*7.48),"")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12">
        <f>IFERROR(IFS(OR(E38="B-1",E38="B-2"),F38*(L38/12*M38+N38/12*O38)+(F38+G38)/2*(K38/12),OR(E38="G-1",E38="G-2"),F38*(L38*M38+Q38*R38)/12,OR(E38="P-1",E38="P-2",E38="P-3"),F38*(N38/12*O38),E38="R-1",P38/7.48,E38="ISD",0,TRUE,0),0)</f>
        <v/>
      </c>
      <c r="T38" s="12">
        <f>IFERROR(('5-Parameters'!$B$7/12)*(0.25*I38+0.95*(H38+J38))*43560,0)</f>
        <v/>
      </c>
      <c r="U38" s="12">
        <f>IFERROR(IFS(E38="B-1",0.6,E38="B-2",1.0,E38="G-1",0.6,E38="G-2",1.0,E38="P-1",1.0,E38="P-2",0.6,E38="P-3",0.6,E38="R-1",1.0,E38="ISD",0.5,TRUE,0),0)</f>
        <v/>
      </c>
      <c r="V38" s="12">
        <f>IFERROR(IF(E38="","",MIN(T38,S38*U38)),0)</f>
        <v/>
      </c>
      <c r="W38" s="12">
        <f>IFERROR(IF(V38=0,"",V38*7.48),"")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12">
        <f>IFERROR(IFS(OR(E39="B-1",E39="B-2"),F39*(L39/12*M39+N39/12*O39)+(F39+G39)/2*(K39/12),OR(E39="G-1",E39="G-2"),F39*(L39*M39+Q39*R39)/12,OR(E39="P-1",E39="P-2",E39="P-3"),F39*(N39/12*O39),E39="R-1",P39/7.48,E39="ISD",0,TRUE,0),0)</f>
        <v/>
      </c>
      <c r="T39" s="12">
        <f>IFERROR(('5-Parameters'!$B$7/12)*(0.25*I39+0.95*(H39+J39))*43560,0)</f>
        <v/>
      </c>
      <c r="U39" s="12">
        <f>IFERROR(IFS(E39="B-1",0.6,E39="B-2",1.0,E39="G-1",0.6,E39="G-2",1.0,E39="P-1",1.0,E39="P-2",0.6,E39="P-3",0.6,E39="R-1",1.0,E39="ISD",0.5,TRUE,0),0)</f>
        <v/>
      </c>
      <c r="V39" s="12">
        <f>IFERROR(IF(E39="","",MIN(T39,S39*U39)),0)</f>
        <v/>
      </c>
      <c r="W39" s="12">
        <f>IFERROR(IF(V39=0,"",V39*7.48),"")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12">
        <f>IFERROR(IFS(OR(E40="B-1",E40="B-2"),F40*(L40/12*M40+N40/12*O40)+(F40+G40)/2*(K40/12),OR(E40="G-1",E40="G-2"),F40*(L40*M40+Q40*R40)/12,OR(E40="P-1",E40="P-2",E40="P-3"),F40*(N40/12*O40),E40="R-1",P40/7.48,E40="ISD",0,TRUE,0),0)</f>
        <v/>
      </c>
      <c r="T40" s="12">
        <f>IFERROR(('5-Parameters'!$B$7/12)*(0.25*I40+0.95*(H40+J40))*43560,0)</f>
        <v/>
      </c>
      <c r="U40" s="12">
        <f>IFERROR(IFS(E40="B-1",0.6,E40="B-2",1.0,E40="G-1",0.6,E40="G-2",1.0,E40="P-1",1.0,E40="P-2",0.6,E40="P-3",0.6,E40="R-1",1.0,E40="ISD",0.5,TRUE,0),0)</f>
        <v/>
      </c>
      <c r="V40" s="12">
        <f>IFERROR(IF(E40="","",MIN(T40,S40*U40)),0)</f>
        <v/>
      </c>
      <c r="W40" s="12">
        <f>IFERROR(IF(V40=0,"",V40*7.48),"")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12">
        <f>IFERROR(IFS(OR(E41="B-1",E41="B-2"),F41*(L41/12*M41+N41/12*O41)+(F41+G41)/2*(K41/12),OR(E41="G-1",E41="G-2"),F41*(L41*M41+Q41*R41)/12,OR(E41="P-1",E41="P-2",E41="P-3"),F41*(N41/12*O41),E41="R-1",P41/7.48,E41="ISD",0,TRUE,0),0)</f>
        <v/>
      </c>
      <c r="T41" s="12">
        <f>IFERROR(('5-Parameters'!$B$7/12)*(0.25*I41+0.95*(H41+J41))*43560,0)</f>
        <v/>
      </c>
      <c r="U41" s="12">
        <f>IFERROR(IFS(E41="B-1",0.6,E41="B-2",1.0,E41="G-1",0.6,E41="G-2",1.0,E41="P-1",1.0,E41="P-2",0.6,E41="P-3",0.6,E41="R-1",1.0,E41="ISD",0.5,TRUE,0),0)</f>
        <v/>
      </c>
      <c r="V41" s="12">
        <f>IFERROR(IF(E41="","",MIN(T41,S41*U41)),0)</f>
        <v/>
      </c>
      <c r="W41" s="12">
        <f>IFERROR(IF(V41=0,"",V41*7.48),"")</f>
        <v/>
      </c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12">
        <f>IFERROR(IFS(OR(E42="B-1",E42="B-2"),F42*(L42/12*M42+N42/12*O42)+(F42+G42)/2*(K42/12),OR(E42="G-1",E42="G-2"),F42*(L42*M42+Q42*R42)/12,OR(E42="P-1",E42="P-2",E42="P-3"),F42*(N42/12*O42),E42="R-1",P42/7.48,E42="ISD",0,TRUE,0),0)</f>
        <v/>
      </c>
      <c r="T42" s="12">
        <f>IFERROR(('5-Parameters'!$B$7/12)*(0.25*I42+0.95*(H42+J42))*43560,0)</f>
        <v/>
      </c>
      <c r="U42" s="12">
        <f>IFERROR(IFS(E42="B-1",0.6,E42="B-2",1.0,E42="G-1",0.6,E42="G-2",1.0,E42="P-1",1.0,E42="P-2",0.6,E42="P-3",0.6,E42="R-1",1.0,E42="ISD",0.5,TRUE,0),0)</f>
        <v/>
      </c>
      <c r="V42" s="12">
        <f>IFERROR(IF(E42="","",MIN(T42,S42*U42)),0)</f>
        <v/>
      </c>
      <c r="W42" s="12">
        <f>IFERROR(IF(V42=0,"",V42*7.48),"")</f>
        <v/>
      </c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12">
        <f>IFERROR(IFS(OR(E43="B-1",E43="B-2"),F43*(L43/12*M43+N43/12*O43)+(F43+G43)/2*(K43/12),OR(E43="G-1",E43="G-2"),F43*(L43*M43+Q43*R43)/12,OR(E43="P-1",E43="P-2",E43="P-3"),F43*(N43/12*O43),E43="R-1",P43/7.48,E43="ISD",0,TRUE,0),0)</f>
        <v/>
      </c>
      <c r="T43" s="12">
        <f>IFERROR(('5-Parameters'!$B$7/12)*(0.25*I43+0.95*(H43+J43))*43560,0)</f>
        <v/>
      </c>
      <c r="U43" s="12">
        <f>IFERROR(IFS(E43="B-1",0.6,E43="B-2",1.0,E43="G-1",0.6,E43="G-2",1.0,E43="P-1",1.0,E43="P-2",0.6,E43="P-3",0.6,E43="R-1",1.0,E43="ISD",0.5,TRUE,0),0)</f>
        <v/>
      </c>
      <c r="V43" s="12">
        <f>IFERROR(IF(E43="","",MIN(T43,S43*U43)),0)</f>
        <v/>
      </c>
      <c r="W43" s="12">
        <f>IFERROR(IF(V43=0,"",V43*7.48),"")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12">
        <f>IFERROR(IFS(OR(E44="B-1",E44="B-2"),F44*(L44/12*M44+N44/12*O44)+(F44+G44)/2*(K44/12),OR(E44="G-1",E44="G-2"),F44*(L44*M44+Q44*R44)/12,OR(E44="P-1",E44="P-2",E44="P-3"),F44*(N44/12*O44),E44="R-1",P44/7.48,E44="ISD",0,TRUE,0),0)</f>
        <v/>
      </c>
      <c r="T44" s="12">
        <f>IFERROR(('5-Parameters'!$B$7/12)*(0.25*I44+0.95*(H44+J44))*43560,0)</f>
        <v/>
      </c>
      <c r="U44" s="12">
        <f>IFERROR(IFS(E44="B-1",0.6,E44="B-2",1.0,E44="G-1",0.6,E44="G-2",1.0,E44="P-1",1.0,E44="P-2",0.6,E44="P-3",0.6,E44="R-1",1.0,E44="ISD",0.5,TRUE,0),0)</f>
        <v/>
      </c>
      <c r="V44" s="12">
        <f>IFERROR(IF(E44="","",MIN(T44,S44*U44)),0)</f>
        <v/>
      </c>
      <c r="W44" s="12">
        <f>IFERROR(IF(V44=0,"",V44*7.48),"")</f>
        <v/>
      </c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12">
        <f>IFERROR(IFS(OR(E45="B-1",E45="B-2"),F45*(L45/12*M45+N45/12*O45)+(F45+G45)/2*(K45/12),OR(E45="G-1",E45="G-2"),F45*(L45*M45+Q45*R45)/12,OR(E45="P-1",E45="P-2",E45="P-3"),F45*(N45/12*O45),E45="R-1",P45/7.48,E45="ISD",0,TRUE,0),0)</f>
        <v/>
      </c>
      <c r="T45" s="12">
        <f>IFERROR(('5-Parameters'!$B$7/12)*(0.25*I45+0.95*(H45+J45))*43560,0)</f>
        <v/>
      </c>
      <c r="U45" s="12">
        <f>IFERROR(IFS(E45="B-1",0.6,E45="B-2",1.0,E45="G-1",0.6,E45="G-2",1.0,E45="P-1",1.0,E45="P-2",0.6,E45="P-3",0.6,E45="R-1",1.0,E45="ISD",0.5,TRUE,0),0)</f>
        <v/>
      </c>
      <c r="V45" s="12">
        <f>IFERROR(IF(E45="","",MIN(T45,S45*U45)),0)</f>
        <v/>
      </c>
      <c r="W45" s="12">
        <f>IFERROR(IF(V45=0,"",V45*7.48),"")</f>
        <v/>
      </c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12">
        <f>IFERROR(IFS(OR(E46="B-1",E46="B-2"),F46*(L46/12*M46+N46/12*O46)+(F46+G46)/2*(K46/12),OR(E46="G-1",E46="G-2"),F46*(L46*M46+Q46*R46)/12,OR(E46="P-1",E46="P-2",E46="P-3"),F46*(N46/12*O46),E46="R-1",P46/7.48,E46="ISD",0,TRUE,0),0)</f>
        <v/>
      </c>
      <c r="T46" s="12">
        <f>IFERROR(('5-Parameters'!$B$7/12)*(0.25*I46+0.95*(H46+J46))*43560,0)</f>
        <v/>
      </c>
      <c r="U46" s="12">
        <f>IFERROR(IFS(E46="B-1",0.6,E46="B-2",1.0,E46="G-1",0.6,E46="G-2",1.0,E46="P-1",1.0,E46="P-2",0.6,E46="P-3",0.6,E46="R-1",1.0,E46="ISD",0.5,TRUE,0),0)</f>
        <v/>
      </c>
      <c r="V46" s="12">
        <f>IFERROR(IF(E46="","",MIN(T46,S46*U46)),0)</f>
        <v/>
      </c>
      <c r="W46" s="12">
        <f>IFERROR(IF(V46=0,"",V46*7.48),"")</f>
        <v/>
      </c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12">
        <f>IFERROR(IFS(OR(E47="B-1",E47="B-2"),F47*(L47/12*M47+N47/12*O47)+(F47+G47)/2*(K47/12),OR(E47="G-1",E47="G-2"),F47*(L47*M47+Q47*R47)/12,OR(E47="P-1",E47="P-2",E47="P-3"),F47*(N47/12*O47),E47="R-1",P47/7.48,E47="ISD",0,TRUE,0),0)</f>
        <v/>
      </c>
      <c r="T47" s="12">
        <f>IFERROR(('5-Parameters'!$B$7/12)*(0.25*I47+0.95*(H47+J47))*43560,0)</f>
        <v/>
      </c>
      <c r="U47" s="12">
        <f>IFERROR(IFS(E47="B-1",0.6,E47="B-2",1.0,E47="G-1",0.6,E47="G-2",1.0,E47="P-1",1.0,E47="P-2",0.6,E47="P-3",0.6,E47="R-1",1.0,E47="ISD",0.5,TRUE,0),0)</f>
        <v/>
      </c>
      <c r="V47" s="12">
        <f>IFERROR(IF(E47="","",MIN(T47,S47*U47)),0)</f>
        <v/>
      </c>
      <c r="W47" s="12">
        <f>IFERROR(IF(V47=0,"",V47*7.48),"")</f>
        <v/>
      </c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12">
        <f>IFERROR(IFS(OR(E48="B-1",E48="B-2"),F48*(L48/12*M48+N48/12*O48)+(F48+G48)/2*(K48/12),OR(E48="G-1",E48="G-2"),F48*(L48*M48+Q48*R48)/12,OR(E48="P-1",E48="P-2",E48="P-3"),F48*(N48/12*O48),E48="R-1",P48/7.48,E48="ISD",0,TRUE,0),0)</f>
        <v/>
      </c>
      <c r="T48" s="12">
        <f>IFERROR(('5-Parameters'!$B$7/12)*(0.25*I48+0.95*(H48+J48))*43560,0)</f>
        <v/>
      </c>
      <c r="U48" s="12">
        <f>IFERROR(IFS(E48="B-1",0.6,E48="B-2",1.0,E48="G-1",0.6,E48="G-2",1.0,E48="P-1",1.0,E48="P-2",0.6,E48="P-3",0.6,E48="R-1",1.0,E48="ISD",0.5,TRUE,0),0)</f>
        <v/>
      </c>
      <c r="V48" s="12">
        <f>IFERROR(IF(E48="","",MIN(T48,S48*U48)),0)</f>
        <v/>
      </c>
      <c r="W48" s="12">
        <f>IFERROR(IF(V48=0,"",V48*7.48),"")</f>
        <v/>
      </c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12">
        <f>IFERROR(IFS(OR(E49="B-1",E49="B-2"),F49*(L49/12*M49+N49/12*O49)+(F49+G49)/2*(K49/12),OR(E49="G-1",E49="G-2"),F49*(L49*M49+Q49*R49)/12,OR(E49="P-1",E49="P-2",E49="P-3"),F49*(N49/12*O49),E49="R-1",P49/7.48,E49="ISD",0,TRUE,0),0)</f>
        <v/>
      </c>
      <c r="T49" s="12">
        <f>IFERROR(('5-Parameters'!$B$7/12)*(0.25*I49+0.95*(H49+J49))*43560,0)</f>
        <v/>
      </c>
      <c r="U49" s="12">
        <f>IFERROR(IFS(E49="B-1",0.6,E49="B-2",1.0,E49="G-1",0.6,E49="G-2",1.0,E49="P-1",1.0,E49="P-2",0.6,E49="P-3",0.6,E49="R-1",1.0,E49="ISD",0.5,TRUE,0),0)</f>
        <v/>
      </c>
      <c r="V49" s="12">
        <f>IFERROR(IF(E49="","",MIN(T49,S49*U49)),0)</f>
        <v/>
      </c>
      <c r="W49" s="12">
        <f>IFERROR(IF(V49=0,"",V49*7.48),"")</f>
        <v/>
      </c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12">
        <f>IFERROR(IFS(OR(E50="B-1",E50="B-2"),F50*(L50/12*M50+N50/12*O50)+(F50+G50)/2*(K50/12),OR(E50="G-1",E50="G-2"),F50*(L50*M50+Q50*R50)/12,OR(E50="P-1",E50="P-2",E50="P-3"),F50*(N50/12*O50),E50="R-1",P50/7.48,E50="ISD",0,TRUE,0),0)</f>
        <v/>
      </c>
      <c r="T50" s="12">
        <f>IFERROR(('5-Parameters'!$B$7/12)*(0.25*I50+0.95*(H50+J50))*43560,0)</f>
        <v/>
      </c>
      <c r="U50" s="12">
        <f>IFERROR(IFS(E50="B-1",0.6,E50="B-2",1.0,E50="G-1",0.6,E50="G-2",1.0,E50="P-1",1.0,E50="P-2",0.6,E50="P-3",0.6,E50="R-1",1.0,E50="ISD",0.5,TRUE,0),0)</f>
        <v/>
      </c>
      <c r="V50" s="12">
        <f>IFERROR(IF(E50="","",MIN(T50,S50*U50)),0)</f>
        <v/>
      </c>
      <c r="W50" s="12">
        <f>IFERROR(IF(V50=0,"",V50*7.48),"")</f>
        <v/>
      </c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12">
        <f>IFERROR(IFS(OR(E51="B-1",E51="B-2"),F51*(L51/12*M51+N51/12*O51)+(F51+G51)/2*(K51/12),OR(E51="G-1",E51="G-2"),F51*(L51*M51+Q51*R51)/12,OR(E51="P-1",E51="P-2",E51="P-3"),F51*(N51/12*O51),E51="R-1",P51/7.48,E51="ISD",0,TRUE,0),0)</f>
        <v/>
      </c>
      <c r="T51" s="12">
        <f>IFERROR(('5-Parameters'!$B$7/12)*(0.25*I51+0.95*(H51+J51))*43560,0)</f>
        <v/>
      </c>
      <c r="U51" s="12">
        <f>IFERROR(IFS(E51="B-1",0.6,E51="B-2",1.0,E51="G-1",0.6,E51="G-2",1.0,E51="P-1",1.0,E51="P-2",0.6,E51="P-3",0.6,E51="R-1",1.0,E51="ISD",0.5,TRUE,0),0)</f>
        <v/>
      </c>
      <c r="V51" s="12">
        <f>IFERROR(IF(E51="","",MIN(T51,S51*U51)),0)</f>
        <v/>
      </c>
      <c r="W51" s="12">
        <f>IFERROR(IF(V51=0,"",V51*7.48),"")</f>
        <v/>
      </c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12">
        <f>IFERROR(IFS(OR(E52="B-1",E52="B-2"),F52*(L52/12*M52+N52/12*O52)+(F52+G52)/2*(K52/12),OR(E52="G-1",E52="G-2"),F52*(L52*M52+Q52*R52)/12,OR(E52="P-1",E52="P-2",E52="P-3"),F52*(N52/12*O52),E52="R-1",P52/7.48,E52="ISD",0,TRUE,0),0)</f>
        <v/>
      </c>
      <c r="T52" s="12">
        <f>IFERROR(('5-Parameters'!$B$7/12)*(0.25*I52+0.95*(H52+J52))*43560,0)</f>
        <v/>
      </c>
      <c r="U52" s="12">
        <f>IFERROR(IFS(E52="B-1",0.6,E52="B-2",1.0,E52="G-1",0.6,E52="G-2",1.0,E52="P-1",1.0,E52="P-2",0.6,E52="P-3",0.6,E52="R-1",1.0,E52="ISD",0.5,TRUE,0),0)</f>
        <v/>
      </c>
      <c r="V52" s="12">
        <f>IFERROR(IF(E52="","",MIN(T52,S52*U52)),0)</f>
        <v/>
      </c>
      <c r="W52" s="12">
        <f>IFERROR(IF(V52=0,"",V52*7.48),"")</f>
        <v/>
      </c>
    </row>
    <row r="53">
      <c r="A53" s="9" t="inlineStr">
        <is>
          <t>TOTALS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1" t="n"/>
      <c r="S53" s="3">
        <f>SUM(S3:S52)</f>
        <v/>
      </c>
      <c r="T53" s="3">
        <f>SUM(T3:T52)</f>
        <v/>
      </c>
      <c r="U53" s="32" t="n"/>
      <c r="V53" s="3">
        <f>SUM(V3:V52)</f>
        <v/>
      </c>
      <c r="W53" s="3">
        <f>SUM(W3:W52)</f>
        <v/>
      </c>
    </row>
    <row r="54" ht="14" customHeight="1">
      <c r="A54" s="20" t="inlineStr">
        <is>
          <t>BMP CODES: B-1=Bioret no underdrain (0.6), B-2=Bioret full infil (1.0), G-1=GrRoof ext (0.6), G-2=GrRoof int (1.0)</t>
        </is>
      </c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 ht="14" customHeight="1">
      <c r="A55" s="20" t="inlineStr">
        <is>
          <t>P-1=PermPave full (1.0), P-2=PermPave partial (0.6), P-3=PermPave detained (0.6), R-1=RWH (1.0), ISD=ImpDisconn (0.5)</t>
        </is>
      </c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 ht="14" customHeight="1">
      <c r="A56" s="20" t="inlineStr">
        <is>
          <t>Sv(Bioret) = SA_bot*(d_media/12*eta + d_stone/12*eta_s) + avg(SA_bot,SA_top)*(d_pond/12)</t>
        </is>
      </c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 ht="14" customHeight="1">
      <c r="A57" s="20" t="inlineStr">
        <is>
          <t>Vmax = (1.7/12)*[0.25*CDA_comp(ac)+0.95*(CDA_imp(ac)+BMP_ac)]*43,560  |  Vol Ret = MIN(Vmax, Sv*RetVal)</t>
        </is>
      </c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</sheetData>
  <mergeCells count="6">
    <mergeCell ref="A53:R53"/>
    <mergeCell ref="A1:W1"/>
    <mergeCell ref="A56:W56"/>
    <mergeCell ref="A54:W54"/>
    <mergeCell ref="A55:W55"/>
    <mergeCell ref="A57:W57"/>
  </mergeCells>
  <dataValidations count="1">
    <dataValidation sqref="E3:E52" showDropDown="0" showInputMessage="0" showErrorMessage="0" allowBlank="1" type="list">
      <formula1>"B-1,B-2,G-1,G-2,P-1,P-2,P-3,R-1,ISD"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7" customWidth="1" min="4" max="4"/>
    <col width="12" customWidth="1" min="5" max="5"/>
    <col width="16" customWidth="1" min="6" max="6"/>
    <col width="10" customWidth="1" min="7" max="7"/>
    <col width="18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 ht="22" customHeight="1">
      <c r="A1" s="16" t="inlineStr">
        <is>
          <t>BMP STORAGE PROVIDED — EISA SECTION 438 COMPLIANCE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44" customHeight="1">
      <c r="A2" s="19" t="inlineStr">
        <is>
          <t>BMP Name / ID</t>
        </is>
      </c>
      <c r="B2" s="19" t="inlineStr">
        <is>
          <t>DA</t>
        </is>
      </c>
      <c r="C2" s="19" t="inlineStr">
        <is>
          <t>BMP Type</t>
        </is>
      </c>
      <c r="D2" s="19" t="inlineStr">
        <is>
          <t>HSG</t>
        </is>
      </c>
      <c r="E2" s="19" t="inlineStr">
        <is>
          <t>BMP Area
(SF)</t>
        </is>
      </c>
      <c r="F2" s="19" t="inlineStr">
        <is>
          <t>Gravel / Reservoir
Depth (ft)</t>
        </is>
      </c>
      <c r="G2" s="19" t="inlineStr">
        <is>
          <t>Void Ratio
(eta)</t>
        </is>
      </c>
      <c r="H2" s="16" t="inlineStr">
        <is>
          <t>Available Storage
Depth (ft) = col F x G</t>
        </is>
      </c>
      <c r="I2" s="16" t="inlineStr">
        <is>
          <t>P 95th Pct
Depth (ft)</t>
        </is>
      </c>
      <c r="J2" s="16" t="inlineStr">
        <is>
          <t>Design Depth
(ft) = MIN(H,I)</t>
        </is>
      </c>
      <c r="K2" s="16" t="inlineStr">
        <is>
          <t>Vol Infiltrated
(ft3) = E x J</t>
        </is>
      </c>
      <c r="L2" s="16" t="inlineStr">
        <is>
          <t>Vol Infiltrated
(gal)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12">
        <f>IFERROR(IF(F3="","",F3*G3),"")</f>
        <v/>
      </c>
      <c r="I3" s="12">
        <f>'5-Parameters'!$B$8/12</f>
        <v/>
      </c>
      <c r="J3" s="12">
        <f>IFERROR(IF(H3="","",MIN(H3,I3)),"")</f>
        <v/>
      </c>
      <c r="K3" s="12">
        <f>IFERROR(IF(E3="","",E3*J3),"")</f>
        <v/>
      </c>
      <c r="L3" s="12">
        <f>IFERROR(IF(K3="","",K3*7.48),"")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12">
        <f>IFERROR(IF(F4="","",F4*G4),"")</f>
        <v/>
      </c>
      <c r="I4" s="12">
        <f>'5-Parameters'!$B$8/12</f>
        <v/>
      </c>
      <c r="J4" s="12">
        <f>IFERROR(IF(H4="","",MIN(H4,I4)),"")</f>
        <v/>
      </c>
      <c r="K4" s="12">
        <f>IFERROR(IF(E4="","",E4*J4),"")</f>
        <v/>
      </c>
      <c r="L4" s="12">
        <f>IFERROR(IF(K4="","",K4*7.48),"")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12">
        <f>IFERROR(IF(F5="","",F5*G5),"")</f>
        <v/>
      </c>
      <c r="I5" s="12">
        <f>'5-Parameters'!$B$8/12</f>
        <v/>
      </c>
      <c r="J5" s="12">
        <f>IFERROR(IF(H5="","",MIN(H5,I5)),"")</f>
        <v/>
      </c>
      <c r="K5" s="12">
        <f>IFERROR(IF(E5="","",E5*J5),"")</f>
        <v/>
      </c>
      <c r="L5" s="12">
        <f>IFERROR(IF(K5="","",K5*7.48),"")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12">
        <f>IFERROR(IF(F6="","",F6*G6),"")</f>
        <v/>
      </c>
      <c r="I6" s="12">
        <f>'5-Parameters'!$B$8/12</f>
        <v/>
      </c>
      <c r="J6" s="12">
        <f>IFERROR(IF(H6="","",MIN(H6,I6)),"")</f>
        <v/>
      </c>
      <c r="K6" s="12">
        <f>IFERROR(IF(E6="","",E6*J6),"")</f>
        <v/>
      </c>
      <c r="L6" s="12">
        <f>IFERROR(IF(K6="","",K6*7.48),"")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12">
        <f>IFERROR(IF(F7="","",F7*G7),"")</f>
        <v/>
      </c>
      <c r="I7" s="12">
        <f>'5-Parameters'!$B$8/12</f>
        <v/>
      </c>
      <c r="J7" s="12">
        <f>IFERROR(IF(H7="","",MIN(H7,I7)),"")</f>
        <v/>
      </c>
      <c r="K7" s="12">
        <f>IFERROR(IF(E7="","",E7*J7),"")</f>
        <v/>
      </c>
      <c r="L7" s="12">
        <f>IFERROR(IF(K7="","",K7*7.48),"")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12">
        <f>IFERROR(IF(F8="","",F8*G8),"")</f>
        <v/>
      </c>
      <c r="I8" s="12">
        <f>'5-Parameters'!$B$8/12</f>
        <v/>
      </c>
      <c r="J8" s="12">
        <f>IFERROR(IF(H8="","",MIN(H8,I8)),"")</f>
        <v/>
      </c>
      <c r="K8" s="12">
        <f>IFERROR(IF(E8="","",E8*J8),"")</f>
        <v/>
      </c>
      <c r="L8" s="12">
        <f>IFERROR(IF(K8="","",K8*7.48),"")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12">
        <f>IFERROR(IF(F9="","",F9*G9),"")</f>
        <v/>
      </c>
      <c r="I9" s="12">
        <f>'5-Parameters'!$B$8/12</f>
        <v/>
      </c>
      <c r="J9" s="12">
        <f>IFERROR(IF(H9="","",MIN(H9,I9)),"")</f>
        <v/>
      </c>
      <c r="K9" s="12">
        <f>IFERROR(IF(E9="","",E9*J9),"")</f>
        <v/>
      </c>
      <c r="L9" s="12">
        <f>IFERROR(IF(K9="","",K9*7.48),"")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12">
        <f>IFERROR(IF(F10="","",F10*G10),"")</f>
        <v/>
      </c>
      <c r="I10" s="12">
        <f>'5-Parameters'!$B$8/12</f>
        <v/>
      </c>
      <c r="J10" s="12">
        <f>IFERROR(IF(H10="","",MIN(H10,I10)),"")</f>
        <v/>
      </c>
      <c r="K10" s="12">
        <f>IFERROR(IF(E10="","",E10*J10),"")</f>
        <v/>
      </c>
      <c r="L10" s="12">
        <f>IFERROR(IF(K10="","",K10*7.48),"")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12">
        <f>IFERROR(IF(F11="","",F11*G11),"")</f>
        <v/>
      </c>
      <c r="I11" s="12">
        <f>'5-Parameters'!$B$8/12</f>
        <v/>
      </c>
      <c r="J11" s="12">
        <f>IFERROR(IF(H11="","",MIN(H11,I11)),"")</f>
        <v/>
      </c>
      <c r="K11" s="12">
        <f>IFERROR(IF(E11="","",E11*J11),"")</f>
        <v/>
      </c>
      <c r="L11" s="12">
        <f>IFERROR(IF(K11="","",K11*7.48),"")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12">
        <f>IFERROR(IF(F12="","",F12*G12),"")</f>
        <v/>
      </c>
      <c r="I12" s="12">
        <f>'5-Parameters'!$B$8/12</f>
        <v/>
      </c>
      <c r="J12" s="12">
        <f>IFERROR(IF(H12="","",MIN(H12,I12)),"")</f>
        <v/>
      </c>
      <c r="K12" s="12">
        <f>IFERROR(IF(E12="","",E12*J12),"")</f>
        <v/>
      </c>
      <c r="L12" s="12">
        <f>IFERROR(IF(K12="","",K12*7.48),"")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12">
        <f>IFERROR(IF(F13="","",F13*G13),"")</f>
        <v/>
      </c>
      <c r="I13" s="12">
        <f>'5-Parameters'!$B$8/12</f>
        <v/>
      </c>
      <c r="J13" s="12">
        <f>IFERROR(IF(H13="","",MIN(H13,I13)),"")</f>
        <v/>
      </c>
      <c r="K13" s="12">
        <f>IFERROR(IF(E13="","",E13*J13),"")</f>
        <v/>
      </c>
      <c r="L13" s="12">
        <f>IFERROR(IF(K13="","",K13*7.48),"")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12">
        <f>IFERROR(IF(F14="","",F14*G14),"")</f>
        <v/>
      </c>
      <c r="I14" s="12">
        <f>'5-Parameters'!$B$8/12</f>
        <v/>
      </c>
      <c r="J14" s="12">
        <f>IFERROR(IF(H14="","",MIN(H14,I14)),"")</f>
        <v/>
      </c>
      <c r="K14" s="12">
        <f>IFERROR(IF(E14="","",E14*J14),"")</f>
        <v/>
      </c>
      <c r="L14" s="12">
        <f>IFERROR(IF(K14="","",K14*7.48),"")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12">
        <f>IFERROR(IF(F15="","",F15*G15),"")</f>
        <v/>
      </c>
      <c r="I15" s="12">
        <f>'5-Parameters'!$B$8/12</f>
        <v/>
      </c>
      <c r="J15" s="12">
        <f>IFERROR(IF(H15="","",MIN(H15,I15)),"")</f>
        <v/>
      </c>
      <c r="K15" s="12">
        <f>IFERROR(IF(E15="","",E15*J15),"")</f>
        <v/>
      </c>
      <c r="L15" s="12">
        <f>IFERROR(IF(K15="","",K15*7.48),"")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12">
        <f>IFERROR(IF(F16="","",F16*G16),"")</f>
        <v/>
      </c>
      <c r="I16" s="12">
        <f>'5-Parameters'!$B$8/12</f>
        <v/>
      </c>
      <c r="J16" s="12">
        <f>IFERROR(IF(H16="","",MIN(H16,I16)),"")</f>
        <v/>
      </c>
      <c r="K16" s="12">
        <f>IFERROR(IF(E16="","",E16*J16),"")</f>
        <v/>
      </c>
      <c r="L16" s="12">
        <f>IFERROR(IF(K16="","",K16*7.48),"")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12">
        <f>IFERROR(IF(F17="","",F17*G17),"")</f>
        <v/>
      </c>
      <c r="I17" s="12">
        <f>'5-Parameters'!$B$8/12</f>
        <v/>
      </c>
      <c r="J17" s="12">
        <f>IFERROR(IF(H17="","",MIN(H17,I17)),"")</f>
        <v/>
      </c>
      <c r="K17" s="12">
        <f>IFERROR(IF(E17="","",E17*J17),"")</f>
        <v/>
      </c>
      <c r="L17" s="12">
        <f>IFERROR(IF(K17="","",K17*7.48),"")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12">
        <f>IFERROR(IF(F18="","",F18*G18),"")</f>
        <v/>
      </c>
      <c r="I18" s="12">
        <f>'5-Parameters'!$B$8/12</f>
        <v/>
      </c>
      <c r="J18" s="12">
        <f>IFERROR(IF(H18="","",MIN(H18,I18)),"")</f>
        <v/>
      </c>
      <c r="K18" s="12">
        <f>IFERROR(IF(E18="","",E18*J18),"")</f>
        <v/>
      </c>
      <c r="L18" s="12">
        <f>IFERROR(IF(K18="","",K18*7.48),"")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12">
        <f>IFERROR(IF(F19="","",F19*G19),"")</f>
        <v/>
      </c>
      <c r="I19" s="12">
        <f>'5-Parameters'!$B$8/12</f>
        <v/>
      </c>
      <c r="J19" s="12">
        <f>IFERROR(IF(H19="","",MIN(H19,I19)),"")</f>
        <v/>
      </c>
      <c r="K19" s="12">
        <f>IFERROR(IF(E19="","",E19*J19),"")</f>
        <v/>
      </c>
      <c r="L19" s="12">
        <f>IFERROR(IF(K19="","",K19*7.48),"")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12">
        <f>IFERROR(IF(F20="","",F20*G20),"")</f>
        <v/>
      </c>
      <c r="I20" s="12">
        <f>'5-Parameters'!$B$8/12</f>
        <v/>
      </c>
      <c r="J20" s="12">
        <f>IFERROR(IF(H20="","",MIN(H20,I20)),"")</f>
        <v/>
      </c>
      <c r="K20" s="12">
        <f>IFERROR(IF(E20="","",E20*J20),"")</f>
        <v/>
      </c>
      <c r="L20" s="12">
        <f>IFERROR(IF(K20="","",K20*7.48),"")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12">
        <f>IFERROR(IF(F21="","",F21*G21),"")</f>
        <v/>
      </c>
      <c r="I21" s="12">
        <f>'5-Parameters'!$B$8/12</f>
        <v/>
      </c>
      <c r="J21" s="12">
        <f>IFERROR(IF(H21="","",MIN(H21,I21)),"")</f>
        <v/>
      </c>
      <c r="K21" s="12">
        <f>IFERROR(IF(E21="","",E21*J21),"")</f>
        <v/>
      </c>
      <c r="L21" s="12">
        <f>IFERROR(IF(K21="","",K21*7.48),"")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12">
        <f>IFERROR(IF(F22="","",F22*G22),"")</f>
        <v/>
      </c>
      <c r="I22" s="12">
        <f>'5-Parameters'!$B$8/12</f>
        <v/>
      </c>
      <c r="J22" s="12">
        <f>IFERROR(IF(H22="","",MIN(H22,I22)),"")</f>
        <v/>
      </c>
      <c r="K22" s="12">
        <f>IFERROR(IF(E22="","",E22*J22),"")</f>
        <v/>
      </c>
      <c r="L22" s="12">
        <f>IFERROR(IF(K22="","",K22*7.48),"")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12">
        <f>IFERROR(IF(F23="","",F23*G23),"")</f>
        <v/>
      </c>
      <c r="I23" s="12">
        <f>'5-Parameters'!$B$8/12</f>
        <v/>
      </c>
      <c r="J23" s="12">
        <f>IFERROR(IF(H23="","",MIN(H23,I23)),"")</f>
        <v/>
      </c>
      <c r="K23" s="12">
        <f>IFERROR(IF(E23="","",E23*J23),"")</f>
        <v/>
      </c>
      <c r="L23" s="12">
        <f>IFERROR(IF(K23="","",K23*7.48),"")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12">
        <f>IFERROR(IF(F24="","",F24*G24),"")</f>
        <v/>
      </c>
      <c r="I24" s="12">
        <f>'5-Parameters'!$B$8/12</f>
        <v/>
      </c>
      <c r="J24" s="12">
        <f>IFERROR(IF(H24="","",MIN(H24,I24)),"")</f>
        <v/>
      </c>
      <c r="K24" s="12">
        <f>IFERROR(IF(E24="","",E24*J24),"")</f>
        <v/>
      </c>
      <c r="L24" s="12">
        <f>IFERROR(IF(K24="","",K24*7.48),"")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12">
        <f>IFERROR(IF(F25="","",F25*G25),"")</f>
        <v/>
      </c>
      <c r="I25" s="12">
        <f>'5-Parameters'!$B$8/12</f>
        <v/>
      </c>
      <c r="J25" s="12">
        <f>IFERROR(IF(H25="","",MIN(H25,I25)),"")</f>
        <v/>
      </c>
      <c r="K25" s="12">
        <f>IFERROR(IF(E25="","",E25*J25),"")</f>
        <v/>
      </c>
      <c r="L25" s="12">
        <f>IFERROR(IF(K25="","",K25*7.48),"")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12">
        <f>IFERROR(IF(F26="","",F26*G26),"")</f>
        <v/>
      </c>
      <c r="I26" s="12">
        <f>'5-Parameters'!$B$8/12</f>
        <v/>
      </c>
      <c r="J26" s="12">
        <f>IFERROR(IF(H26="","",MIN(H26,I26)),"")</f>
        <v/>
      </c>
      <c r="K26" s="12">
        <f>IFERROR(IF(E26="","",E26*J26),"")</f>
        <v/>
      </c>
      <c r="L26" s="12">
        <f>IFERROR(IF(K26="","",K26*7.48),"")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12">
        <f>IFERROR(IF(F27="","",F27*G27),"")</f>
        <v/>
      </c>
      <c r="I27" s="12">
        <f>'5-Parameters'!$B$8/12</f>
        <v/>
      </c>
      <c r="J27" s="12">
        <f>IFERROR(IF(H27="","",MIN(H27,I27)),"")</f>
        <v/>
      </c>
      <c r="K27" s="12">
        <f>IFERROR(IF(E27="","",E27*J27),"")</f>
        <v/>
      </c>
      <c r="L27" s="12">
        <f>IFERROR(IF(K27="","",K27*7.48),"")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12">
        <f>IFERROR(IF(F28="","",F28*G28),"")</f>
        <v/>
      </c>
      <c r="I28" s="12">
        <f>'5-Parameters'!$B$8/12</f>
        <v/>
      </c>
      <c r="J28" s="12">
        <f>IFERROR(IF(H28="","",MIN(H28,I28)),"")</f>
        <v/>
      </c>
      <c r="K28" s="12">
        <f>IFERROR(IF(E28="","",E28*J28),"")</f>
        <v/>
      </c>
      <c r="L28" s="12">
        <f>IFERROR(IF(K28="","",K28*7.48),"")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12">
        <f>IFERROR(IF(F29="","",F29*G29),"")</f>
        <v/>
      </c>
      <c r="I29" s="12">
        <f>'5-Parameters'!$B$8/12</f>
        <v/>
      </c>
      <c r="J29" s="12">
        <f>IFERROR(IF(H29="","",MIN(H29,I29)),"")</f>
        <v/>
      </c>
      <c r="K29" s="12">
        <f>IFERROR(IF(E29="","",E29*J29),"")</f>
        <v/>
      </c>
      <c r="L29" s="12">
        <f>IFERROR(IF(K29="","",K29*7.48),"")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12">
        <f>IFERROR(IF(F30="","",F30*G30),"")</f>
        <v/>
      </c>
      <c r="I30" s="12">
        <f>'5-Parameters'!$B$8/12</f>
        <v/>
      </c>
      <c r="J30" s="12">
        <f>IFERROR(IF(H30="","",MIN(H30,I30)),"")</f>
        <v/>
      </c>
      <c r="K30" s="12">
        <f>IFERROR(IF(E30="","",E30*J30),"")</f>
        <v/>
      </c>
      <c r="L30" s="12">
        <f>IFERROR(IF(K30="","",K30*7.48),"")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12">
        <f>IFERROR(IF(F31="","",F31*G31),"")</f>
        <v/>
      </c>
      <c r="I31" s="12">
        <f>'5-Parameters'!$B$8/12</f>
        <v/>
      </c>
      <c r="J31" s="12">
        <f>IFERROR(IF(H31="","",MIN(H31,I31)),"")</f>
        <v/>
      </c>
      <c r="K31" s="12">
        <f>IFERROR(IF(E31="","",E31*J31),"")</f>
        <v/>
      </c>
      <c r="L31" s="12">
        <f>IFERROR(IF(K31="","",K31*7.48),"")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12">
        <f>IFERROR(IF(F32="","",F32*G32),"")</f>
        <v/>
      </c>
      <c r="I32" s="12">
        <f>'5-Parameters'!$B$8/12</f>
        <v/>
      </c>
      <c r="J32" s="12">
        <f>IFERROR(IF(H32="","",MIN(H32,I32)),"")</f>
        <v/>
      </c>
      <c r="K32" s="12">
        <f>IFERROR(IF(E32="","",E32*J32),"")</f>
        <v/>
      </c>
      <c r="L32" s="12">
        <f>IFERROR(IF(K32="","",K32*7.48),"")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12">
        <f>IFERROR(IF(F33="","",F33*G33),"")</f>
        <v/>
      </c>
      <c r="I33" s="12">
        <f>'5-Parameters'!$B$8/12</f>
        <v/>
      </c>
      <c r="J33" s="12">
        <f>IFERROR(IF(H33="","",MIN(H33,I33)),"")</f>
        <v/>
      </c>
      <c r="K33" s="12">
        <f>IFERROR(IF(E33="","",E33*J33),"")</f>
        <v/>
      </c>
      <c r="L33" s="12">
        <f>IFERROR(IF(K33="","",K33*7.48),"")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12">
        <f>IFERROR(IF(F34="","",F34*G34),"")</f>
        <v/>
      </c>
      <c r="I34" s="12">
        <f>'5-Parameters'!$B$8/12</f>
        <v/>
      </c>
      <c r="J34" s="12">
        <f>IFERROR(IF(H34="","",MIN(H34,I34)),"")</f>
        <v/>
      </c>
      <c r="K34" s="12">
        <f>IFERROR(IF(E34="","",E34*J34),"")</f>
        <v/>
      </c>
      <c r="L34" s="12">
        <f>IFERROR(IF(K34="","",K34*7.48),"")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12">
        <f>IFERROR(IF(F35="","",F35*G35),"")</f>
        <v/>
      </c>
      <c r="I35" s="12">
        <f>'5-Parameters'!$B$8/12</f>
        <v/>
      </c>
      <c r="J35" s="12">
        <f>IFERROR(IF(H35="","",MIN(H35,I35)),"")</f>
        <v/>
      </c>
      <c r="K35" s="12">
        <f>IFERROR(IF(E35="","",E35*J35),"")</f>
        <v/>
      </c>
      <c r="L35" s="12">
        <f>IFERROR(IF(K35="","",K35*7.48),"")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12">
        <f>IFERROR(IF(F36="","",F36*G36),"")</f>
        <v/>
      </c>
      <c r="I36" s="12">
        <f>'5-Parameters'!$B$8/12</f>
        <v/>
      </c>
      <c r="J36" s="12">
        <f>IFERROR(IF(H36="","",MIN(H36,I36)),"")</f>
        <v/>
      </c>
      <c r="K36" s="12">
        <f>IFERROR(IF(E36="","",E36*J36),"")</f>
        <v/>
      </c>
      <c r="L36" s="12">
        <f>IFERROR(IF(K36="","",K36*7.48),"")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12">
        <f>IFERROR(IF(F37="","",F37*G37),"")</f>
        <v/>
      </c>
      <c r="I37" s="12">
        <f>'5-Parameters'!$B$8/12</f>
        <v/>
      </c>
      <c r="J37" s="12">
        <f>IFERROR(IF(H37="","",MIN(H37,I37)),"")</f>
        <v/>
      </c>
      <c r="K37" s="12">
        <f>IFERROR(IF(E37="","",E37*J37),"")</f>
        <v/>
      </c>
      <c r="L37" s="12">
        <f>IFERROR(IF(K37="","",K37*7.48),"")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12">
        <f>IFERROR(IF(F38="","",F38*G38),"")</f>
        <v/>
      </c>
      <c r="I38" s="12">
        <f>'5-Parameters'!$B$8/12</f>
        <v/>
      </c>
      <c r="J38" s="12">
        <f>IFERROR(IF(H38="","",MIN(H38,I38)),"")</f>
        <v/>
      </c>
      <c r="K38" s="12">
        <f>IFERROR(IF(E38="","",E38*J38),"")</f>
        <v/>
      </c>
      <c r="L38" s="12">
        <f>IFERROR(IF(K38="","",K38*7.48),"")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12">
        <f>IFERROR(IF(F39="","",F39*G39),"")</f>
        <v/>
      </c>
      <c r="I39" s="12">
        <f>'5-Parameters'!$B$8/12</f>
        <v/>
      </c>
      <c r="J39" s="12">
        <f>IFERROR(IF(H39="","",MIN(H39,I39)),"")</f>
        <v/>
      </c>
      <c r="K39" s="12">
        <f>IFERROR(IF(E39="","",E39*J39),"")</f>
        <v/>
      </c>
      <c r="L39" s="12">
        <f>IFERROR(IF(K39="","",K39*7.48),"")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12">
        <f>IFERROR(IF(F40="","",F40*G40),"")</f>
        <v/>
      </c>
      <c r="I40" s="12">
        <f>'5-Parameters'!$B$8/12</f>
        <v/>
      </c>
      <c r="J40" s="12">
        <f>IFERROR(IF(H40="","",MIN(H40,I40)),"")</f>
        <v/>
      </c>
      <c r="K40" s="12">
        <f>IFERROR(IF(E40="","",E40*J40),"")</f>
        <v/>
      </c>
      <c r="L40" s="12">
        <f>IFERROR(IF(K40="","",K40*7.48),"")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12">
        <f>IFERROR(IF(F41="","",F41*G41),"")</f>
        <v/>
      </c>
      <c r="I41" s="12">
        <f>'5-Parameters'!$B$8/12</f>
        <v/>
      </c>
      <c r="J41" s="12">
        <f>IFERROR(IF(H41="","",MIN(H41,I41)),"")</f>
        <v/>
      </c>
      <c r="K41" s="12">
        <f>IFERROR(IF(E41="","",E41*J41),"")</f>
        <v/>
      </c>
      <c r="L41" s="12">
        <f>IFERROR(IF(K41="","",K41*7.48),"")</f>
        <v/>
      </c>
    </row>
    <row r="42">
      <c r="A42" s="23" t="n"/>
      <c r="B42" s="23" t="n"/>
      <c r="C42" s="23" t="n"/>
      <c r="D42" s="23" t="n"/>
      <c r="E42" s="23" t="n"/>
      <c r="F42" s="23" t="n"/>
      <c r="G42" s="23" t="n"/>
      <c r="H42" s="12">
        <f>IFERROR(IF(F42="","",F42*G42),"")</f>
        <v/>
      </c>
      <c r="I42" s="12">
        <f>'5-Parameters'!$B$8/12</f>
        <v/>
      </c>
      <c r="J42" s="12">
        <f>IFERROR(IF(H42="","",MIN(H42,I42)),"")</f>
        <v/>
      </c>
      <c r="K42" s="12">
        <f>IFERROR(IF(E42="","",E42*J42),"")</f>
        <v/>
      </c>
      <c r="L42" s="12">
        <f>IFERROR(IF(K42="","",K42*7.48),"")</f>
        <v/>
      </c>
    </row>
    <row r="43">
      <c r="A43" s="23" t="n"/>
      <c r="B43" s="23" t="n"/>
      <c r="C43" s="23" t="n"/>
      <c r="D43" s="23" t="n"/>
      <c r="E43" s="23" t="n"/>
      <c r="F43" s="23" t="n"/>
      <c r="G43" s="23" t="n"/>
      <c r="H43" s="12">
        <f>IFERROR(IF(F43="","",F43*G43),"")</f>
        <v/>
      </c>
      <c r="I43" s="12">
        <f>'5-Parameters'!$B$8/12</f>
        <v/>
      </c>
      <c r="J43" s="12">
        <f>IFERROR(IF(H43="","",MIN(H43,I43)),"")</f>
        <v/>
      </c>
      <c r="K43" s="12">
        <f>IFERROR(IF(E43="","",E43*J43),"")</f>
        <v/>
      </c>
      <c r="L43" s="12">
        <f>IFERROR(IF(K43="","",K43*7.48),"")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12">
        <f>IFERROR(IF(F44="","",F44*G44),"")</f>
        <v/>
      </c>
      <c r="I44" s="12">
        <f>'5-Parameters'!$B$8/12</f>
        <v/>
      </c>
      <c r="J44" s="12">
        <f>IFERROR(IF(H44="","",MIN(H44,I44)),"")</f>
        <v/>
      </c>
      <c r="K44" s="12">
        <f>IFERROR(IF(E44="","",E44*J44),"")</f>
        <v/>
      </c>
      <c r="L44" s="12">
        <f>IFERROR(IF(K44="","",K44*7.48),"")</f>
        <v/>
      </c>
    </row>
    <row r="45">
      <c r="A45" s="23" t="n"/>
      <c r="B45" s="23" t="n"/>
      <c r="C45" s="23" t="n"/>
      <c r="D45" s="23" t="n"/>
      <c r="E45" s="23" t="n"/>
      <c r="F45" s="23" t="n"/>
      <c r="G45" s="23" t="n"/>
      <c r="H45" s="12">
        <f>IFERROR(IF(F45="","",F45*G45),"")</f>
        <v/>
      </c>
      <c r="I45" s="12">
        <f>'5-Parameters'!$B$8/12</f>
        <v/>
      </c>
      <c r="J45" s="12">
        <f>IFERROR(IF(H45="","",MIN(H45,I45)),"")</f>
        <v/>
      </c>
      <c r="K45" s="12">
        <f>IFERROR(IF(E45="","",E45*J45),"")</f>
        <v/>
      </c>
      <c r="L45" s="12">
        <f>IFERROR(IF(K45="","",K45*7.48),"")</f>
        <v/>
      </c>
    </row>
    <row r="46">
      <c r="A46" s="23" t="n"/>
      <c r="B46" s="23" t="n"/>
      <c r="C46" s="23" t="n"/>
      <c r="D46" s="23" t="n"/>
      <c r="E46" s="23" t="n"/>
      <c r="F46" s="23" t="n"/>
      <c r="G46" s="23" t="n"/>
      <c r="H46" s="12">
        <f>IFERROR(IF(F46="","",F46*G46),"")</f>
        <v/>
      </c>
      <c r="I46" s="12">
        <f>'5-Parameters'!$B$8/12</f>
        <v/>
      </c>
      <c r="J46" s="12">
        <f>IFERROR(IF(H46="","",MIN(H46,I46)),"")</f>
        <v/>
      </c>
      <c r="K46" s="12">
        <f>IFERROR(IF(E46="","",E46*J46),"")</f>
        <v/>
      </c>
      <c r="L46" s="12">
        <f>IFERROR(IF(K46="","",K46*7.48),"")</f>
        <v/>
      </c>
    </row>
    <row r="47">
      <c r="A47" s="23" t="n"/>
      <c r="B47" s="23" t="n"/>
      <c r="C47" s="23" t="n"/>
      <c r="D47" s="23" t="n"/>
      <c r="E47" s="23" t="n"/>
      <c r="F47" s="23" t="n"/>
      <c r="G47" s="23" t="n"/>
      <c r="H47" s="12">
        <f>IFERROR(IF(F47="","",F47*G47),"")</f>
        <v/>
      </c>
      <c r="I47" s="12">
        <f>'5-Parameters'!$B$8/12</f>
        <v/>
      </c>
      <c r="J47" s="12">
        <f>IFERROR(IF(H47="","",MIN(H47,I47)),"")</f>
        <v/>
      </c>
      <c r="K47" s="12">
        <f>IFERROR(IF(E47="","",E47*J47),"")</f>
        <v/>
      </c>
      <c r="L47" s="12">
        <f>IFERROR(IF(K47="","",K47*7.48),"")</f>
        <v/>
      </c>
    </row>
    <row r="48">
      <c r="A48" s="23" t="n"/>
      <c r="B48" s="23" t="n"/>
      <c r="C48" s="23" t="n"/>
      <c r="D48" s="23" t="n"/>
      <c r="E48" s="23" t="n"/>
      <c r="F48" s="23" t="n"/>
      <c r="G48" s="23" t="n"/>
      <c r="H48" s="12">
        <f>IFERROR(IF(F48="","",F48*G48),"")</f>
        <v/>
      </c>
      <c r="I48" s="12">
        <f>'5-Parameters'!$B$8/12</f>
        <v/>
      </c>
      <c r="J48" s="12">
        <f>IFERROR(IF(H48="","",MIN(H48,I48)),"")</f>
        <v/>
      </c>
      <c r="K48" s="12">
        <f>IFERROR(IF(E48="","",E48*J48),"")</f>
        <v/>
      </c>
      <c r="L48" s="12">
        <f>IFERROR(IF(K48="","",K48*7.48),"")</f>
        <v/>
      </c>
    </row>
    <row r="49">
      <c r="A49" s="23" t="n"/>
      <c r="B49" s="23" t="n"/>
      <c r="C49" s="23" t="n"/>
      <c r="D49" s="23" t="n"/>
      <c r="E49" s="23" t="n"/>
      <c r="F49" s="23" t="n"/>
      <c r="G49" s="23" t="n"/>
      <c r="H49" s="12">
        <f>IFERROR(IF(F49="","",F49*G49),"")</f>
        <v/>
      </c>
      <c r="I49" s="12">
        <f>'5-Parameters'!$B$8/12</f>
        <v/>
      </c>
      <c r="J49" s="12">
        <f>IFERROR(IF(H49="","",MIN(H49,I49)),"")</f>
        <v/>
      </c>
      <c r="K49" s="12">
        <f>IFERROR(IF(E49="","",E49*J49),"")</f>
        <v/>
      </c>
      <c r="L49" s="12">
        <f>IFERROR(IF(K49="","",K49*7.48),"")</f>
        <v/>
      </c>
    </row>
    <row r="50">
      <c r="A50" s="23" t="n"/>
      <c r="B50" s="23" t="n"/>
      <c r="C50" s="23" t="n"/>
      <c r="D50" s="23" t="n"/>
      <c r="E50" s="23" t="n"/>
      <c r="F50" s="23" t="n"/>
      <c r="G50" s="23" t="n"/>
      <c r="H50" s="12">
        <f>IFERROR(IF(F50="","",F50*G50),"")</f>
        <v/>
      </c>
      <c r="I50" s="12">
        <f>'5-Parameters'!$B$8/12</f>
        <v/>
      </c>
      <c r="J50" s="12">
        <f>IFERROR(IF(H50="","",MIN(H50,I50)),"")</f>
        <v/>
      </c>
      <c r="K50" s="12">
        <f>IFERROR(IF(E50="","",E50*J50),"")</f>
        <v/>
      </c>
      <c r="L50" s="12">
        <f>IFERROR(IF(K50="","",K50*7.48),"")</f>
        <v/>
      </c>
    </row>
    <row r="51">
      <c r="A51" s="23" t="n"/>
      <c r="B51" s="23" t="n"/>
      <c r="C51" s="23" t="n"/>
      <c r="D51" s="23" t="n"/>
      <c r="E51" s="23" t="n"/>
      <c r="F51" s="23" t="n"/>
      <c r="G51" s="23" t="n"/>
      <c r="H51" s="12">
        <f>IFERROR(IF(F51="","",F51*G51),"")</f>
        <v/>
      </c>
      <c r="I51" s="12">
        <f>'5-Parameters'!$B$8/12</f>
        <v/>
      </c>
      <c r="J51" s="12">
        <f>IFERROR(IF(H51="","",MIN(H51,I51)),"")</f>
        <v/>
      </c>
      <c r="K51" s="12">
        <f>IFERROR(IF(E51="","",E51*J51),"")</f>
        <v/>
      </c>
      <c r="L51" s="12">
        <f>IFERROR(IF(K51="","",K51*7.48),"")</f>
        <v/>
      </c>
    </row>
    <row r="52">
      <c r="A52" s="23" t="n"/>
      <c r="B52" s="23" t="n"/>
      <c r="C52" s="23" t="n"/>
      <c r="D52" s="23" t="n"/>
      <c r="E52" s="23" t="n"/>
      <c r="F52" s="23" t="n"/>
      <c r="G52" s="23" t="n"/>
      <c r="H52" s="12">
        <f>IFERROR(IF(F52="","",F52*G52),"")</f>
        <v/>
      </c>
      <c r="I52" s="12">
        <f>'5-Parameters'!$B$8/12</f>
        <v/>
      </c>
      <c r="J52" s="12">
        <f>IFERROR(IF(H52="","",MIN(H52,I52)),"")</f>
        <v/>
      </c>
      <c r="K52" s="12">
        <f>IFERROR(IF(E52="","",E52*J52),"")</f>
        <v/>
      </c>
      <c r="L52" s="12">
        <f>IFERROR(IF(K52="","",K52*7.48),"")</f>
        <v/>
      </c>
    </row>
    <row r="53">
      <c r="A53" s="16" t="inlineStr">
        <is>
          <t>TOTALS</t>
        </is>
      </c>
      <c r="B53" s="17" t="n"/>
      <c r="C53" s="17" t="n"/>
      <c r="D53" s="17" t="n"/>
      <c r="E53" s="17" t="n"/>
      <c r="F53" s="17" t="n"/>
      <c r="G53" s="17" t="n"/>
      <c r="H53" s="17" t="n"/>
      <c r="I53" s="17" t="n"/>
      <c r="J53" s="18" t="n"/>
      <c r="K53" s="19">
        <f>IFERROR(SUM(K3:K52),0)</f>
        <v/>
      </c>
      <c r="L53" s="19">
        <f>IFERROR(SUM(L3:L52),0)</f>
        <v/>
      </c>
    </row>
    <row r="54" ht="14" customHeight="1">
      <c r="A54" s="20" t="inlineStr">
        <is>
          <t>EISA §438 compliance: Net post-dev runoff (Sheet 2 col AN) - Total BMP Vol Inf (col K total) &lt;= Pre-dev runoff (Sheet 2 col AM). NO detention credit.</t>
        </is>
      </c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</row>
    <row r="55" ht="14" customHeight="1">
      <c r="A55" s="20" t="inlineStr">
        <is>
          <t>Vol Inf = BMP_Area(SF) x Design_Depth(ft). Design_Depth = MIN(P_95pct/12, Gravel_depth x Void_Ratio).</t>
        </is>
      </c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</row>
    <row r="56" ht="14" customHeight="1">
      <c r="A56" s="20" t="inlineStr">
        <is>
          <t>Porous asphalt default: 0.5ft x 0.40=0.20ft storage; P_DC/12=0.1417ft; Design=0.1417ft (storm-limited).</t>
        </is>
      </c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</row>
    <row r="57" ht="14" customHeight="1">
      <c r="A57" s="20" t="inlineStr">
        <is>
          <t>Bioretention/swale default: 0.25ft x 0.40=0.10ft storage; Design=0.10ft (STORAGE-LIMITED — below design storm).</t>
        </is>
      </c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</row>
    <row r="58" ht="14" customHeight="1">
      <c r="A58" s="20" t="inlineStr">
        <is>
          <t>Reference: Rock Creek Park Multi-Use Trail EISA §438 sample calcs, May 2017.</t>
        </is>
      </c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</row>
  </sheetData>
  <mergeCells count="7">
    <mergeCell ref="A57:L57"/>
    <mergeCell ref="A54:L54"/>
    <mergeCell ref="A1:L1"/>
    <mergeCell ref="A53:J53"/>
    <mergeCell ref="A58:L58"/>
    <mergeCell ref="A56:L56"/>
    <mergeCell ref="A55:L55"/>
  </mergeCells>
  <dataValidations count="2">
    <dataValidation sqref="C3:C52" showDropDown="0" showInputMessage="0" showErrorMessage="0" allowBlank="1" type="list">
      <formula1>"Porous Asphalt,Porous Concrete,Permeable Paver,Bioretention,Bioswale,Green Roof,Cistern"</formula1>
    </dataValidation>
    <dataValidation sqref="D3:D52" showDropDown="0" showInputMessage="0" showErrorMessage="0" allowBlank="1" type="list">
      <formula1>"A,B,C,D"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2026-10-24T05:41:19Z</dcterms:created>
  <dcterms:modified xmlns:dcterms="http://purl.org/dc/terms/" xmlns:xsi="http://www.w3.org/2001/XMLSchema-instance" xsi:type="dcterms:W3CDTF">2026-10-24T05:41:19Z</dcterms:modified>
</cp:coreProperties>
</file>