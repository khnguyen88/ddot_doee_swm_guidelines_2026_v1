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-Summary" sheetId="1" state="visible" r:id="rId1"/>
    <sheet xmlns:r="http://schemas.openxmlformats.org/officeDocument/2006/relationships" name="2-SDA LandUse" sheetId="2" state="visible" r:id="rId2"/>
    <sheet xmlns:r="http://schemas.openxmlformats.org/officeDocument/2006/relationships" name="3-CDA LandUse" sheetId="3" state="visible" r:id="rId3"/>
    <sheet xmlns:r="http://schemas.openxmlformats.org/officeDocument/2006/relationships" name="4-BMP DOEE" sheetId="4" state="visible" r:id="rId4"/>
    <sheet xmlns:r="http://schemas.openxmlformats.org/officeDocument/2006/relationships" name="5-BMP EISA438" sheetId="5" state="visible" r:id="rId5"/>
    <sheet xmlns:r="http://schemas.openxmlformats.org/officeDocument/2006/relationships" name="6-Paramet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000000"/>
      <sz val="10"/>
    </font>
    <font>
      <b val="1"/>
      <color rgb="00FFFFFF"/>
      <sz val="14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C7"/>
      </patternFill>
    </fill>
    <fill>
      <patternFill patternType="solid">
        <fgColor rgb="00538135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DEEAF1"/>
      </patternFill>
    </fill>
    <fill>
      <patternFill patternType="solid">
        <fgColor rgb="00375623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4" pivotButton="0" quotePrefix="0" xfId="0"/>
    <xf numFmtId="0" fontId="0" fillId="3" borderId="5" pivotButton="0" quotePrefix="0" xfId="0"/>
    <xf numFmtId="0" fontId="3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0" fillId="2" borderId="5" pivotButton="0" quotePrefix="0" xfId="0"/>
    <xf numFmtId="0" fontId="2" fillId="9" borderId="1" applyAlignment="1" pivotButton="0" quotePrefix="0" xfId="0">
      <alignment horizontal="center" vertical="center" wrapText="1"/>
    </xf>
    <xf numFmtId="9" fontId="2" fillId="9" borderId="1" applyAlignment="1" pivotButton="0" quotePrefix="0" xfId="0">
      <alignment horizontal="center" vertical="center" wrapText="1"/>
    </xf>
    <xf numFmtId="9" fontId="1" fillId="3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1" fillId="6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6" borderId="0" pivotButton="0" quotePrefix="0" xfId="0"/>
    <xf numFmtId="0" fontId="0" fillId="11" borderId="1" applyAlignment="1" pivotButton="0" quotePrefix="0" xfId="0">
      <alignment horizontal="left" vertical="center" wrapText="1"/>
    </xf>
    <xf numFmtId="0" fontId="0" fillId="6" borderId="4" pivotButton="0" quotePrefix="0" xfId="0"/>
    <xf numFmtId="0" fontId="0" fillId="6" borderId="5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2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4" fontId="2" fillId="9" borderId="1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3" customWidth="1" min="3" max="3"/>
    <col width="12" customWidth="1" min="4" max="4"/>
    <col width="14" customWidth="1" min="5" max="5"/>
    <col width="14" customWidth="1" min="6" max="6"/>
    <col width="12" customWidth="1" min="7" max="7"/>
    <col width="10" customWidth="1" min="8" max="8"/>
    <col width="12" customWidth="1" min="9" max="9"/>
  </cols>
  <sheetData>
    <row r="1" ht="40" customHeight="1">
      <c r="A1" s="1" t="inlineStr">
        <is>
          <t>STORMWATER MANAGEMENT — REQUIRED vs. PROVIDED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Project Information</t>
        </is>
      </c>
      <c r="B2" s="4" t="n"/>
      <c r="C2" s="4" t="n"/>
      <c r="D2" s="4" t="n"/>
      <c r="E2" s="4" t="n"/>
      <c r="F2" s="4" t="n"/>
      <c r="G2" s="4" t="n"/>
      <c r="H2" s="4" t="n"/>
      <c r="I2" s="5" t="n"/>
    </row>
    <row r="3" ht="17" customHeight="1">
      <c r="A3" s="6" t="inlineStr">
        <is>
          <t>Project Name</t>
        </is>
      </c>
      <c r="B3" s="7" t="n"/>
      <c r="C3" s="8" t="n"/>
      <c r="D3" s="8" t="n"/>
      <c r="E3" s="8" t="n"/>
      <c r="F3" s="8" t="n"/>
      <c r="G3" s="8" t="n"/>
      <c r="H3" s="8" t="n"/>
      <c r="I3" s="8" t="n"/>
    </row>
    <row r="4" ht="17" customHeight="1">
      <c r="A4" s="6" t="inlineStr">
        <is>
          <t>Project Number</t>
        </is>
      </c>
      <c r="B4" s="7" t="n"/>
      <c r="C4" s="8" t="n"/>
      <c r="D4" s="8" t="n"/>
      <c r="E4" s="8" t="n"/>
      <c r="F4" s="8" t="n"/>
      <c r="G4" s="8" t="n"/>
      <c r="H4" s="8" t="n"/>
      <c r="I4" s="8" t="n"/>
    </row>
    <row r="5" ht="17" customHeight="1">
      <c r="A5" s="6" t="inlineStr">
        <is>
          <t>Date</t>
        </is>
      </c>
      <c r="B5" s="7" t="n"/>
      <c r="C5" s="8" t="n"/>
      <c r="D5" s="8" t="n"/>
      <c r="E5" s="8" t="n"/>
      <c r="F5" s="8" t="n"/>
      <c r="G5" s="8" t="n"/>
      <c r="H5" s="8" t="n"/>
      <c r="I5" s="8" t="n"/>
    </row>
    <row r="6" ht="17" customHeight="1">
      <c r="A6" s="6" t="inlineStr">
        <is>
          <t>Prepared By</t>
        </is>
      </c>
      <c r="B6" s="7" t="n"/>
      <c r="C6" s="8" t="n"/>
      <c r="D6" s="8" t="n"/>
      <c r="E6" s="8" t="n"/>
      <c r="F6" s="8" t="n"/>
      <c r="G6" s="8" t="n"/>
      <c r="H6" s="8" t="n"/>
      <c r="I6" s="8" t="n"/>
    </row>
    <row r="7" ht="17" customHeight="1">
      <c r="A7" s="6" t="inlineStr">
        <is>
          <t>Project Location</t>
        </is>
      </c>
      <c r="B7" s="7" t="n"/>
      <c r="C7" s="8" t="n"/>
      <c r="D7" s="8" t="n"/>
      <c r="E7" s="8" t="n"/>
      <c r="F7" s="8" t="n"/>
      <c r="G7" s="8" t="n"/>
      <c r="H7" s="8" t="n"/>
      <c r="I7" s="8" t="n"/>
    </row>
    <row r="8" ht="17" customHeight="1">
      <c r="A8" s="6" t="inlineStr">
        <is>
          <t>DOEE Plan Review No.</t>
        </is>
      </c>
      <c r="B8" s="7" t="n"/>
      <c r="C8" s="8" t="n"/>
      <c r="D8" s="8" t="n"/>
      <c r="E8" s="8" t="n"/>
      <c r="F8" s="8" t="n"/>
      <c r="G8" s="8" t="n"/>
      <c r="H8" s="8" t="n"/>
      <c r="I8" s="8" t="n"/>
    </row>
    <row r="9" ht="17" customHeight="1">
      <c r="A9" s="6" t="inlineStr">
        <is>
          <t>Regulatory Notes</t>
        </is>
      </c>
      <c r="B9" s="7" t="n"/>
      <c r="C9" s="8" t="n"/>
      <c r="D9" s="8" t="n"/>
      <c r="E9" s="8" t="n"/>
      <c r="F9" s="8" t="n"/>
      <c r="G9" s="8" t="n"/>
      <c r="H9" s="8" t="n"/>
      <c r="I9" s="8" t="n"/>
    </row>
    <row r="11" ht="26" customHeight="1">
      <c r="A11" s="9" t="inlineStr">
        <is>
          <t>DOEE STORMWATER RETENTION REQUIREMENT  [SWRv Within LOD → Tree Credit → Net Required vs. BMP Vol Retained]</t>
        </is>
      </c>
      <c r="B11" s="10" t="n"/>
      <c r="C11" s="10" t="n"/>
      <c r="D11" s="10" t="n"/>
      <c r="E11" s="10" t="n"/>
      <c r="F11" s="10" t="n"/>
      <c r="G11" s="10" t="n"/>
      <c r="H11" s="10" t="n"/>
      <c r="I11" s="11" t="n"/>
    </row>
    <row r="12" ht="40" customHeight="1">
      <c r="A12" s="3" t="inlineStr">
        <is>
          <t>Site DA</t>
        </is>
      </c>
      <c r="B12" s="3" t="inlineStr">
        <is>
          <t>DOEE
Trigger</t>
        </is>
      </c>
      <c r="C12" s="3" t="inlineStr">
        <is>
          <t>SWRv Within
LOD (ft3)</t>
        </is>
      </c>
      <c r="D12" s="3" t="inlineStr">
        <is>
          <t>Tree SWv
Credit (ft3)</t>
        </is>
      </c>
      <c r="E12" s="3" t="inlineStr">
        <is>
          <t>Net SWRv
Required (ft3)</t>
        </is>
      </c>
      <c r="F12" s="3" t="inlineStr">
        <is>
          <t>BMP Vol
Retained (ft3)</t>
        </is>
      </c>
      <c r="G12" s="3" t="inlineStr">
        <is>
          <t>Surplus /
Deficit (ft3)</t>
        </is>
      </c>
      <c r="H12" s="3" t="inlineStr">
        <is>
          <t>% Provided</t>
        </is>
      </c>
      <c r="I12" s="3" t="inlineStr">
        <is>
          <t>Status</t>
        </is>
      </c>
    </row>
    <row r="13" ht="18" customHeight="1">
      <c r="A13" s="12">
        <f>'2-SDA LandUse'!A6</f>
        <v/>
      </c>
      <c r="B13" s="12">
        <f>'2-SDA LandUse'!B6</f>
        <v/>
      </c>
      <c r="C13" s="12">
        <f>IFERROR('2-SDA LandUse'!BD6,"")</f>
        <v/>
      </c>
      <c r="D13" s="12">
        <f>IFERROR('2-SDA LandUse'!BA6,0)</f>
        <v/>
      </c>
      <c r="E13" s="12">
        <f>IFERROR(IF(C13="","",MAX(0,C13-D13)),"")</f>
        <v/>
      </c>
      <c r="F13" s="12">
        <f>IFERROR(SUMIF('4-BMP DOEE'!$B$3:$B$52,'2-SDA LandUse'!A6,'4-BMP DOEE'!$V$3:$V$52),0)</f>
        <v/>
      </c>
      <c r="G13" s="12">
        <f>IFERROR(IF(E13="","",F13-E13),"")</f>
        <v/>
      </c>
      <c r="H13" s="13">
        <f>IFERROR(IF(E13=0,"",F13/E13),"")</f>
        <v/>
      </c>
      <c r="I13" s="12">
        <f>IFERROR(IF(E13="","",IF(G13&gt;=0,"PASS","DEFICIT")),"—")</f>
        <v/>
      </c>
    </row>
    <row r="14" ht="18" customHeight="1">
      <c r="A14" s="12">
        <f>'2-SDA LandUse'!A7</f>
        <v/>
      </c>
      <c r="B14" s="12">
        <f>'2-SDA LandUse'!B7</f>
        <v/>
      </c>
      <c r="C14" s="12">
        <f>IFERROR('2-SDA LandUse'!BD7,"")</f>
        <v/>
      </c>
      <c r="D14" s="12">
        <f>IFERROR('2-SDA LandUse'!BA7,0)</f>
        <v/>
      </c>
      <c r="E14" s="12">
        <f>IFERROR(IF(C14="","",MAX(0,C14-D14)),"")</f>
        <v/>
      </c>
      <c r="F14" s="12">
        <f>IFERROR(SUMIF('4-BMP DOEE'!$B$3:$B$52,'2-SDA LandUse'!A7,'4-BMP DOEE'!$V$3:$V$52),0)</f>
        <v/>
      </c>
      <c r="G14" s="12">
        <f>IFERROR(IF(E14="","",F14-E14),"")</f>
        <v/>
      </c>
      <c r="H14" s="13">
        <f>IFERROR(IF(E14=0,"",F14/E14),"")</f>
        <v/>
      </c>
      <c r="I14" s="12">
        <f>IFERROR(IF(E14="","",IF(G14&gt;=0,"PASS","DEFICIT")),"—")</f>
        <v/>
      </c>
    </row>
    <row r="15" ht="18" customHeight="1">
      <c r="A15" s="12">
        <f>'2-SDA LandUse'!A8</f>
        <v/>
      </c>
      <c r="B15" s="12">
        <f>'2-SDA LandUse'!B8</f>
        <v/>
      </c>
      <c r="C15" s="12">
        <f>IFERROR('2-SDA LandUse'!BD8,"")</f>
        <v/>
      </c>
      <c r="D15" s="12">
        <f>IFERROR('2-SDA LandUse'!BA8,0)</f>
        <v/>
      </c>
      <c r="E15" s="12">
        <f>IFERROR(IF(C15="","",MAX(0,C15-D15)),"")</f>
        <v/>
      </c>
      <c r="F15" s="12">
        <f>IFERROR(SUMIF('4-BMP DOEE'!$B$3:$B$52,'2-SDA LandUse'!A8,'4-BMP DOEE'!$V$3:$V$52),0)</f>
        <v/>
      </c>
      <c r="G15" s="12">
        <f>IFERROR(IF(E15="","",F15-E15),"")</f>
        <v/>
      </c>
      <c r="H15" s="13">
        <f>IFERROR(IF(E15=0,"",F15/E15),"")</f>
        <v/>
      </c>
      <c r="I15" s="12">
        <f>IFERROR(IF(E15="","",IF(G15&gt;=0,"PASS","DEFICIT")),"—")</f>
        <v/>
      </c>
    </row>
    <row r="16" ht="18" customHeight="1">
      <c r="A16" s="12">
        <f>'2-SDA LandUse'!A9</f>
        <v/>
      </c>
      <c r="B16" s="12">
        <f>'2-SDA LandUse'!B9</f>
        <v/>
      </c>
      <c r="C16" s="12">
        <f>IFERROR('2-SDA LandUse'!BD9,"")</f>
        <v/>
      </c>
      <c r="D16" s="12">
        <f>IFERROR('2-SDA LandUse'!BA9,0)</f>
        <v/>
      </c>
      <c r="E16" s="12">
        <f>IFERROR(IF(C16="","",MAX(0,C16-D16)),"")</f>
        <v/>
      </c>
      <c r="F16" s="12">
        <f>IFERROR(SUMIF('4-BMP DOEE'!$B$3:$B$52,'2-SDA LandUse'!A9,'4-BMP DOEE'!$V$3:$V$52),0)</f>
        <v/>
      </c>
      <c r="G16" s="12">
        <f>IFERROR(IF(E16="","",F16-E16),"")</f>
        <v/>
      </c>
      <c r="H16" s="13">
        <f>IFERROR(IF(E16=0,"",F16/E16),"")</f>
        <v/>
      </c>
      <c r="I16" s="12">
        <f>IFERROR(IF(E16="","",IF(G16&gt;=0,"PASS","DEFICIT")),"—")</f>
        <v/>
      </c>
    </row>
    <row r="17" ht="18" customHeight="1">
      <c r="A17" s="12">
        <f>'2-SDA LandUse'!A10</f>
        <v/>
      </c>
      <c r="B17" s="12">
        <f>'2-SDA LandUse'!B10</f>
        <v/>
      </c>
      <c r="C17" s="12">
        <f>IFERROR('2-SDA LandUse'!BD10,"")</f>
        <v/>
      </c>
      <c r="D17" s="12">
        <f>IFERROR('2-SDA LandUse'!BA10,0)</f>
        <v/>
      </c>
      <c r="E17" s="12">
        <f>IFERROR(IF(C17="","",MAX(0,C17-D17)),"")</f>
        <v/>
      </c>
      <c r="F17" s="12">
        <f>IFERROR(SUMIF('4-BMP DOEE'!$B$3:$B$52,'2-SDA LandUse'!A10,'4-BMP DOEE'!$V$3:$V$52),0)</f>
        <v/>
      </c>
      <c r="G17" s="12">
        <f>IFERROR(IF(E17="","",F17-E17),"")</f>
        <v/>
      </c>
      <c r="H17" s="13">
        <f>IFERROR(IF(E17=0,"",F17/E17),"")</f>
        <v/>
      </c>
      <c r="I17" s="12">
        <f>IFERROR(IF(E17="","",IF(G17&gt;=0,"PASS","DEFICIT")),"—")</f>
        <v/>
      </c>
    </row>
    <row r="18" ht="18" customHeight="1">
      <c r="A18" s="12">
        <f>'2-SDA LandUse'!A11</f>
        <v/>
      </c>
      <c r="B18" s="12">
        <f>'2-SDA LandUse'!B11</f>
        <v/>
      </c>
      <c r="C18" s="12">
        <f>IFERROR('2-SDA LandUse'!BD11,"")</f>
        <v/>
      </c>
      <c r="D18" s="12">
        <f>IFERROR('2-SDA LandUse'!BA11,0)</f>
        <v/>
      </c>
      <c r="E18" s="12">
        <f>IFERROR(IF(C18="","",MAX(0,C18-D18)),"")</f>
        <v/>
      </c>
      <c r="F18" s="12">
        <f>IFERROR(SUMIF('4-BMP DOEE'!$B$3:$B$52,'2-SDA LandUse'!A11,'4-BMP DOEE'!$V$3:$V$52),0)</f>
        <v/>
      </c>
      <c r="G18" s="12">
        <f>IFERROR(IF(E18="","",F18-E18),"")</f>
        <v/>
      </c>
      <c r="H18" s="13">
        <f>IFERROR(IF(E18=0,"",F18/E18),"")</f>
        <v/>
      </c>
      <c r="I18" s="12">
        <f>IFERROR(IF(E18="","",IF(G18&gt;=0,"PASS","DEFICIT")),"—")</f>
        <v/>
      </c>
    </row>
    <row r="19" ht="18" customHeight="1">
      <c r="A19" s="12">
        <f>'2-SDA LandUse'!A12</f>
        <v/>
      </c>
      <c r="B19" s="12">
        <f>'2-SDA LandUse'!B12</f>
        <v/>
      </c>
      <c r="C19" s="12">
        <f>IFERROR('2-SDA LandUse'!BD12,"")</f>
        <v/>
      </c>
      <c r="D19" s="12">
        <f>IFERROR('2-SDA LandUse'!BA12,0)</f>
        <v/>
      </c>
      <c r="E19" s="12">
        <f>IFERROR(IF(C19="","",MAX(0,C19-D19)),"")</f>
        <v/>
      </c>
      <c r="F19" s="12">
        <f>IFERROR(SUMIF('4-BMP DOEE'!$B$3:$B$52,'2-SDA LandUse'!A12,'4-BMP DOEE'!$V$3:$V$52),0)</f>
        <v/>
      </c>
      <c r="G19" s="12">
        <f>IFERROR(IF(E19="","",F19-E19),"")</f>
        <v/>
      </c>
      <c r="H19" s="13">
        <f>IFERROR(IF(E19=0,"",F19/E19),"")</f>
        <v/>
      </c>
      <c r="I19" s="12">
        <f>IFERROR(IF(E19="","",IF(G19&gt;=0,"PASS","DEFICIT")),"—")</f>
        <v/>
      </c>
    </row>
    <row r="20" ht="18" customHeight="1">
      <c r="A20" s="12">
        <f>'2-SDA LandUse'!A13</f>
        <v/>
      </c>
      <c r="B20" s="12">
        <f>'2-SDA LandUse'!B13</f>
        <v/>
      </c>
      <c r="C20" s="12">
        <f>IFERROR('2-SDA LandUse'!BD13,"")</f>
        <v/>
      </c>
      <c r="D20" s="12">
        <f>IFERROR('2-SDA LandUse'!BA13,0)</f>
        <v/>
      </c>
      <c r="E20" s="12">
        <f>IFERROR(IF(C20="","",MAX(0,C20-D20)),"")</f>
        <v/>
      </c>
      <c r="F20" s="12">
        <f>IFERROR(SUMIF('4-BMP DOEE'!$B$3:$B$52,'2-SDA LandUse'!A13,'4-BMP DOEE'!$V$3:$V$52),0)</f>
        <v/>
      </c>
      <c r="G20" s="12">
        <f>IFERROR(IF(E20="","",F20-E20),"")</f>
        <v/>
      </c>
      <c r="H20" s="13">
        <f>IFERROR(IF(E20=0,"",F20/E20),"")</f>
        <v/>
      </c>
      <c r="I20" s="12">
        <f>IFERROR(IF(E20="","",IF(G20&gt;=0,"PASS","DEFICIT")),"—")</f>
        <v/>
      </c>
    </row>
    <row r="21" ht="18" customHeight="1">
      <c r="A21" s="12">
        <f>'2-SDA LandUse'!A14</f>
        <v/>
      </c>
      <c r="B21" s="12">
        <f>'2-SDA LandUse'!B14</f>
        <v/>
      </c>
      <c r="C21" s="12">
        <f>IFERROR('2-SDA LandUse'!BD14,"")</f>
        <v/>
      </c>
      <c r="D21" s="12">
        <f>IFERROR('2-SDA LandUse'!BA14,0)</f>
        <v/>
      </c>
      <c r="E21" s="12">
        <f>IFERROR(IF(C21="","",MAX(0,C21-D21)),"")</f>
        <v/>
      </c>
      <c r="F21" s="12">
        <f>IFERROR(SUMIF('4-BMP DOEE'!$B$3:$B$52,'2-SDA LandUse'!A14,'4-BMP DOEE'!$V$3:$V$52),0)</f>
        <v/>
      </c>
      <c r="G21" s="12">
        <f>IFERROR(IF(E21="","",F21-E21),"")</f>
        <v/>
      </c>
      <c r="H21" s="13">
        <f>IFERROR(IF(E21=0,"",F21/E21),"")</f>
        <v/>
      </c>
      <c r="I21" s="12">
        <f>IFERROR(IF(E21="","",IF(G21&gt;=0,"PASS","DEFICIT")),"—")</f>
        <v/>
      </c>
    </row>
    <row r="22" ht="18" customHeight="1">
      <c r="A22" s="12">
        <f>'2-SDA LandUse'!A15</f>
        <v/>
      </c>
      <c r="B22" s="12">
        <f>'2-SDA LandUse'!B15</f>
        <v/>
      </c>
      <c r="C22" s="12">
        <f>IFERROR('2-SDA LandUse'!BD15,"")</f>
        <v/>
      </c>
      <c r="D22" s="12">
        <f>IFERROR('2-SDA LandUse'!BA15,0)</f>
        <v/>
      </c>
      <c r="E22" s="12">
        <f>IFERROR(IF(C22="","",MAX(0,C22-D22)),"")</f>
        <v/>
      </c>
      <c r="F22" s="12">
        <f>IFERROR(SUMIF('4-BMP DOEE'!$B$3:$B$52,'2-SDA LandUse'!A15,'4-BMP DOEE'!$V$3:$V$52),0)</f>
        <v/>
      </c>
      <c r="G22" s="12">
        <f>IFERROR(IF(E22="","",F22-E22),"")</f>
        <v/>
      </c>
      <c r="H22" s="13">
        <f>IFERROR(IF(E22=0,"",F22/E22),"")</f>
        <v/>
      </c>
      <c r="I22" s="12">
        <f>IFERROR(IF(E22="","",IF(G22&gt;=0,"PASS","DEFICIT")),"—")</f>
        <v/>
      </c>
    </row>
    <row r="23" ht="22" customHeight="1">
      <c r="A23" s="3" t="inlineStr">
        <is>
          <t>SITE TOTAL</t>
        </is>
      </c>
      <c r="B23" s="5" t="n"/>
      <c r="C23" s="3">
        <f>SUM(C13:C22)</f>
        <v/>
      </c>
      <c r="D23" s="3">
        <f>SUM(D13:D22)</f>
        <v/>
      </c>
      <c r="E23" s="3">
        <f>MAX(0,C23-D23)</f>
        <v/>
      </c>
      <c r="F23" s="3">
        <f>SUM(F13:F22)</f>
        <v/>
      </c>
      <c r="G23" s="3">
        <f>F23-E23</f>
        <v/>
      </c>
      <c r="H23" s="14">
        <f>IFERROR(F23/E23,"")</f>
        <v/>
      </c>
      <c r="I23" s="3">
        <f>IF(G23&gt;=0,"PASS","DEFICIT")</f>
        <v/>
      </c>
    </row>
    <row r="25" ht="26" customHeight="1">
      <c r="A25" s="15" t="inlineStr">
        <is>
          <t>EISA SECTION 438 — NET RUNOFF COMPLIANCE  [Net Post-dev (Prop − BMP Inf) ≤ Pre-dev]</t>
        </is>
      </c>
      <c r="B25" s="16" t="n"/>
      <c r="C25" s="16" t="n"/>
      <c r="D25" s="16" t="n"/>
      <c r="E25" s="16" t="n"/>
      <c r="F25" s="16" t="n"/>
      <c r="G25" s="16" t="n"/>
      <c r="H25" s="16" t="n"/>
      <c r="I25" s="17" t="n"/>
    </row>
    <row r="26" ht="40" customHeight="1">
      <c r="A26" s="18" t="inlineStr">
        <is>
          <t>Site DA</t>
        </is>
      </c>
      <c r="B26" s="18" t="inlineStr">
        <is>
          <t>Pre-dev
Runoff (ft3)</t>
        </is>
      </c>
      <c r="C26" s="18" t="inlineStr">
        <is>
          <t>Prop Cond
Runoff (ft3)</t>
        </is>
      </c>
      <c r="D26" s="18" t="inlineStr">
        <is>
          <t>BMP Vol Inf
(ft3)</t>
        </is>
      </c>
      <c r="E26" s="18" t="inlineStr">
        <is>
          <t>Net Post-dev
Runoff (ft3)</t>
        </is>
      </c>
      <c r="F26" s="18" t="inlineStr">
        <is>
          <t>Surplus /
Deficit (ft3)</t>
        </is>
      </c>
      <c r="G26" s="18" t="inlineStr">
        <is>
          <t>Status</t>
        </is>
      </c>
      <c r="H26" s="18" t="inlineStr"/>
      <c r="I26" s="18" t="inlineStr"/>
    </row>
    <row r="27" ht="18" customHeight="1">
      <c r="A27" s="12">
        <f>'2-SDA LandUse'!A6</f>
        <v/>
      </c>
      <c r="B27" s="12">
        <f>IFERROR('2-SDA LandUse'!BH6,"")</f>
        <v/>
      </c>
      <c r="C27" s="12">
        <f>IFERROR('2-SDA LandUse'!BI6,"")</f>
        <v/>
      </c>
      <c r="D27" s="12">
        <f>IFERROR(SUMIF('5-BMP EISA438'!$C$4:$C$53,'2-SDA LandUse'!A6,'5-BMP EISA438'!$Q$4:$Q$53),0)</f>
        <v/>
      </c>
      <c r="E27" s="12">
        <f>IFERROR(IF(B27="","",C27-D27),"")</f>
        <v/>
      </c>
      <c r="F27" s="12">
        <f>IFERROR(IF(B27="","",B27-E27),"")</f>
        <v/>
      </c>
      <c r="G27" s="12">
        <f>IFERROR(IF(B27="","",IF(E27&lt;=B27,"PASS","DEFICIT")),"—")</f>
        <v/>
      </c>
      <c r="H27" s="19" t="n"/>
      <c r="I27" s="19" t="n"/>
    </row>
    <row r="28" ht="18" customHeight="1">
      <c r="A28" s="12">
        <f>'2-SDA LandUse'!A7</f>
        <v/>
      </c>
      <c r="B28" s="12">
        <f>IFERROR('2-SDA LandUse'!BH7,"")</f>
        <v/>
      </c>
      <c r="C28" s="12">
        <f>IFERROR('2-SDA LandUse'!BI7,"")</f>
        <v/>
      </c>
      <c r="D28" s="12">
        <f>IFERROR(SUMIF('5-BMP EISA438'!$C$4:$C$53,'2-SDA LandUse'!A7,'5-BMP EISA438'!$Q$4:$Q$53),0)</f>
        <v/>
      </c>
      <c r="E28" s="12">
        <f>IFERROR(IF(B28="","",C28-D28),"")</f>
        <v/>
      </c>
      <c r="F28" s="12">
        <f>IFERROR(IF(B28="","",B28-E28),"")</f>
        <v/>
      </c>
      <c r="G28" s="12">
        <f>IFERROR(IF(B28="","",IF(E28&lt;=B28,"PASS","DEFICIT")),"—")</f>
        <v/>
      </c>
      <c r="H28" s="19" t="n"/>
      <c r="I28" s="19" t="n"/>
    </row>
    <row r="29" ht="18" customHeight="1">
      <c r="A29" s="12">
        <f>'2-SDA LandUse'!A8</f>
        <v/>
      </c>
      <c r="B29" s="12">
        <f>IFERROR('2-SDA LandUse'!BH8,"")</f>
        <v/>
      </c>
      <c r="C29" s="12">
        <f>IFERROR('2-SDA LandUse'!BI8,"")</f>
        <v/>
      </c>
      <c r="D29" s="12">
        <f>IFERROR(SUMIF('5-BMP EISA438'!$C$4:$C$53,'2-SDA LandUse'!A8,'5-BMP EISA438'!$Q$4:$Q$53),0)</f>
        <v/>
      </c>
      <c r="E29" s="12">
        <f>IFERROR(IF(B29="","",C29-D29),"")</f>
        <v/>
      </c>
      <c r="F29" s="12">
        <f>IFERROR(IF(B29="","",B29-E29),"")</f>
        <v/>
      </c>
      <c r="G29" s="12">
        <f>IFERROR(IF(B29="","",IF(E29&lt;=B29,"PASS","DEFICIT")),"—")</f>
        <v/>
      </c>
      <c r="H29" s="19" t="n"/>
      <c r="I29" s="19" t="n"/>
    </row>
    <row r="30" ht="18" customHeight="1">
      <c r="A30" s="12">
        <f>'2-SDA LandUse'!A9</f>
        <v/>
      </c>
      <c r="B30" s="12">
        <f>IFERROR('2-SDA LandUse'!BH9,"")</f>
        <v/>
      </c>
      <c r="C30" s="12">
        <f>IFERROR('2-SDA LandUse'!BI9,"")</f>
        <v/>
      </c>
      <c r="D30" s="12">
        <f>IFERROR(SUMIF('5-BMP EISA438'!$C$4:$C$53,'2-SDA LandUse'!A9,'5-BMP EISA438'!$Q$4:$Q$53),0)</f>
        <v/>
      </c>
      <c r="E30" s="12">
        <f>IFERROR(IF(B30="","",C30-D30),"")</f>
        <v/>
      </c>
      <c r="F30" s="12">
        <f>IFERROR(IF(B30="","",B30-E30),"")</f>
        <v/>
      </c>
      <c r="G30" s="12">
        <f>IFERROR(IF(B30="","",IF(E30&lt;=B30,"PASS","DEFICIT")),"—")</f>
        <v/>
      </c>
      <c r="H30" s="19" t="n"/>
      <c r="I30" s="19" t="n"/>
    </row>
    <row r="31" ht="18" customHeight="1">
      <c r="A31" s="12">
        <f>'2-SDA LandUse'!A10</f>
        <v/>
      </c>
      <c r="B31" s="12">
        <f>IFERROR('2-SDA LandUse'!BH10,"")</f>
        <v/>
      </c>
      <c r="C31" s="12">
        <f>IFERROR('2-SDA LandUse'!BI10,"")</f>
        <v/>
      </c>
      <c r="D31" s="12">
        <f>IFERROR(SUMIF('5-BMP EISA438'!$C$4:$C$53,'2-SDA LandUse'!A10,'5-BMP EISA438'!$Q$4:$Q$53),0)</f>
        <v/>
      </c>
      <c r="E31" s="12">
        <f>IFERROR(IF(B31="","",C31-D31),"")</f>
        <v/>
      </c>
      <c r="F31" s="12">
        <f>IFERROR(IF(B31="","",B31-E31),"")</f>
        <v/>
      </c>
      <c r="G31" s="12">
        <f>IFERROR(IF(B31="","",IF(E31&lt;=B31,"PASS","DEFICIT")),"—")</f>
        <v/>
      </c>
      <c r="H31" s="19" t="n"/>
      <c r="I31" s="19" t="n"/>
    </row>
    <row r="32" ht="18" customHeight="1">
      <c r="A32" s="12">
        <f>'2-SDA LandUse'!A11</f>
        <v/>
      </c>
      <c r="B32" s="12">
        <f>IFERROR('2-SDA LandUse'!BH11,"")</f>
        <v/>
      </c>
      <c r="C32" s="12">
        <f>IFERROR('2-SDA LandUse'!BI11,"")</f>
        <v/>
      </c>
      <c r="D32" s="12">
        <f>IFERROR(SUMIF('5-BMP EISA438'!$C$4:$C$53,'2-SDA LandUse'!A11,'5-BMP EISA438'!$Q$4:$Q$53),0)</f>
        <v/>
      </c>
      <c r="E32" s="12">
        <f>IFERROR(IF(B32="","",C32-D32),"")</f>
        <v/>
      </c>
      <c r="F32" s="12">
        <f>IFERROR(IF(B32="","",B32-E32),"")</f>
        <v/>
      </c>
      <c r="G32" s="12">
        <f>IFERROR(IF(B32="","",IF(E32&lt;=B32,"PASS","DEFICIT")),"—")</f>
        <v/>
      </c>
      <c r="H32" s="19" t="n"/>
      <c r="I32" s="19" t="n"/>
    </row>
    <row r="33" ht="18" customHeight="1">
      <c r="A33" s="12">
        <f>'2-SDA LandUse'!A12</f>
        <v/>
      </c>
      <c r="B33" s="12">
        <f>IFERROR('2-SDA LandUse'!BH12,"")</f>
        <v/>
      </c>
      <c r="C33" s="12">
        <f>IFERROR('2-SDA LandUse'!BI12,"")</f>
        <v/>
      </c>
      <c r="D33" s="12">
        <f>IFERROR(SUMIF('5-BMP EISA438'!$C$4:$C$53,'2-SDA LandUse'!A12,'5-BMP EISA438'!$Q$4:$Q$53),0)</f>
        <v/>
      </c>
      <c r="E33" s="12">
        <f>IFERROR(IF(B33="","",C33-D33),"")</f>
        <v/>
      </c>
      <c r="F33" s="12">
        <f>IFERROR(IF(B33="","",B33-E33),"")</f>
        <v/>
      </c>
      <c r="G33" s="12">
        <f>IFERROR(IF(B33="","",IF(E33&lt;=B33,"PASS","DEFICIT")),"—")</f>
        <v/>
      </c>
      <c r="H33" s="19" t="n"/>
      <c r="I33" s="19" t="n"/>
    </row>
    <row r="34" ht="18" customHeight="1">
      <c r="A34" s="12">
        <f>'2-SDA LandUse'!A13</f>
        <v/>
      </c>
      <c r="B34" s="12">
        <f>IFERROR('2-SDA LandUse'!BH13,"")</f>
        <v/>
      </c>
      <c r="C34" s="12">
        <f>IFERROR('2-SDA LandUse'!BI13,"")</f>
        <v/>
      </c>
      <c r="D34" s="12">
        <f>IFERROR(SUMIF('5-BMP EISA438'!$C$4:$C$53,'2-SDA LandUse'!A13,'5-BMP EISA438'!$Q$4:$Q$53),0)</f>
        <v/>
      </c>
      <c r="E34" s="12">
        <f>IFERROR(IF(B34="","",C34-D34),"")</f>
        <v/>
      </c>
      <c r="F34" s="12">
        <f>IFERROR(IF(B34="","",B34-E34),"")</f>
        <v/>
      </c>
      <c r="G34" s="12">
        <f>IFERROR(IF(B34="","",IF(E34&lt;=B34,"PASS","DEFICIT")),"—")</f>
        <v/>
      </c>
      <c r="H34" s="19" t="n"/>
      <c r="I34" s="19" t="n"/>
    </row>
    <row r="35" ht="18" customHeight="1">
      <c r="A35" s="12">
        <f>'2-SDA LandUse'!A14</f>
        <v/>
      </c>
      <c r="B35" s="12">
        <f>IFERROR('2-SDA LandUse'!BH14,"")</f>
        <v/>
      </c>
      <c r="C35" s="12">
        <f>IFERROR('2-SDA LandUse'!BI14,"")</f>
        <v/>
      </c>
      <c r="D35" s="12">
        <f>IFERROR(SUMIF('5-BMP EISA438'!$C$4:$C$53,'2-SDA LandUse'!A14,'5-BMP EISA438'!$Q$4:$Q$53),0)</f>
        <v/>
      </c>
      <c r="E35" s="12">
        <f>IFERROR(IF(B35="","",C35-D35),"")</f>
        <v/>
      </c>
      <c r="F35" s="12">
        <f>IFERROR(IF(B35="","",B35-E35),"")</f>
        <v/>
      </c>
      <c r="G35" s="12">
        <f>IFERROR(IF(B35="","",IF(E35&lt;=B35,"PASS","DEFICIT")),"—")</f>
        <v/>
      </c>
      <c r="H35" s="19" t="n"/>
      <c r="I35" s="19" t="n"/>
    </row>
    <row r="36" ht="18" customHeight="1">
      <c r="A36" s="12">
        <f>'2-SDA LandUse'!A15</f>
        <v/>
      </c>
      <c r="B36" s="12">
        <f>IFERROR('2-SDA LandUse'!BH15,"")</f>
        <v/>
      </c>
      <c r="C36" s="12">
        <f>IFERROR('2-SDA LandUse'!BI15,"")</f>
        <v/>
      </c>
      <c r="D36" s="12">
        <f>IFERROR(SUMIF('5-BMP EISA438'!$C$4:$C$53,'2-SDA LandUse'!A15,'5-BMP EISA438'!$Q$4:$Q$53),0)</f>
        <v/>
      </c>
      <c r="E36" s="12">
        <f>IFERROR(IF(B36="","",C36-D36),"")</f>
        <v/>
      </c>
      <c r="F36" s="12">
        <f>IFERROR(IF(B36="","",B36-E36),"")</f>
        <v/>
      </c>
      <c r="G36" s="12">
        <f>IFERROR(IF(B36="","",IF(E36&lt;=B36,"PASS","DEFICIT")),"—")</f>
        <v/>
      </c>
      <c r="H36" s="19" t="n"/>
      <c r="I36" s="19" t="n"/>
    </row>
    <row r="37" ht="22" customHeight="1">
      <c r="A37" s="18" t="inlineStr">
        <is>
          <t>SITE TOTAL</t>
        </is>
      </c>
      <c r="B37" s="18">
        <f>SUM(B27:B36)</f>
        <v/>
      </c>
      <c r="C37" s="18">
        <f>SUM(C27:C36)</f>
        <v/>
      </c>
      <c r="D37" s="18">
        <f>SUM(D27:D36)</f>
        <v/>
      </c>
      <c r="E37" s="18">
        <f>C37-D37</f>
        <v/>
      </c>
      <c r="F37" s="18">
        <f>B37-E37</f>
        <v/>
      </c>
      <c r="G37" s="18">
        <f>IF(E37&lt;=B37,"PASS","DEFICIT")</f>
        <v/>
      </c>
      <c r="H37" s="20" t="n"/>
      <c r="I37" s="20" t="n"/>
    </row>
    <row r="39">
      <c r="A39" s="9" t="inlineStr">
        <is>
          <t>KEY NOTES</t>
        </is>
      </c>
      <c r="B39" s="10" t="n"/>
      <c r="C39" s="10" t="n"/>
      <c r="D39" s="10" t="n"/>
      <c r="E39" s="10" t="n"/>
      <c r="F39" s="10" t="n"/>
      <c r="G39" s="10" t="n"/>
      <c r="H39" s="10" t="n"/>
      <c r="I39" s="11" t="n"/>
    </row>
    <row r="40" ht="15" customHeight="1">
      <c r="A40" s="21" t="inlineStr">
        <is>
          <t>DOEE: SWRv=(P/12)×[0.95×(Imp+Veh+BMP)+0.25×Comp]×43,560. Applies to WITHIN LOD (regulated) area only. Tree credits per DOEE SWM Guidebook §3.14.5 reduce Net SWRv Required.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</row>
    <row r="41" ht="15" customHeight="1">
      <c r="A41" s="21" t="inlineStr">
        <is>
          <t>Tree Credits: Planted small=5 CF, large=10 CF; Preserved small=10, large=20, special=30, heritage=40 CF per tree (Tables 3-52/3-53). Edit in 6-Parameters rows 63–68.</t>
        </is>
      </c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" customHeight="1">
      <c r="A42" s="21" t="inlineStr">
        <is>
          <t>EISA §438: SCS/TR-55 CN method, 4 land types × HSG A-D. Compliance = Net post-dev (Prop runoff − BMP Inf) ≤ Pre-dev runoff. EISA uses total SDA (within + outside LOD).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 ht="15" customHeight="1">
      <c r="A43" s="21" t="inlineStr">
        <is>
          <t>EISA BMP credit: Area × MIN(P/12 ft, media_d×eta_m + gravel_d×eta_g). Ref: Rock Creek Park EISA §438 calcs (2017).</t>
        </is>
      </c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" customHeight="1">
      <c r="A44" s="21" t="inlineStr">
        <is>
          <t>Hierarchy: SDA (Sheet 2, LOD→outfall) &gt; CDA (Sheet 3, sub-area draining to one BMP) &gt; BMP (Sheets 4-5). CDA may include offsite area; enter in Sheet 3.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</row>
    <row r="45" ht="15" customHeight="1">
      <c r="A45" s="21" t="inlineStr">
        <is>
          <t>Both DOEE and EISA apply simultaneously to DC federal projects. EISA 1.7" &gt; DOEE MLD 1.2" — EISA-compliant design typically satisfies DOEE retention.</t>
        </is>
      </c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" customHeight="1">
      <c r="A46" s="21" t="inlineStr">
        <is>
          <t>PROW/MEP: DOEE MEP process applies to public ROW. EISA §438 applies only to federal facility footprint &gt;5,000 SF impervious. Confirm with project sponsor.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</row>
  </sheetData>
  <mergeCells count="21">
    <mergeCell ref="A25:I25"/>
    <mergeCell ref="A41:I41"/>
    <mergeCell ref="B7:I7"/>
    <mergeCell ref="A46:I46"/>
    <mergeCell ref="B3:I3"/>
    <mergeCell ref="A2:I2"/>
    <mergeCell ref="A42:I42"/>
    <mergeCell ref="B8:I8"/>
    <mergeCell ref="A43:I43"/>
    <mergeCell ref="A44:I44"/>
    <mergeCell ref="A40:I40"/>
    <mergeCell ref="A39:I39"/>
    <mergeCell ref="A23:B23"/>
    <mergeCell ref="A37"/>
    <mergeCell ref="B9:I9"/>
    <mergeCell ref="A11:I11"/>
    <mergeCell ref="B6:I6"/>
    <mergeCell ref="A1:I1"/>
    <mergeCell ref="A45:I45"/>
    <mergeCell ref="B5:I5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7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9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9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9" customWidth="1" min="42" max="42"/>
    <col width="8" customWidth="1" min="43" max="43"/>
    <col width="9" customWidth="1" min="44" max="44"/>
    <col width="8" customWidth="1" min="45" max="45"/>
    <col width="9" customWidth="1" min="46" max="46"/>
    <col width="8" customWidth="1" min="47" max="47"/>
    <col width="9" customWidth="1" min="48" max="48"/>
    <col width="8" customWidth="1" min="49" max="49"/>
    <col width="9" customWidth="1" min="50" max="50"/>
    <col width="8" customWidth="1" min="51" max="51"/>
    <col width="9" customWidth="1" min="52" max="52"/>
    <col width="11" customWidth="1" min="53" max="53"/>
    <col width="8" customWidth="1" min="54" max="54"/>
    <col width="8" customWidth="1" min="55" max="55"/>
    <col width="12" customWidth="1" min="56" max="56"/>
    <col width="8" customWidth="1" min="57" max="57"/>
    <col width="12" customWidth="1" min="58" max="58"/>
    <col width="12" customWidth="1" min="59" max="59"/>
    <col width="12" customWidth="1" min="60" max="60"/>
    <col width="12" customWidth="1" min="61" max="61"/>
  </cols>
  <sheetData>
    <row r="1" ht="26" customHeight="1">
      <c r="A1" s="9" t="inlineStr">
        <is>
          <t>SITE DRAINAGE AREA (SDA) — LAND USE, HSG &amp; TREE CREDITS  [SDA may include areas WITHIN and OUTSIDE the LOD that drain to a common outfall]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0" t="n"/>
      <c r="BF1" s="10" t="n"/>
      <c r="BG1" s="10" t="n"/>
      <c r="BH1" s="10" t="n"/>
      <c r="BI1" s="11" t="n"/>
    </row>
    <row r="2" ht="26" customHeight="1">
      <c r="A2" s="9" t="inlineStr">
        <is>
          <t>Site DA (SDA)</t>
        </is>
      </c>
      <c r="B2" s="10" t="n"/>
      <c r="C2" s="11" t="n"/>
      <c r="D2" s="3" t="inlineStr">
        <is>
          <t>WITHIN LOD — DOEE Land Use (acres + total SF)</t>
        </is>
      </c>
      <c r="E2" s="4" t="n"/>
      <c r="F2" s="4" t="n"/>
      <c r="G2" s="4" t="n"/>
      <c r="H2" s="4" t="n"/>
      <c r="I2" s="5" t="n"/>
      <c r="J2" s="9" t="inlineStr">
        <is>
          <t>OUTSIDE LOD — DOEE Land Use  (offsite contributing area)</t>
        </is>
      </c>
      <c r="K2" s="10" t="n"/>
      <c r="L2" s="10" t="n"/>
      <c r="M2" s="10" t="n"/>
      <c r="N2" s="11" t="n"/>
      <c r="O2" s="18" t="inlineStr">
        <is>
          <t>EISA Existing Conditions — Total SDA (SF)</t>
        </is>
      </c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3" t="n"/>
      <c r="AB2" s="18" t="inlineStr">
        <is>
          <t>EISA Proposed Conditions — Total SDA (SF)</t>
        </is>
      </c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3" t="n"/>
      <c r="AO2" s="15" t="inlineStr">
        <is>
          <t>Tree Planting &amp; Preservation (within LOD) — SWv Credits (CF)</t>
        </is>
      </c>
      <c r="AP2" s="16" t="n"/>
      <c r="AQ2" s="16" t="n"/>
      <c r="AR2" s="16" t="n"/>
      <c r="AS2" s="16" t="n"/>
      <c r="AT2" s="16" t="n"/>
      <c r="AU2" s="16" t="n"/>
      <c r="AV2" s="16" t="n"/>
      <c r="AW2" s="16" t="n"/>
      <c r="AX2" s="16" t="n"/>
      <c r="AY2" s="16" t="n"/>
      <c r="AZ2" s="16" t="n"/>
      <c r="BA2" s="17" t="n"/>
      <c r="BB2" s="3" t="inlineStr">
        <is>
          <t>DOEE SWRv Calculations</t>
        </is>
      </c>
      <c r="BC2" s="4" t="n"/>
      <c r="BD2" s="4" t="n"/>
      <c r="BE2" s="4" t="n"/>
      <c r="BF2" s="4" t="n"/>
      <c r="BG2" s="5" t="n"/>
      <c r="BH2" s="18" t="inlineStr">
        <is>
          <t>EISA Runoff (Total SDA)</t>
        </is>
      </c>
      <c r="BI2" s="23" t="n"/>
    </row>
    <row r="3" ht="26" customHeight="1">
      <c r="A3" s="9" t="inlineStr"/>
      <c r="B3" s="9" t="inlineStr"/>
      <c r="C3" s="9" t="inlineStr"/>
      <c r="D3" s="3" t="inlineStr"/>
      <c r="E3" s="3" t="inlineStr"/>
      <c r="F3" s="3" t="inlineStr"/>
      <c r="G3" s="3" t="inlineStr"/>
      <c r="H3" s="3" t="inlineStr"/>
      <c r="I3" s="3" t="inlineStr"/>
      <c r="J3" s="9" t="inlineStr"/>
      <c r="K3" s="9" t="inlineStr"/>
      <c r="L3" s="9" t="inlineStr"/>
      <c r="M3" s="9" t="inlineStr"/>
      <c r="N3" s="9" t="inlineStr"/>
      <c r="O3" s="15" t="inlineStr">
        <is>
          <t>Ex Imp</t>
        </is>
      </c>
      <c r="P3" s="18" t="inlineStr">
        <is>
          <t>Ex Woods  (HSG A/B/C/D)</t>
        </is>
      </c>
      <c r="Q3" s="22" t="n"/>
      <c r="R3" s="22" t="n"/>
      <c r="S3" s="23" t="n"/>
      <c r="T3" s="18" t="inlineStr">
        <is>
          <t>Ex BMP / Pervious  (HSG A/B/C/D)</t>
        </is>
      </c>
      <c r="U3" s="22" t="n"/>
      <c r="V3" s="22" t="n"/>
      <c r="W3" s="23" t="n"/>
      <c r="X3" s="18" t="inlineStr">
        <is>
          <t>Ex Comp / Open  (HSG A/B/C/D)</t>
        </is>
      </c>
      <c r="Y3" s="22" t="n"/>
      <c r="Z3" s="22" t="n"/>
      <c r="AA3" s="23" t="n"/>
      <c r="AB3" s="15" t="inlineStr">
        <is>
          <t>Prop Imp</t>
        </is>
      </c>
      <c r="AC3" s="18" t="inlineStr">
        <is>
          <t>Prop Woods  (HSG A/B/C/D)</t>
        </is>
      </c>
      <c r="AD3" s="22" t="n"/>
      <c r="AE3" s="22" t="n"/>
      <c r="AF3" s="23" t="n"/>
      <c r="AG3" s="18" t="inlineStr">
        <is>
          <t>Prop BMP / Pervious  (HSG A/B/C/D)</t>
        </is>
      </c>
      <c r="AH3" s="22" t="n"/>
      <c r="AI3" s="22" t="n"/>
      <c r="AJ3" s="23" t="n"/>
      <c r="AK3" s="18" t="inlineStr">
        <is>
          <t>Prop Comp / Open  (HSG A/B/C/D)</t>
        </is>
      </c>
      <c r="AL3" s="22" t="n"/>
      <c r="AM3" s="22" t="n"/>
      <c r="AN3" s="23" t="n"/>
      <c r="AO3" s="15" t="inlineStr">
        <is>
          <t>Planted Trees</t>
        </is>
      </c>
      <c r="AP3" s="16" t="n"/>
      <c r="AQ3" s="16" t="n"/>
      <c r="AR3" s="17" t="n"/>
      <c r="AS3" s="15" t="inlineStr">
        <is>
          <t>Preserved Trees</t>
        </is>
      </c>
      <c r="AT3" s="16" t="n"/>
      <c r="AU3" s="16" t="n"/>
      <c r="AV3" s="16" t="n"/>
      <c r="AW3" s="16" t="n"/>
      <c r="AX3" s="16" t="n"/>
      <c r="AY3" s="16" t="n"/>
      <c r="AZ3" s="17" t="n"/>
      <c r="BA3" s="15" t="inlineStr">
        <is>
          <t>Total
Tree Credit</t>
        </is>
      </c>
      <c r="BB3" s="3" t="inlineStr"/>
      <c r="BC3" s="3" t="inlineStr"/>
      <c r="BD3" s="3" t="inlineStr"/>
      <c r="BE3" s="3" t="inlineStr"/>
      <c r="BF3" s="3" t="inlineStr"/>
      <c r="BG3" s="3" t="inlineStr"/>
      <c r="BH3" s="18" t="inlineStr"/>
      <c r="BI3" s="18" t="inlineStr"/>
    </row>
    <row r="4" ht="46" customHeight="1">
      <c r="A4" s="24" t="inlineStr">
        <is>
          <t>SDA Name</t>
        </is>
      </c>
      <c r="B4" s="24" t="inlineStr">
        <is>
          <t>DOEE
Trigger</t>
        </is>
      </c>
      <c r="C4" s="24" t="inlineStr">
        <is>
          <t>HSG</t>
        </is>
      </c>
      <c r="D4" s="24" t="inlineStr">
        <is>
          <t>Imp
Within LOD
(ac)</t>
        </is>
      </c>
      <c r="E4" s="24" t="inlineStr">
        <is>
          <t>Veh Imp
Within LOD
(ac)</t>
        </is>
      </c>
      <c r="F4" s="24" t="inlineStr">
        <is>
          <t>Comp
Within LOD
(ac)</t>
        </is>
      </c>
      <c r="G4" s="24" t="inlineStr">
        <is>
          <t>Natural
Within LOD
(ac)</t>
        </is>
      </c>
      <c r="H4" s="24" t="inlineStr">
        <is>
          <t>BMP
Within LOD
(ac)</t>
        </is>
      </c>
      <c r="I4" s="24" t="inlineStr">
        <is>
          <t>Total
Within LOD
(SF)</t>
        </is>
      </c>
      <c r="J4" s="24" t="inlineStr">
        <is>
          <t>Imp
Outside LOD
(ac)</t>
        </is>
      </c>
      <c r="K4" s="24" t="inlineStr">
        <is>
          <t>Comp
Outside LOD
(ac)</t>
        </is>
      </c>
      <c r="L4" s="24" t="inlineStr">
        <is>
          <t>Natural
Outside LOD
(ac)</t>
        </is>
      </c>
      <c r="M4" s="24" t="inlineStr">
        <is>
          <t>Total
Outside LOD
(SF)</t>
        </is>
      </c>
      <c r="N4" s="24" t="inlineStr">
        <is>
          <t>Total SDA
(SF)</t>
        </is>
      </c>
      <c r="O4" s="25" t="inlineStr">
        <is>
          <t>Ex Imp
(SF)</t>
        </is>
      </c>
      <c r="P4" s="25" t="inlineStr">
        <is>
          <t>Ex Woods
HSG-A</t>
        </is>
      </c>
      <c r="Q4" s="25" t="inlineStr">
        <is>
          <t>Ex Woods
HSG-B</t>
        </is>
      </c>
      <c r="R4" s="25" t="inlineStr">
        <is>
          <t>Ex Woods
HSG-C</t>
        </is>
      </c>
      <c r="S4" s="25" t="inlineStr">
        <is>
          <t>Ex Woods
HSG-D</t>
        </is>
      </c>
      <c r="T4" s="25" t="inlineStr">
        <is>
          <t>Ex BMP
HSG-A</t>
        </is>
      </c>
      <c r="U4" s="25" t="inlineStr">
        <is>
          <t>Ex BMP
HSG-B</t>
        </is>
      </c>
      <c r="V4" s="25" t="inlineStr">
        <is>
          <t>Ex BMP
HSG-C</t>
        </is>
      </c>
      <c r="W4" s="25" t="inlineStr">
        <is>
          <t>Ex BMP
HSG-D</t>
        </is>
      </c>
      <c r="X4" s="25" t="inlineStr">
        <is>
          <t>Ex Comp
HSG-A</t>
        </is>
      </c>
      <c r="Y4" s="25" t="inlineStr">
        <is>
          <t>Ex Comp
HSG-B</t>
        </is>
      </c>
      <c r="Z4" s="25" t="inlineStr">
        <is>
          <t>Ex Comp
HSG-C</t>
        </is>
      </c>
      <c r="AA4" s="25" t="inlineStr">
        <is>
          <t>Ex Comp
HSG-D</t>
        </is>
      </c>
      <c r="AB4" s="25" t="inlineStr">
        <is>
          <t>Prop Imp
(SF)</t>
        </is>
      </c>
      <c r="AC4" s="25" t="inlineStr">
        <is>
          <t>Prop Woods
HSG-A</t>
        </is>
      </c>
      <c r="AD4" s="25" t="inlineStr">
        <is>
          <t>Prop Woods
HSG-B</t>
        </is>
      </c>
      <c r="AE4" s="25" t="inlineStr">
        <is>
          <t>Prop Woods
HSG-C</t>
        </is>
      </c>
      <c r="AF4" s="25" t="inlineStr">
        <is>
          <t>Prop Woods
HSG-D</t>
        </is>
      </c>
      <c r="AG4" s="25" t="inlineStr">
        <is>
          <t>Prop BMP
HSG-A</t>
        </is>
      </c>
      <c r="AH4" s="25" t="inlineStr">
        <is>
          <t>Prop BMP
HSG-B</t>
        </is>
      </c>
      <c r="AI4" s="25" t="inlineStr">
        <is>
          <t>Prop BMP
HSG-C</t>
        </is>
      </c>
      <c r="AJ4" s="25" t="inlineStr">
        <is>
          <t>Prop BMP
HSG-D</t>
        </is>
      </c>
      <c r="AK4" s="25" t="inlineStr">
        <is>
          <t>Prop Comp
HSG-A</t>
        </is>
      </c>
      <c r="AL4" s="25" t="inlineStr">
        <is>
          <t>Prop Comp
HSG-B</t>
        </is>
      </c>
      <c r="AM4" s="25" t="inlineStr">
        <is>
          <t>Prop Comp
HSG-C</t>
        </is>
      </c>
      <c r="AN4" s="25" t="inlineStr">
        <is>
          <t>Prop Comp
HSG-D</t>
        </is>
      </c>
      <c r="AO4" s="25" t="inlineStr">
        <is>
          <t># Small
Planted</t>
        </is>
      </c>
      <c r="AP4" s="25" t="inlineStr">
        <is>
          <t>Small Plant
Credit (CF)</t>
        </is>
      </c>
      <c r="AQ4" s="25" t="inlineStr">
        <is>
          <t># Large
Planted</t>
        </is>
      </c>
      <c r="AR4" s="25" t="inlineStr">
        <is>
          <t>Large Plant
Credit (CF)</t>
        </is>
      </c>
      <c r="AS4" s="25" t="inlineStr">
        <is>
          <t># Small
Preserved</t>
        </is>
      </c>
      <c r="AT4" s="25" t="inlineStr">
        <is>
          <t>Small Pres
Credit (CF)</t>
        </is>
      </c>
      <c r="AU4" s="25" t="inlineStr">
        <is>
          <t># Large
Preserved</t>
        </is>
      </c>
      <c r="AV4" s="25" t="inlineStr">
        <is>
          <t>Large Pres
Credit (CF)</t>
        </is>
      </c>
      <c r="AW4" s="25" t="inlineStr">
        <is>
          <t># Special
Preserved</t>
        </is>
      </c>
      <c r="AX4" s="25" t="inlineStr">
        <is>
          <t>Special Pres
Credit (CF)</t>
        </is>
      </c>
      <c r="AY4" s="25" t="inlineStr">
        <is>
          <t># Heritage
Preserved</t>
        </is>
      </c>
      <c r="AZ4" s="25" t="inlineStr">
        <is>
          <t>Heritage Pres
Credit (CF)</t>
        </is>
      </c>
      <c r="BA4" s="25" t="inlineStr">
        <is>
          <t>Total Tree
SWv Credit
(CF)</t>
        </is>
      </c>
      <c r="BB4" s="24" t="inlineStr">
        <is>
          <t>DOEE P
(in)</t>
        </is>
      </c>
      <c r="BC4" s="24" t="inlineStr">
        <is>
          <t>Rv
Within LOD</t>
        </is>
      </c>
      <c r="BD4" s="24" t="inlineStr">
        <is>
          <t>SWRv
Within LOD
(ft3)</t>
        </is>
      </c>
      <c r="BE4" s="24" t="inlineStr">
        <is>
          <t>Rv
Outside LOD</t>
        </is>
      </c>
      <c r="BF4" s="24" t="inlineStr">
        <is>
          <t>SWRv Outside
LOD (ft3)
[info only]</t>
        </is>
      </c>
      <c r="BG4" s="24" t="inlineStr">
        <is>
          <t>Net SWRv
After Trees
(ft3)</t>
        </is>
      </c>
      <c r="BH4" s="25" t="inlineStr">
        <is>
          <t>EISA Pre-dev
Runoff (ft3)</t>
        </is>
      </c>
      <c r="BI4" s="25" t="inlineStr">
        <is>
          <t>EISA Prop Cond
Runoff (ft3)</t>
        </is>
      </c>
    </row>
    <row r="5" ht="26" customHeight="1">
      <c r="A5" s="6" t="inlineStr">
        <is>
          <t>CURVE NUMBERS (CN) — edit per project soil survey:</t>
        </is>
      </c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  <c r="N5" s="27" t="n"/>
      <c r="O5" s="28" t="inlineStr">
        <is>
          <t>CN=98
(fixed)</t>
        </is>
      </c>
      <c r="P5" s="29" t="n">
        <v>25</v>
      </c>
      <c r="Q5" s="29" t="n">
        <v>55</v>
      </c>
      <c r="R5" s="29" t="n">
        <v>70</v>
      </c>
      <c r="S5" s="29" t="n">
        <v>77</v>
      </c>
      <c r="T5" s="29" t="n">
        <v>39</v>
      </c>
      <c r="U5" s="29" t="n">
        <v>61</v>
      </c>
      <c r="V5" s="29" t="n">
        <v>74</v>
      </c>
      <c r="W5" s="29" t="n">
        <v>80</v>
      </c>
      <c r="X5" s="29" t="n">
        <v>49</v>
      </c>
      <c r="Y5" s="29" t="n">
        <v>69</v>
      </c>
      <c r="Z5" s="29" t="n">
        <v>79</v>
      </c>
      <c r="AA5" s="29" t="n">
        <v>84</v>
      </c>
      <c r="AB5" s="28" t="inlineStr">
        <is>
          <t>CN=98
(fixed)</t>
        </is>
      </c>
      <c r="AC5" s="12">
        <f>P5</f>
        <v/>
      </c>
      <c r="AD5" s="12">
        <f>Q5</f>
        <v/>
      </c>
      <c r="AE5" s="12">
        <f>R5</f>
        <v/>
      </c>
      <c r="AF5" s="12">
        <f>S5</f>
        <v/>
      </c>
      <c r="AG5" s="12">
        <f>T5</f>
        <v/>
      </c>
      <c r="AH5" s="12">
        <f>U5</f>
        <v/>
      </c>
      <c r="AI5" s="12">
        <f>V5</f>
        <v/>
      </c>
      <c r="AJ5" s="12">
        <f>W5</f>
        <v/>
      </c>
      <c r="AK5" s="12">
        <f>X5</f>
        <v/>
      </c>
      <c r="AL5" s="12">
        <f>Y5</f>
        <v/>
      </c>
      <c r="AM5" s="12">
        <f>Z5</f>
        <v/>
      </c>
      <c r="AN5" s="12">
        <f>AA5</f>
        <v/>
      </c>
      <c r="AO5" s="30" t="inlineStr">
        <is>
          <t>—</t>
        </is>
      </c>
      <c r="AP5" s="30" t="inlineStr">
        <is>
          <t>—</t>
        </is>
      </c>
      <c r="AQ5" s="30" t="inlineStr">
        <is>
          <t>—</t>
        </is>
      </c>
      <c r="AR5" s="30" t="inlineStr">
        <is>
          <t>—</t>
        </is>
      </c>
      <c r="AS5" s="30" t="inlineStr">
        <is>
          <t>—</t>
        </is>
      </c>
      <c r="AT5" s="30" t="inlineStr">
        <is>
          <t>—</t>
        </is>
      </c>
      <c r="AU5" s="30" t="inlineStr">
        <is>
          <t>—</t>
        </is>
      </c>
      <c r="AV5" s="30" t="inlineStr">
        <is>
          <t>—</t>
        </is>
      </c>
      <c r="AW5" s="30" t="inlineStr">
        <is>
          <t>—</t>
        </is>
      </c>
      <c r="AX5" s="30" t="inlineStr">
        <is>
          <t>—</t>
        </is>
      </c>
      <c r="AY5" s="30" t="inlineStr">
        <is>
          <t>—</t>
        </is>
      </c>
      <c r="AZ5" s="30" t="inlineStr">
        <is>
          <t>—</t>
        </is>
      </c>
      <c r="BA5" s="30" t="inlineStr">
        <is>
          <t>—</t>
        </is>
      </c>
      <c r="BB5" s="31" t="inlineStr">
        <is>
          <t>↑ inputs</t>
        </is>
      </c>
      <c r="BC5" s="31" t="inlineStr">
        <is>
          <t>↑ inputs</t>
        </is>
      </c>
      <c r="BD5" s="31" t="inlineStr">
        <is>
          <t>↑ inputs</t>
        </is>
      </c>
      <c r="BE5" s="31" t="inlineStr">
        <is>
          <t>↑ inputs</t>
        </is>
      </c>
      <c r="BF5" s="31" t="inlineStr">
        <is>
          <t>↑ inputs</t>
        </is>
      </c>
      <c r="BG5" s="31" t="inlineStr">
        <is>
          <t>↑ inputs</t>
        </is>
      </c>
      <c r="BH5" s="31" t="inlineStr">
        <is>
          <t>↑ inputs</t>
        </is>
      </c>
      <c r="BI5" s="31" t="inlineStr">
        <is>
          <t>↑ inputs</t>
        </is>
      </c>
    </row>
    <row r="6">
      <c r="A6" s="32" t="n"/>
      <c r="B6" s="32" t="n"/>
      <c r="C6" s="32" t="n"/>
      <c r="D6" s="32" t="n"/>
      <c r="E6" s="32" t="n"/>
      <c r="F6" s="32" t="n"/>
      <c r="G6" s="32" t="n"/>
      <c r="H6" s="32" t="n"/>
      <c r="I6" s="12">
        <f>IFERROR((D6+E6+F6+G6+H6)*43560,0)</f>
        <v/>
      </c>
      <c r="J6" s="32" t="n"/>
      <c r="K6" s="32" t="n"/>
      <c r="L6" s="32" t="n"/>
      <c r="M6" s="12">
        <f>IFERROR((J6+K6+L6)*43560,0)</f>
        <v/>
      </c>
      <c r="N6" s="12">
        <f>IFERROR(I6+M6,0)</f>
        <v/>
      </c>
      <c r="O6" s="32" t="n"/>
      <c r="P6" s="32" t="n"/>
      <c r="Q6" s="32" t="n"/>
      <c r="R6" s="32" t="n"/>
      <c r="S6" s="32" t="n"/>
      <c r="T6" s="32" t="n"/>
      <c r="U6" s="32" t="n"/>
      <c r="V6" s="32" t="n"/>
      <c r="W6" s="32" t="n"/>
      <c r="X6" s="32" t="n"/>
      <c r="Y6" s="32" t="n"/>
      <c r="Z6" s="32" t="n"/>
      <c r="AA6" s="32" t="n"/>
      <c r="AB6" s="32" t="n"/>
      <c r="AC6" s="32" t="n"/>
      <c r="AD6" s="32" t="n"/>
      <c r="AE6" s="32" t="n"/>
      <c r="AF6" s="32" t="n"/>
      <c r="AG6" s="32" t="n"/>
      <c r="AH6" s="32" t="n"/>
      <c r="AI6" s="32" t="n"/>
      <c r="AJ6" s="32" t="n"/>
      <c r="AK6" s="32" t="n"/>
      <c r="AL6" s="32" t="n"/>
      <c r="AM6" s="32" t="n"/>
      <c r="AN6" s="32" t="n"/>
      <c r="AO6" s="32" t="n"/>
      <c r="AP6" s="12">
        <f>IFERROR(AO6*'6-Parameters'!$B$63,0)</f>
        <v/>
      </c>
      <c r="AQ6" s="32" t="n"/>
      <c r="AR6" s="12">
        <f>IFERROR(AQ6*'6-Parameters'!$B$64,0)</f>
        <v/>
      </c>
      <c r="AS6" s="32" t="n"/>
      <c r="AT6" s="12">
        <f>IFERROR(AS6*'6-Parameters'!$B$65,0)</f>
        <v/>
      </c>
      <c r="AU6" s="32" t="n"/>
      <c r="AV6" s="12">
        <f>IFERROR(AU6*'6-Parameters'!$B$66,0)</f>
        <v/>
      </c>
      <c r="AW6" s="32" t="n"/>
      <c r="AX6" s="12">
        <f>IFERROR(AW6*'6-Parameters'!$B$67,0)</f>
        <v/>
      </c>
      <c r="AY6" s="32" t="n"/>
      <c r="AZ6" s="12">
        <f>IFERROR(AY6*'6-Parameters'!$B$68,0)</f>
        <v/>
      </c>
      <c r="BA6" s="33">
        <f>IFERROR(AP6+AR6+AT6+AV6+AX6+AZ6,0)</f>
        <v/>
      </c>
      <c r="BB6" s="12">
        <f>IFERROR(IFS(B6="MLD",'6-Parameters'!$B$4,B6="MSI",'6-Parameters'!$B$5,B6="MSI-AWDZ",'6-Parameters'!$B$6,TRUE,""),"")</f>
        <v/>
      </c>
      <c r="BC6" s="34">
        <f>IFERROR(IF((D6+E6+F6+G6+H6)=0,"",(0.95*(D6+E6+H6)+0.25*F6)/(D6+E6+F6+G6+H6)),"")</f>
        <v/>
      </c>
      <c r="BD6" s="12">
        <f>IFERROR(IF(B6="","",BB6/12*(0.95*(D6+E6+H6)+0.25*F6)*43560),"")</f>
        <v/>
      </c>
      <c r="BE6" s="34">
        <f>IFERROR(IF((J6+K6+L6)=0,"",(0.95*J6+0.25*K6)/(J6+K6+L6)),"")</f>
        <v/>
      </c>
      <c r="BF6" s="12">
        <f>IFERROR(IF((J6+K6+L6)=0,"",BB6/12*(0.95*J6+0.25*K6)*43560),"")</f>
        <v/>
      </c>
      <c r="BG6" s="33">
        <f>IFERROR(IF(BD6="","",MAX(0,BD6-BA6)),"")</f>
        <v/>
      </c>
      <c r="BH6" s="12">
        <f>IFERROR((O6*MAX(0,IF('6-Parameters'!$B$8&gt;0.2*(1000/98-10),('6-Parameters'!$B$8-0.2*(1000/98-10))^2/('6-Parameters'!$B$8+0.8*(1000/98-10)),0))+P6*MAX(0,IF('6-Parameters'!$B$8&gt;0.2*(1000/$P$5-10),('6-Parameters'!$B$8-0.2*(1000/$P$5-10))^2/('6-Parameters'!$B$8+0.8*(1000/$P$5-10)),0))+Q6*MAX(0,IF('6-Parameters'!$B$8&gt;0.2*(1000/$Q$5-10),('6-Parameters'!$B$8-0.2*(1000/$Q$5-10))^2/('6-Parameters'!$B$8+0.8*(1000/$Q$5-10)),0))+R6*MAX(0,IF('6-Parameters'!$B$8&gt;0.2*(1000/$R$5-10),('6-Parameters'!$B$8-0.2*(1000/$R$5-10))^2/('6-Parameters'!$B$8+0.8*(1000/$R$5-10)),0))+S6*MAX(0,IF('6-Parameters'!$B$8&gt;0.2*(1000/$S$5-10),('6-Parameters'!$B$8-0.2*(1000/$S$5-10))^2/('6-Parameters'!$B$8+0.8*(1000/$S$5-10)),0))+T6*MAX(0,IF('6-Parameters'!$B$8&gt;0.2*(1000/$T$5-10),('6-Parameters'!$B$8-0.2*(1000/$T$5-10))^2/('6-Parameters'!$B$8+0.8*(1000/$T$5-10)),0))+U6*MAX(0,IF('6-Parameters'!$B$8&gt;0.2*(1000/$U$5-10),('6-Parameters'!$B$8-0.2*(1000/$U$5-10))^2/('6-Parameters'!$B$8+0.8*(1000/$U$5-10)),0))+V6*MAX(0,IF('6-Parameters'!$B$8&gt;0.2*(1000/$V$5-10),('6-Parameters'!$B$8-0.2*(1000/$V$5-10))^2/('6-Parameters'!$B$8+0.8*(1000/$V$5-10)),0))+W6*MAX(0,IF('6-Parameters'!$B$8&gt;0.2*(1000/$W$5-10),('6-Parameters'!$B$8-0.2*(1000/$W$5-10))^2/('6-Parameters'!$B$8+0.8*(1000/$W$5-10)),0))+X6*MAX(0,IF('6-Parameters'!$B$8&gt;0.2*(1000/$X$5-10),('6-Parameters'!$B$8-0.2*(1000/$X$5-10))^2/('6-Parameters'!$B$8+0.8*(1000/$X$5-10)),0))+Y6*MAX(0,IF('6-Parameters'!$B$8&gt;0.2*(1000/$Y$5-10),('6-Parameters'!$B$8-0.2*(1000/$Y$5-10))^2/('6-Parameters'!$B$8+0.8*(1000/$Y$5-10)),0))+Z6*MAX(0,IF('6-Parameters'!$B$8&gt;0.2*(1000/$Z$5-10),('6-Parameters'!$B$8-0.2*(1000/$Z$5-10))^2/('6-Parameters'!$B$8+0.8*(1000/$Z$5-10)),0))+AA6*MAX(0,IF('6-Parameters'!$B$8&gt;0.2*(1000/$AA$5-10),('6-Parameters'!$B$8-0.2*(1000/$AA$5-10))^2/('6-Parameters'!$B$8+0.8*(1000/$AA$5-10)),0)))/12,0)</f>
        <v/>
      </c>
      <c r="BI6" s="12">
        <f>IFERROR((AB6*MAX(0,IF('6-Parameters'!$B$8&gt;0.2*(1000/98-10),('6-Parameters'!$B$8-0.2*(1000/98-10))^2/('6-Parameters'!$B$8+0.8*(1000/98-10)),0))+AC6*MAX(0,IF('6-Parameters'!$B$8&gt;0.2*(1000/$AC$5-10),('6-Parameters'!$B$8-0.2*(1000/$AC$5-10))^2/('6-Parameters'!$B$8+0.8*(1000/$AC$5-10)),0))+AD6*MAX(0,IF('6-Parameters'!$B$8&gt;0.2*(1000/$AD$5-10),('6-Parameters'!$B$8-0.2*(1000/$AD$5-10))^2/('6-Parameters'!$B$8+0.8*(1000/$AD$5-10)),0))+AE6*MAX(0,IF('6-Parameters'!$B$8&gt;0.2*(1000/$AE$5-10),('6-Parameters'!$B$8-0.2*(1000/$AE$5-10))^2/('6-Parameters'!$B$8+0.8*(1000/$AE$5-10)),0))+AF6*MAX(0,IF('6-Parameters'!$B$8&gt;0.2*(1000/$AF$5-10),('6-Parameters'!$B$8-0.2*(1000/$AF$5-10))^2/('6-Parameters'!$B$8+0.8*(1000/$AF$5-10)),0))+AG6*MAX(0,IF('6-Parameters'!$B$8&gt;0.2*(1000/$AG$5-10),('6-Parameters'!$B$8-0.2*(1000/$AG$5-10))^2/('6-Parameters'!$B$8+0.8*(1000/$AG$5-10)),0))+AH6*MAX(0,IF('6-Parameters'!$B$8&gt;0.2*(1000/$AH$5-10),('6-Parameters'!$B$8-0.2*(1000/$AH$5-10))^2/('6-Parameters'!$B$8+0.8*(1000/$AH$5-10)),0))+AI6*MAX(0,IF('6-Parameters'!$B$8&gt;0.2*(1000/$AI$5-10),('6-Parameters'!$B$8-0.2*(1000/$AI$5-10))^2/('6-Parameters'!$B$8+0.8*(1000/$AI$5-10)),0))+AJ6*MAX(0,IF('6-Parameters'!$B$8&gt;0.2*(1000/$AJ$5-10),('6-Parameters'!$B$8-0.2*(1000/$AJ$5-10))^2/('6-Parameters'!$B$8+0.8*(1000/$AJ$5-10)),0))+AK6*MAX(0,IF('6-Parameters'!$B$8&gt;0.2*(1000/$AK$5-10),('6-Parameters'!$B$8-0.2*(1000/$AK$5-10))^2/('6-Parameters'!$B$8+0.8*(1000/$AK$5-10)),0))+AL6*MAX(0,IF('6-Parameters'!$B$8&gt;0.2*(1000/$AL$5-10),('6-Parameters'!$B$8-0.2*(1000/$AL$5-10))^2/('6-Parameters'!$B$8+0.8*(1000/$AL$5-10)),0))+AM6*MAX(0,IF('6-Parameters'!$B$8&gt;0.2*(1000/$AM$5-10),('6-Parameters'!$B$8-0.2*(1000/$AM$5-10))^2/('6-Parameters'!$B$8+0.8*(1000/$AM$5-10)),0))+AN6*MAX(0,IF('6-Parameters'!$B$8&gt;0.2*(1000/$AN$5-10),('6-Parameters'!$B$8-0.2*(1000/$AN$5-10))^2/('6-Parameters'!$B$8+0.8*(1000/$AN$5-10)),0)))/12,0)</f>
        <v/>
      </c>
    </row>
    <row r="7">
      <c r="A7" s="32" t="n"/>
      <c r="B7" s="32" t="n"/>
      <c r="C7" s="32" t="n"/>
      <c r="D7" s="32" t="n"/>
      <c r="E7" s="32" t="n"/>
      <c r="F7" s="32" t="n"/>
      <c r="G7" s="32" t="n"/>
      <c r="H7" s="32" t="n"/>
      <c r="I7" s="12">
        <f>IFERROR((D7+E7+F7+G7+H7)*43560,0)</f>
        <v/>
      </c>
      <c r="J7" s="32" t="n"/>
      <c r="K7" s="32" t="n"/>
      <c r="L7" s="32" t="n"/>
      <c r="M7" s="12">
        <f>IFERROR((J7+K7+L7)*43560,0)</f>
        <v/>
      </c>
      <c r="N7" s="12">
        <f>IFERROR(I7+M7,0)</f>
        <v/>
      </c>
      <c r="O7" s="32" t="n"/>
      <c r="P7" s="32" t="n"/>
      <c r="Q7" s="32" t="n"/>
      <c r="R7" s="32" t="n"/>
      <c r="S7" s="32" t="n"/>
      <c r="T7" s="32" t="n"/>
      <c r="U7" s="32" t="n"/>
      <c r="V7" s="32" t="n"/>
      <c r="W7" s="32" t="n"/>
      <c r="X7" s="32" t="n"/>
      <c r="Y7" s="32" t="n"/>
      <c r="Z7" s="32" t="n"/>
      <c r="AA7" s="32" t="n"/>
      <c r="AB7" s="32" t="n"/>
      <c r="AC7" s="32" t="n"/>
      <c r="AD7" s="32" t="n"/>
      <c r="AE7" s="32" t="n"/>
      <c r="AF7" s="32" t="n"/>
      <c r="AG7" s="32" t="n"/>
      <c r="AH7" s="32" t="n"/>
      <c r="AI7" s="32" t="n"/>
      <c r="AJ7" s="32" t="n"/>
      <c r="AK7" s="32" t="n"/>
      <c r="AL7" s="32" t="n"/>
      <c r="AM7" s="32" t="n"/>
      <c r="AN7" s="32" t="n"/>
      <c r="AO7" s="32" t="n"/>
      <c r="AP7" s="12">
        <f>IFERROR(AO7*'6-Parameters'!$B$63,0)</f>
        <v/>
      </c>
      <c r="AQ7" s="32" t="n"/>
      <c r="AR7" s="12">
        <f>IFERROR(AQ7*'6-Parameters'!$B$64,0)</f>
        <v/>
      </c>
      <c r="AS7" s="32" t="n"/>
      <c r="AT7" s="12">
        <f>IFERROR(AS7*'6-Parameters'!$B$65,0)</f>
        <v/>
      </c>
      <c r="AU7" s="32" t="n"/>
      <c r="AV7" s="12">
        <f>IFERROR(AU7*'6-Parameters'!$B$66,0)</f>
        <v/>
      </c>
      <c r="AW7" s="32" t="n"/>
      <c r="AX7" s="12">
        <f>IFERROR(AW7*'6-Parameters'!$B$67,0)</f>
        <v/>
      </c>
      <c r="AY7" s="32" t="n"/>
      <c r="AZ7" s="12">
        <f>IFERROR(AY7*'6-Parameters'!$B$68,0)</f>
        <v/>
      </c>
      <c r="BA7" s="33">
        <f>IFERROR(AP7+AR7+AT7+AV7+AX7+AZ7,0)</f>
        <v/>
      </c>
      <c r="BB7" s="12">
        <f>IFERROR(IFS(B7="MLD",'6-Parameters'!$B$4,B7="MSI",'6-Parameters'!$B$5,B7="MSI-AWDZ",'6-Parameters'!$B$6,TRUE,""),"")</f>
        <v/>
      </c>
      <c r="BC7" s="34">
        <f>IFERROR(IF((D7+E7+F7+G7+H7)=0,"",(0.95*(D7+E7+H7)+0.25*F7)/(D7+E7+F7+G7+H7)),"")</f>
        <v/>
      </c>
      <c r="BD7" s="12">
        <f>IFERROR(IF(B7="","",BB7/12*(0.95*(D7+E7+H7)+0.25*F7)*43560),"")</f>
        <v/>
      </c>
      <c r="BE7" s="34">
        <f>IFERROR(IF((J7+K7+L7)=0,"",(0.95*J7+0.25*K7)/(J7+K7+L7)),"")</f>
        <v/>
      </c>
      <c r="BF7" s="12">
        <f>IFERROR(IF((J7+K7+L7)=0,"",BB7/12*(0.95*J7+0.25*K7)*43560),"")</f>
        <v/>
      </c>
      <c r="BG7" s="33">
        <f>IFERROR(IF(BD7="","",MAX(0,BD7-BA7)),"")</f>
        <v/>
      </c>
      <c r="BH7" s="12">
        <f>IFERROR((O7*MAX(0,IF('6-Parameters'!$B$8&gt;0.2*(1000/98-10),('6-Parameters'!$B$8-0.2*(1000/98-10))^2/('6-Parameters'!$B$8+0.8*(1000/98-10)),0))+P7*MAX(0,IF('6-Parameters'!$B$8&gt;0.2*(1000/$P$5-10),('6-Parameters'!$B$8-0.2*(1000/$P$5-10))^2/('6-Parameters'!$B$8+0.8*(1000/$P$5-10)),0))+Q7*MAX(0,IF('6-Parameters'!$B$8&gt;0.2*(1000/$Q$5-10),('6-Parameters'!$B$8-0.2*(1000/$Q$5-10))^2/('6-Parameters'!$B$8+0.8*(1000/$Q$5-10)),0))+R7*MAX(0,IF('6-Parameters'!$B$8&gt;0.2*(1000/$R$5-10),('6-Parameters'!$B$8-0.2*(1000/$R$5-10))^2/('6-Parameters'!$B$8+0.8*(1000/$R$5-10)),0))+S7*MAX(0,IF('6-Parameters'!$B$8&gt;0.2*(1000/$S$5-10),('6-Parameters'!$B$8-0.2*(1000/$S$5-10))^2/('6-Parameters'!$B$8+0.8*(1000/$S$5-10)),0))+T7*MAX(0,IF('6-Parameters'!$B$8&gt;0.2*(1000/$T$5-10),('6-Parameters'!$B$8-0.2*(1000/$T$5-10))^2/('6-Parameters'!$B$8+0.8*(1000/$T$5-10)),0))+U7*MAX(0,IF('6-Parameters'!$B$8&gt;0.2*(1000/$U$5-10),('6-Parameters'!$B$8-0.2*(1000/$U$5-10))^2/('6-Parameters'!$B$8+0.8*(1000/$U$5-10)),0))+V7*MAX(0,IF('6-Parameters'!$B$8&gt;0.2*(1000/$V$5-10),('6-Parameters'!$B$8-0.2*(1000/$V$5-10))^2/('6-Parameters'!$B$8+0.8*(1000/$V$5-10)),0))+W7*MAX(0,IF('6-Parameters'!$B$8&gt;0.2*(1000/$W$5-10),('6-Parameters'!$B$8-0.2*(1000/$W$5-10))^2/('6-Parameters'!$B$8+0.8*(1000/$W$5-10)),0))+X7*MAX(0,IF('6-Parameters'!$B$8&gt;0.2*(1000/$X$5-10),('6-Parameters'!$B$8-0.2*(1000/$X$5-10))^2/('6-Parameters'!$B$8+0.8*(1000/$X$5-10)),0))+Y7*MAX(0,IF('6-Parameters'!$B$8&gt;0.2*(1000/$Y$5-10),('6-Parameters'!$B$8-0.2*(1000/$Y$5-10))^2/('6-Parameters'!$B$8+0.8*(1000/$Y$5-10)),0))+Z7*MAX(0,IF('6-Parameters'!$B$8&gt;0.2*(1000/$Z$5-10),('6-Parameters'!$B$8-0.2*(1000/$Z$5-10))^2/('6-Parameters'!$B$8+0.8*(1000/$Z$5-10)),0))+AA7*MAX(0,IF('6-Parameters'!$B$8&gt;0.2*(1000/$AA$5-10),('6-Parameters'!$B$8-0.2*(1000/$AA$5-10))^2/('6-Parameters'!$B$8+0.8*(1000/$AA$5-10)),0)))/12,0)</f>
        <v/>
      </c>
      <c r="BI7" s="12">
        <f>IFERROR((AB7*MAX(0,IF('6-Parameters'!$B$8&gt;0.2*(1000/98-10),('6-Parameters'!$B$8-0.2*(1000/98-10))^2/('6-Parameters'!$B$8+0.8*(1000/98-10)),0))+AC7*MAX(0,IF('6-Parameters'!$B$8&gt;0.2*(1000/$AC$5-10),('6-Parameters'!$B$8-0.2*(1000/$AC$5-10))^2/('6-Parameters'!$B$8+0.8*(1000/$AC$5-10)),0))+AD7*MAX(0,IF('6-Parameters'!$B$8&gt;0.2*(1000/$AD$5-10),('6-Parameters'!$B$8-0.2*(1000/$AD$5-10))^2/('6-Parameters'!$B$8+0.8*(1000/$AD$5-10)),0))+AE7*MAX(0,IF('6-Parameters'!$B$8&gt;0.2*(1000/$AE$5-10),('6-Parameters'!$B$8-0.2*(1000/$AE$5-10))^2/('6-Parameters'!$B$8+0.8*(1000/$AE$5-10)),0))+AF7*MAX(0,IF('6-Parameters'!$B$8&gt;0.2*(1000/$AF$5-10),('6-Parameters'!$B$8-0.2*(1000/$AF$5-10))^2/('6-Parameters'!$B$8+0.8*(1000/$AF$5-10)),0))+AG7*MAX(0,IF('6-Parameters'!$B$8&gt;0.2*(1000/$AG$5-10),('6-Parameters'!$B$8-0.2*(1000/$AG$5-10))^2/('6-Parameters'!$B$8+0.8*(1000/$AG$5-10)),0))+AH7*MAX(0,IF('6-Parameters'!$B$8&gt;0.2*(1000/$AH$5-10),('6-Parameters'!$B$8-0.2*(1000/$AH$5-10))^2/('6-Parameters'!$B$8+0.8*(1000/$AH$5-10)),0))+AI7*MAX(0,IF('6-Parameters'!$B$8&gt;0.2*(1000/$AI$5-10),('6-Parameters'!$B$8-0.2*(1000/$AI$5-10))^2/('6-Parameters'!$B$8+0.8*(1000/$AI$5-10)),0))+AJ7*MAX(0,IF('6-Parameters'!$B$8&gt;0.2*(1000/$AJ$5-10),('6-Parameters'!$B$8-0.2*(1000/$AJ$5-10))^2/('6-Parameters'!$B$8+0.8*(1000/$AJ$5-10)),0))+AK7*MAX(0,IF('6-Parameters'!$B$8&gt;0.2*(1000/$AK$5-10),('6-Parameters'!$B$8-0.2*(1000/$AK$5-10))^2/('6-Parameters'!$B$8+0.8*(1000/$AK$5-10)),0))+AL7*MAX(0,IF('6-Parameters'!$B$8&gt;0.2*(1000/$AL$5-10),('6-Parameters'!$B$8-0.2*(1000/$AL$5-10))^2/('6-Parameters'!$B$8+0.8*(1000/$AL$5-10)),0))+AM7*MAX(0,IF('6-Parameters'!$B$8&gt;0.2*(1000/$AM$5-10),('6-Parameters'!$B$8-0.2*(1000/$AM$5-10))^2/('6-Parameters'!$B$8+0.8*(1000/$AM$5-10)),0))+AN7*MAX(0,IF('6-Parameters'!$B$8&gt;0.2*(1000/$AN$5-10),('6-Parameters'!$B$8-0.2*(1000/$AN$5-10))^2/('6-Parameters'!$B$8+0.8*(1000/$AN$5-10)),0)))/12,0)</f>
        <v/>
      </c>
    </row>
    <row r="8">
      <c r="A8" s="32" t="n"/>
      <c r="B8" s="32" t="n"/>
      <c r="C8" s="32" t="n"/>
      <c r="D8" s="32" t="n"/>
      <c r="E8" s="32" t="n"/>
      <c r="F8" s="32" t="n"/>
      <c r="G8" s="32" t="n"/>
      <c r="H8" s="32" t="n"/>
      <c r="I8" s="12">
        <f>IFERROR((D8+E8+F8+G8+H8)*43560,0)</f>
        <v/>
      </c>
      <c r="J8" s="32" t="n"/>
      <c r="K8" s="32" t="n"/>
      <c r="L8" s="32" t="n"/>
      <c r="M8" s="12">
        <f>IFERROR((J8+K8+L8)*43560,0)</f>
        <v/>
      </c>
      <c r="N8" s="12">
        <f>IFERROR(I8+M8,0)</f>
        <v/>
      </c>
      <c r="O8" s="32" t="n"/>
      <c r="P8" s="32" t="n"/>
      <c r="Q8" s="32" t="n"/>
      <c r="R8" s="32" t="n"/>
      <c r="S8" s="32" t="n"/>
      <c r="T8" s="32" t="n"/>
      <c r="U8" s="32" t="n"/>
      <c r="V8" s="32" t="n"/>
      <c r="W8" s="32" t="n"/>
      <c r="X8" s="32" t="n"/>
      <c r="Y8" s="32" t="n"/>
      <c r="Z8" s="32" t="n"/>
      <c r="AA8" s="32" t="n"/>
      <c r="AB8" s="32" t="n"/>
      <c r="AC8" s="32" t="n"/>
      <c r="AD8" s="32" t="n"/>
      <c r="AE8" s="32" t="n"/>
      <c r="AF8" s="32" t="n"/>
      <c r="AG8" s="32" t="n"/>
      <c r="AH8" s="32" t="n"/>
      <c r="AI8" s="32" t="n"/>
      <c r="AJ8" s="32" t="n"/>
      <c r="AK8" s="32" t="n"/>
      <c r="AL8" s="32" t="n"/>
      <c r="AM8" s="32" t="n"/>
      <c r="AN8" s="32" t="n"/>
      <c r="AO8" s="32" t="n"/>
      <c r="AP8" s="12">
        <f>IFERROR(AO8*'6-Parameters'!$B$63,0)</f>
        <v/>
      </c>
      <c r="AQ8" s="32" t="n"/>
      <c r="AR8" s="12">
        <f>IFERROR(AQ8*'6-Parameters'!$B$64,0)</f>
        <v/>
      </c>
      <c r="AS8" s="32" t="n"/>
      <c r="AT8" s="12">
        <f>IFERROR(AS8*'6-Parameters'!$B$65,0)</f>
        <v/>
      </c>
      <c r="AU8" s="32" t="n"/>
      <c r="AV8" s="12">
        <f>IFERROR(AU8*'6-Parameters'!$B$66,0)</f>
        <v/>
      </c>
      <c r="AW8" s="32" t="n"/>
      <c r="AX8" s="12">
        <f>IFERROR(AW8*'6-Parameters'!$B$67,0)</f>
        <v/>
      </c>
      <c r="AY8" s="32" t="n"/>
      <c r="AZ8" s="12">
        <f>IFERROR(AY8*'6-Parameters'!$B$68,0)</f>
        <v/>
      </c>
      <c r="BA8" s="33">
        <f>IFERROR(AP8+AR8+AT8+AV8+AX8+AZ8,0)</f>
        <v/>
      </c>
      <c r="BB8" s="12">
        <f>IFERROR(IFS(B8="MLD",'6-Parameters'!$B$4,B8="MSI",'6-Parameters'!$B$5,B8="MSI-AWDZ",'6-Parameters'!$B$6,TRUE,""),"")</f>
        <v/>
      </c>
      <c r="BC8" s="34">
        <f>IFERROR(IF((D8+E8+F8+G8+H8)=0,"",(0.95*(D8+E8+H8)+0.25*F8)/(D8+E8+F8+G8+H8)),"")</f>
        <v/>
      </c>
      <c r="BD8" s="12">
        <f>IFERROR(IF(B8="","",BB8/12*(0.95*(D8+E8+H8)+0.25*F8)*43560),"")</f>
        <v/>
      </c>
      <c r="BE8" s="34">
        <f>IFERROR(IF((J8+K8+L8)=0,"",(0.95*J8+0.25*K8)/(J8+K8+L8)),"")</f>
        <v/>
      </c>
      <c r="BF8" s="12">
        <f>IFERROR(IF((J8+K8+L8)=0,"",BB8/12*(0.95*J8+0.25*K8)*43560),"")</f>
        <v/>
      </c>
      <c r="BG8" s="33">
        <f>IFERROR(IF(BD8="","",MAX(0,BD8-BA8)),"")</f>
        <v/>
      </c>
      <c r="BH8" s="12">
        <f>IFERROR((O8*MAX(0,IF('6-Parameters'!$B$8&gt;0.2*(1000/98-10),('6-Parameters'!$B$8-0.2*(1000/98-10))^2/('6-Parameters'!$B$8+0.8*(1000/98-10)),0))+P8*MAX(0,IF('6-Parameters'!$B$8&gt;0.2*(1000/$P$5-10),('6-Parameters'!$B$8-0.2*(1000/$P$5-10))^2/('6-Parameters'!$B$8+0.8*(1000/$P$5-10)),0))+Q8*MAX(0,IF('6-Parameters'!$B$8&gt;0.2*(1000/$Q$5-10),('6-Parameters'!$B$8-0.2*(1000/$Q$5-10))^2/('6-Parameters'!$B$8+0.8*(1000/$Q$5-10)),0))+R8*MAX(0,IF('6-Parameters'!$B$8&gt;0.2*(1000/$R$5-10),('6-Parameters'!$B$8-0.2*(1000/$R$5-10))^2/('6-Parameters'!$B$8+0.8*(1000/$R$5-10)),0))+S8*MAX(0,IF('6-Parameters'!$B$8&gt;0.2*(1000/$S$5-10),('6-Parameters'!$B$8-0.2*(1000/$S$5-10))^2/('6-Parameters'!$B$8+0.8*(1000/$S$5-10)),0))+T8*MAX(0,IF('6-Parameters'!$B$8&gt;0.2*(1000/$T$5-10),('6-Parameters'!$B$8-0.2*(1000/$T$5-10))^2/('6-Parameters'!$B$8+0.8*(1000/$T$5-10)),0))+U8*MAX(0,IF('6-Parameters'!$B$8&gt;0.2*(1000/$U$5-10),('6-Parameters'!$B$8-0.2*(1000/$U$5-10))^2/('6-Parameters'!$B$8+0.8*(1000/$U$5-10)),0))+V8*MAX(0,IF('6-Parameters'!$B$8&gt;0.2*(1000/$V$5-10),('6-Parameters'!$B$8-0.2*(1000/$V$5-10))^2/('6-Parameters'!$B$8+0.8*(1000/$V$5-10)),0))+W8*MAX(0,IF('6-Parameters'!$B$8&gt;0.2*(1000/$W$5-10),('6-Parameters'!$B$8-0.2*(1000/$W$5-10))^2/('6-Parameters'!$B$8+0.8*(1000/$W$5-10)),0))+X8*MAX(0,IF('6-Parameters'!$B$8&gt;0.2*(1000/$X$5-10),('6-Parameters'!$B$8-0.2*(1000/$X$5-10))^2/('6-Parameters'!$B$8+0.8*(1000/$X$5-10)),0))+Y8*MAX(0,IF('6-Parameters'!$B$8&gt;0.2*(1000/$Y$5-10),('6-Parameters'!$B$8-0.2*(1000/$Y$5-10))^2/('6-Parameters'!$B$8+0.8*(1000/$Y$5-10)),0))+Z8*MAX(0,IF('6-Parameters'!$B$8&gt;0.2*(1000/$Z$5-10),('6-Parameters'!$B$8-0.2*(1000/$Z$5-10))^2/('6-Parameters'!$B$8+0.8*(1000/$Z$5-10)),0))+AA8*MAX(0,IF('6-Parameters'!$B$8&gt;0.2*(1000/$AA$5-10),('6-Parameters'!$B$8-0.2*(1000/$AA$5-10))^2/('6-Parameters'!$B$8+0.8*(1000/$AA$5-10)),0)))/12,0)</f>
        <v/>
      </c>
      <c r="BI8" s="12">
        <f>IFERROR((AB8*MAX(0,IF('6-Parameters'!$B$8&gt;0.2*(1000/98-10),('6-Parameters'!$B$8-0.2*(1000/98-10))^2/('6-Parameters'!$B$8+0.8*(1000/98-10)),0))+AC8*MAX(0,IF('6-Parameters'!$B$8&gt;0.2*(1000/$AC$5-10),('6-Parameters'!$B$8-0.2*(1000/$AC$5-10))^2/('6-Parameters'!$B$8+0.8*(1000/$AC$5-10)),0))+AD8*MAX(0,IF('6-Parameters'!$B$8&gt;0.2*(1000/$AD$5-10),('6-Parameters'!$B$8-0.2*(1000/$AD$5-10))^2/('6-Parameters'!$B$8+0.8*(1000/$AD$5-10)),0))+AE8*MAX(0,IF('6-Parameters'!$B$8&gt;0.2*(1000/$AE$5-10),('6-Parameters'!$B$8-0.2*(1000/$AE$5-10))^2/('6-Parameters'!$B$8+0.8*(1000/$AE$5-10)),0))+AF8*MAX(0,IF('6-Parameters'!$B$8&gt;0.2*(1000/$AF$5-10),('6-Parameters'!$B$8-0.2*(1000/$AF$5-10))^2/('6-Parameters'!$B$8+0.8*(1000/$AF$5-10)),0))+AG8*MAX(0,IF('6-Parameters'!$B$8&gt;0.2*(1000/$AG$5-10),('6-Parameters'!$B$8-0.2*(1000/$AG$5-10))^2/('6-Parameters'!$B$8+0.8*(1000/$AG$5-10)),0))+AH8*MAX(0,IF('6-Parameters'!$B$8&gt;0.2*(1000/$AH$5-10),('6-Parameters'!$B$8-0.2*(1000/$AH$5-10))^2/('6-Parameters'!$B$8+0.8*(1000/$AH$5-10)),0))+AI8*MAX(0,IF('6-Parameters'!$B$8&gt;0.2*(1000/$AI$5-10),('6-Parameters'!$B$8-0.2*(1000/$AI$5-10))^2/('6-Parameters'!$B$8+0.8*(1000/$AI$5-10)),0))+AJ8*MAX(0,IF('6-Parameters'!$B$8&gt;0.2*(1000/$AJ$5-10),('6-Parameters'!$B$8-0.2*(1000/$AJ$5-10))^2/('6-Parameters'!$B$8+0.8*(1000/$AJ$5-10)),0))+AK8*MAX(0,IF('6-Parameters'!$B$8&gt;0.2*(1000/$AK$5-10),('6-Parameters'!$B$8-0.2*(1000/$AK$5-10))^2/('6-Parameters'!$B$8+0.8*(1000/$AK$5-10)),0))+AL8*MAX(0,IF('6-Parameters'!$B$8&gt;0.2*(1000/$AL$5-10),('6-Parameters'!$B$8-0.2*(1000/$AL$5-10))^2/('6-Parameters'!$B$8+0.8*(1000/$AL$5-10)),0))+AM8*MAX(0,IF('6-Parameters'!$B$8&gt;0.2*(1000/$AM$5-10),('6-Parameters'!$B$8-0.2*(1000/$AM$5-10))^2/('6-Parameters'!$B$8+0.8*(1000/$AM$5-10)),0))+AN8*MAX(0,IF('6-Parameters'!$B$8&gt;0.2*(1000/$AN$5-10),('6-Parameters'!$B$8-0.2*(1000/$AN$5-10))^2/('6-Parameters'!$B$8+0.8*(1000/$AN$5-10)),0)))/12,0)</f>
        <v/>
      </c>
    </row>
    <row r="9">
      <c r="A9" s="32" t="n"/>
      <c r="B9" s="32" t="n"/>
      <c r="C9" s="32" t="n"/>
      <c r="D9" s="32" t="n"/>
      <c r="E9" s="32" t="n"/>
      <c r="F9" s="32" t="n"/>
      <c r="G9" s="32" t="n"/>
      <c r="H9" s="32" t="n"/>
      <c r="I9" s="12">
        <f>IFERROR((D9+E9+F9+G9+H9)*43560,0)</f>
        <v/>
      </c>
      <c r="J9" s="32" t="n"/>
      <c r="K9" s="32" t="n"/>
      <c r="L9" s="32" t="n"/>
      <c r="M9" s="12">
        <f>IFERROR((J9+K9+L9)*43560,0)</f>
        <v/>
      </c>
      <c r="N9" s="12">
        <f>IFERROR(I9+M9,0)</f>
        <v/>
      </c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2" t="n"/>
      <c r="AP9" s="12">
        <f>IFERROR(AO9*'6-Parameters'!$B$63,0)</f>
        <v/>
      </c>
      <c r="AQ9" s="32" t="n"/>
      <c r="AR9" s="12">
        <f>IFERROR(AQ9*'6-Parameters'!$B$64,0)</f>
        <v/>
      </c>
      <c r="AS9" s="32" t="n"/>
      <c r="AT9" s="12">
        <f>IFERROR(AS9*'6-Parameters'!$B$65,0)</f>
        <v/>
      </c>
      <c r="AU9" s="32" t="n"/>
      <c r="AV9" s="12">
        <f>IFERROR(AU9*'6-Parameters'!$B$66,0)</f>
        <v/>
      </c>
      <c r="AW9" s="32" t="n"/>
      <c r="AX9" s="12">
        <f>IFERROR(AW9*'6-Parameters'!$B$67,0)</f>
        <v/>
      </c>
      <c r="AY9" s="32" t="n"/>
      <c r="AZ9" s="12">
        <f>IFERROR(AY9*'6-Parameters'!$B$68,0)</f>
        <v/>
      </c>
      <c r="BA9" s="33">
        <f>IFERROR(AP9+AR9+AT9+AV9+AX9+AZ9,0)</f>
        <v/>
      </c>
      <c r="BB9" s="12">
        <f>IFERROR(IFS(B9="MLD",'6-Parameters'!$B$4,B9="MSI",'6-Parameters'!$B$5,B9="MSI-AWDZ",'6-Parameters'!$B$6,TRUE,""),"")</f>
        <v/>
      </c>
      <c r="BC9" s="34">
        <f>IFERROR(IF((D9+E9+F9+G9+H9)=0,"",(0.95*(D9+E9+H9)+0.25*F9)/(D9+E9+F9+G9+H9)),"")</f>
        <v/>
      </c>
      <c r="BD9" s="12">
        <f>IFERROR(IF(B9="","",BB9/12*(0.95*(D9+E9+H9)+0.25*F9)*43560),"")</f>
        <v/>
      </c>
      <c r="BE9" s="34">
        <f>IFERROR(IF((J9+K9+L9)=0,"",(0.95*J9+0.25*K9)/(J9+K9+L9)),"")</f>
        <v/>
      </c>
      <c r="BF9" s="12">
        <f>IFERROR(IF((J9+K9+L9)=0,"",BB9/12*(0.95*J9+0.25*K9)*43560),"")</f>
        <v/>
      </c>
      <c r="BG9" s="33">
        <f>IFERROR(IF(BD9="","",MAX(0,BD9-BA9)),"")</f>
        <v/>
      </c>
      <c r="BH9" s="12">
        <f>IFERROR((O9*MAX(0,IF('6-Parameters'!$B$8&gt;0.2*(1000/98-10),('6-Parameters'!$B$8-0.2*(1000/98-10))^2/('6-Parameters'!$B$8+0.8*(1000/98-10)),0))+P9*MAX(0,IF('6-Parameters'!$B$8&gt;0.2*(1000/$P$5-10),('6-Parameters'!$B$8-0.2*(1000/$P$5-10))^2/('6-Parameters'!$B$8+0.8*(1000/$P$5-10)),0))+Q9*MAX(0,IF('6-Parameters'!$B$8&gt;0.2*(1000/$Q$5-10),('6-Parameters'!$B$8-0.2*(1000/$Q$5-10))^2/('6-Parameters'!$B$8+0.8*(1000/$Q$5-10)),0))+R9*MAX(0,IF('6-Parameters'!$B$8&gt;0.2*(1000/$R$5-10),('6-Parameters'!$B$8-0.2*(1000/$R$5-10))^2/('6-Parameters'!$B$8+0.8*(1000/$R$5-10)),0))+S9*MAX(0,IF('6-Parameters'!$B$8&gt;0.2*(1000/$S$5-10),('6-Parameters'!$B$8-0.2*(1000/$S$5-10))^2/('6-Parameters'!$B$8+0.8*(1000/$S$5-10)),0))+T9*MAX(0,IF('6-Parameters'!$B$8&gt;0.2*(1000/$T$5-10),('6-Parameters'!$B$8-0.2*(1000/$T$5-10))^2/('6-Parameters'!$B$8+0.8*(1000/$T$5-10)),0))+U9*MAX(0,IF('6-Parameters'!$B$8&gt;0.2*(1000/$U$5-10),('6-Parameters'!$B$8-0.2*(1000/$U$5-10))^2/('6-Parameters'!$B$8+0.8*(1000/$U$5-10)),0))+V9*MAX(0,IF('6-Parameters'!$B$8&gt;0.2*(1000/$V$5-10),('6-Parameters'!$B$8-0.2*(1000/$V$5-10))^2/('6-Parameters'!$B$8+0.8*(1000/$V$5-10)),0))+W9*MAX(0,IF('6-Parameters'!$B$8&gt;0.2*(1000/$W$5-10),('6-Parameters'!$B$8-0.2*(1000/$W$5-10))^2/('6-Parameters'!$B$8+0.8*(1000/$W$5-10)),0))+X9*MAX(0,IF('6-Parameters'!$B$8&gt;0.2*(1000/$X$5-10),('6-Parameters'!$B$8-0.2*(1000/$X$5-10))^2/('6-Parameters'!$B$8+0.8*(1000/$X$5-10)),0))+Y9*MAX(0,IF('6-Parameters'!$B$8&gt;0.2*(1000/$Y$5-10),('6-Parameters'!$B$8-0.2*(1000/$Y$5-10))^2/('6-Parameters'!$B$8+0.8*(1000/$Y$5-10)),0))+Z9*MAX(0,IF('6-Parameters'!$B$8&gt;0.2*(1000/$Z$5-10),('6-Parameters'!$B$8-0.2*(1000/$Z$5-10))^2/('6-Parameters'!$B$8+0.8*(1000/$Z$5-10)),0))+AA9*MAX(0,IF('6-Parameters'!$B$8&gt;0.2*(1000/$AA$5-10),('6-Parameters'!$B$8-0.2*(1000/$AA$5-10))^2/('6-Parameters'!$B$8+0.8*(1000/$AA$5-10)),0)))/12,0)</f>
        <v/>
      </c>
      <c r="BI9" s="12">
        <f>IFERROR((AB9*MAX(0,IF('6-Parameters'!$B$8&gt;0.2*(1000/98-10),('6-Parameters'!$B$8-0.2*(1000/98-10))^2/('6-Parameters'!$B$8+0.8*(1000/98-10)),0))+AC9*MAX(0,IF('6-Parameters'!$B$8&gt;0.2*(1000/$AC$5-10),('6-Parameters'!$B$8-0.2*(1000/$AC$5-10))^2/('6-Parameters'!$B$8+0.8*(1000/$AC$5-10)),0))+AD9*MAX(0,IF('6-Parameters'!$B$8&gt;0.2*(1000/$AD$5-10),('6-Parameters'!$B$8-0.2*(1000/$AD$5-10))^2/('6-Parameters'!$B$8+0.8*(1000/$AD$5-10)),0))+AE9*MAX(0,IF('6-Parameters'!$B$8&gt;0.2*(1000/$AE$5-10),('6-Parameters'!$B$8-0.2*(1000/$AE$5-10))^2/('6-Parameters'!$B$8+0.8*(1000/$AE$5-10)),0))+AF9*MAX(0,IF('6-Parameters'!$B$8&gt;0.2*(1000/$AF$5-10),('6-Parameters'!$B$8-0.2*(1000/$AF$5-10))^2/('6-Parameters'!$B$8+0.8*(1000/$AF$5-10)),0))+AG9*MAX(0,IF('6-Parameters'!$B$8&gt;0.2*(1000/$AG$5-10),('6-Parameters'!$B$8-0.2*(1000/$AG$5-10))^2/('6-Parameters'!$B$8+0.8*(1000/$AG$5-10)),0))+AH9*MAX(0,IF('6-Parameters'!$B$8&gt;0.2*(1000/$AH$5-10),('6-Parameters'!$B$8-0.2*(1000/$AH$5-10))^2/('6-Parameters'!$B$8+0.8*(1000/$AH$5-10)),0))+AI9*MAX(0,IF('6-Parameters'!$B$8&gt;0.2*(1000/$AI$5-10),('6-Parameters'!$B$8-0.2*(1000/$AI$5-10))^2/('6-Parameters'!$B$8+0.8*(1000/$AI$5-10)),0))+AJ9*MAX(0,IF('6-Parameters'!$B$8&gt;0.2*(1000/$AJ$5-10),('6-Parameters'!$B$8-0.2*(1000/$AJ$5-10))^2/('6-Parameters'!$B$8+0.8*(1000/$AJ$5-10)),0))+AK9*MAX(0,IF('6-Parameters'!$B$8&gt;0.2*(1000/$AK$5-10),('6-Parameters'!$B$8-0.2*(1000/$AK$5-10))^2/('6-Parameters'!$B$8+0.8*(1000/$AK$5-10)),0))+AL9*MAX(0,IF('6-Parameters'!$B$8&gt;0.2*(1000/$AL$5-10),('6-Parameters'!$B$8-0.2*(1000/$AL$5-10))^2/('6-Parameters'!$B$8+0.8*(1000/$AL$5-10)),0))+AM9*MAX(0,IF('6-Parameters'!$B$8&gt;0.2*(1000/$AM$5-10),('6-Parameters'!$B$8-0.2*(1000/$AM$5-10))^2/('6-Parameters'!$B$8+0.8*(1000/$AM$5-10)),0))+AN9*MAX(0,IF('6-Parameters'!$B$8&gt;0.2*(1000/$AN$5-10),('6-Parameters'!$B$8-0.2*(1000/$AN$5-10))^2/('6-Parameters'!$B$8+0.8*(1000/$AN$5-10)),0)))/12,0)</f>
        <v/>
      </c>
    </row>
    <row r="10">
      <c r="A10" s="32" t="n"/>
      <c r="B10" s="32" t="n"/>
      <c r="C10" s="32" t="n"/>
      <c r="D10" s="32" t="n"/>
      <c r="E10" s="32" t="n"/>
      <c r="F10" s="32" t="n"/>
      <c r="G10" s="32" t="n"/>
      <c r="H10" s="32" t="n"/>
      <c r="I10" s="12">
        <f>IFERROR((D10+E10+F10+G10+H10)*43560,0)</f>
        <v/>
      </c>
      <c r="J10" s="32" t="n"/>
      <c r="K10" s="32" t="n"/>
      <c r="L10" s="32" t="n"/>
      <c r="M10" s="12">
        <f>IFERROR((J10+K10+L10)*43560,0)</f>
        <v/>
      </c>
      <c r="N10" s="12">
        <f>IFERROR(I10+M10,0)</f>
        <v/>
      </c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2" t="n"/>
      <c r="AP10" s="12">
        <f>IFERROR(AO10*'6-Parameters'!$B$63,0)</f>
        <v/>
      </c>
      <c r="AQ10" s="32" t="n"/>
      <c r="AR10" s="12">
        <f>IFERROR(AQ10*'6-Parameters'!$B$64,0)</f>
        <v/>
      </c>
      <c r="AS10" s="32" t="n"/>
      <c r="AT10" s="12">
        <f>IFERROR(AS10*'6-Parameters'!$B$65,0)</f>
        <v/>
      </c>
      <c r="AU10" s="32" t="n"/>
      <c r="AV10" s="12">
        <f>IFERROR(AU10*'6-Parameters'!$B$66,0)</f>
        <v/>
      </c>
      <c r="AW10" s="32" t="n"/>
      <c r="AX10" s="12">
        <f>IFERROR(AW10*'6-Parameters'!$B$67,0)</f>
        <v/>
      </c>
      <c r="AY10" s="32" t="n"/>
      <c r="AZ10" s="12">
        <f>IFERROR(AY10*'6-Parameters'!$B$68,0)</f>
        <v/>
      </c>
      <c r="BA10" s="33">
        <f>IFERROR(AP10+AR10+AT10+AV10+AX10+AZ10,0)</f>
        <v/>
      </c>
      <c r="BB10" s="12">
        <f>IFERROR(IFS(B10="MLD",'6-Parameters'!$B$4,B10="MSI",'6-Parameters'!$B$5,B10="MSI-AWDZ",'6-Parameters'!$B$6,TRUE,""),"")</f>
        <v/>
      </c>
      <c r="BC10" s="34">
        <f>IFERROR(IF((D10+E10+F10+G10+H10)=0,"",(0.95*(D10+E10+H10)+0.25*F10)/(D10+E10+F10+G10+H10)),"")</f>
        <v/>
      </c>
      <c r="BD10" s="12">
        <f>IFERROR(IF(B10="","",BB10/12*(0.95*(D10+E10+H10)+0.25*F10)*43560),"")</f>
        <v/>
      </c>
      <c r="BE10" s="34">
        <f>IFERROR(IF((J10+K10+L10)=0,"",(0.95*J10+0.25*K10)/(J10+K10+L10)),"")</f>
        <v/>
      </c>
      <c r="BF10" s="12">
        <f>IFERROR(IF((J10+K10+L10)=0,"",BB10/12*(0.95*J10+0.25*K10)*43560),"")</f>
        <v/>
      </c>
      <c r="BG10" s="33">
        <f>IFERROR(IF(BD10="","",MAX(0,BD10-BA10)),"")</f>
        <v/>
      </c>
      <c r="BH10" s="12">
        <f>IFERROR((O10*MAX(0,IF('6-Parameters'!$B$8&gt;0.2*(1000/98-10),('6-Parameters'!$B$8-0.2*(1000/98-10))^2/('6-Parameters'!$B$8+0.8*(1000/98-10)),0))+P10*MAX(0,IF('6-Parameters'!$B$8&gt;0.2*(1000/$P$5-10),('6-Parameters'!$B$8-0.2*(1000/$P$5-10))^2/('6-Parameters'!$B$8+0.8*(1000/$P$5-10)),0))+Q10*MAX(0,IF('6-Parameters'!$B$8&gt;0.2*(1000/$Q$5-10),('6-Parameters'!$B$8-0.2*(1000/$Q$5-10))^2/('6-Parameters'!$B$8+0.8*(1000/$Q$5-10)),0))+R10*MAX(0,IF('6-Parameters'!$B$8&gt;0.2*(1000/$R$5-10),('6-Parameters'!$B$8-0.2*(1000/$R$5-10))^2/('6-Parameters'!$B$8+0.8*(1000/$R$5-10)),0))+S10*MAX(0,IF('6-Parameters'!$B$8&gt;0.2*(1000/$S$5-10),('6-Parameters'!$B$8-0.2*(1000/$S$5-10))^2/('6-Parameters'!$B$8+0.8*(1000/$S$5-10)),0))+T10*MAX(0,IF('6-Parameters'!$B$8&gt;0.2*(1000/$T$5-10),('6-Parameters'!$B$8-0.2*(1000/$T$5-10))^2/('6-Parameters'!$B$8+0.8*(1000/$T$5-10)),0))+U10*MAX(0,IF('6-Parameters'!$B$8&gt;0.2*(1000/$U$5-10),('6-Parameters'!$B$8-0.2*(1000/$U$5-10))^2/('6-Parameters'!$B$8+0.8*(1000/$U$5-10)),0))+V10*MAX(0,IF('6-Parameters'!$B$8&gt;0.2*(1000/$V$5-10),('6-Parameters'!$B$8-0.2*(1000/$V$5-10))^2/('6-Parameters'!$B$8+0.8*(1000/$V$5-10)),0))+W10*MAX(0,IF('6-Parameters'!$B$8&gt;0.2*(1000/$W$5-10),('6-Parameters'!$B$8-0.2*(1000/$W$5-10))^2/('6-Parameters'!$B$8+0.8*(1000/$W$5-10)),0))+X10*MAX(0,IF('6-Parameters'!$B$8&gt;0.2*(1000/$X$5-10),('6-Parameters'!$B$8-0.2*(1000/$X$5-10))^2/('6-Parameters'!$B$8+0.8*(1000/$X$5-10)),0))+Y10*MAX(0,IF('6-Parameters'!$B$8&gt;0.2*(1000/$Y$5-10),('6-Parameters'!$B$8-0.2*(1000/$Y$5-10))^2/('6-Parameters'!$B$8+0.8*(1000/$Y$5-10)),0))+Z10*MAX(0,IF('6-Parameters'!$B$8&gt;0.2*(1000/$Z$5-10),('6-Parameters'!$B$8-0.2*(1000/$Z$5-10))^2/('6-Parameters'!$B$8+0.8*(1000/$Z$5-10)),0))+AA10*MAX(0,IF('6-Parameters'!$B$8&gt;0.2*(1000/$AA$5-10),('6-Parameters'!$B$8-0.2*(1000/$AA$5-10))^2/('6-Parameters'!$B$8+0.8*(1000/$AA$5-10)),0)))/12,0)</f>
        <v/>
      </c>
      <c r="BI10" s="12">
        <f>IFERROR((AB10*MAX(0,IF('6-Parameters'!$B$8&gt;0.2*(1000/98-10),('6-Parameters'!$B$8-0.2*(1000/98-10))^2/('6-Parameters'!$B$8+0.8*(1000/98-10)),0))+AC10*MAX(0,IF('6-Parameters'!$B$8&gt;0.2*(1000/$AC$5-10),('6-Parameters'!$B$8-0.2*(1000/$AC$5-10))^2/('6-Parameters'!$B$8+0.8*(1000/$AC$5-10)),0))+AD10*MAX(0,IF('6-Parameters'!$B$8&gt;0.2*(1000/$AD$5-10),('6-Parameters'!$B$8-0.2*(1000/$AD$5-10))^2/('6-Parameters'!$B$8+0.8*(1000/$AD$5-10)),0))+AE10*MAX(0,IF('6-Parameters'!$B$8&gt;0.2*(1000/$AE$5-10),('6-Parameters'!$B$8-0.2*(1000/$AE$5-10))^2/('6-Parameters'!$B$8+0.8*(1000/$AE$5-10)),0))+AF10*MAX(0,IF('6-Parameters'!$B$8&gt;0.2*(1000/$AF$5-10),('6-Parameters'!$B$8-0.2*(1000/$AF$5-10))^2/('6-Parameters'!$B$8+0.8*(1000/$AF$5-10)),0))+AG10*MAX(0,IF('6-Parameters'!$B$8&gt;0.2*(1000/$AG$5-10),('6-Parameters'!$B$8-0.2*(1000/$AG$5-10))^2/('6-Parameters'!$B$8+0.8*(1000/$AG$5-10)),0))+AH10*MAX(0,IF('6-Parameters'!$B$8&gt;0.2*(1000/$AH$5-10),('6-Parameters'!$B$8-0.2*(1000/$AH$5-10))^2/('6-Parameters'!$B$8+0.8*(1000/$AH$5-10)),0))+AI10*MAX(0,IF('6-Parameters'!$B$8&gt;0.2*(1000/$AI$5-10),('6-Parameters'!$B$8-0.2*(1000/$AI$5-10))^2/('6-Parameters'!$B$8+0.8*(1000/$AI$5-10)),0))+AJ10*MAX(0,IF('6-Parameters'!$B$8&gt;0.2*(1000/$AJ$5-10),('6-Parameters'!$B$8-0.2*(1000/$AJ$5-10))^2/('6-Parameters'!$B$8+0.8*(1000/$AJ$5-10)),0))+AK10*MAX(0,IF('6-Parameters'!$B$8&gt;0.2*(1000/$AK$5-10),('6-Parameters'!$B$8-0.2*(1000/$AK$5-10))^2/('6-Parameters'!$B$8+0.8*(1000/$AK$5-10)),0))+AL10*MAX(0,IF('6-Parameters'!$B$8&gt;0.2*(1000/$AL$5-10),('6-Parameters'!$B$8-0.2*(1000/$AL$5-10))^2/('6-Parameters'!$B$8+0.8*(1000/$AL$5-10)),0))+AM10*MAX(0,IF('6-Parameters'!$B$8&gt;0.2*(1000/$AM$5-10),('6-Parameters'!$B$8-0.2*(1000/$AM$5-10))^2/('6-Parameters'!$B$8+0.8*(1000/$AM$5-10)),0))+AN10*MAX(0,IF('6-Parameters'!$B$8&gt;0.2*(1000/$AN$5-10),('6-Parameters'!$B$8-0.2*(1000/$AN$5-10))^2/('6-Parameters'!$B$8+0.8*(1000/$AN$5-10)),0)))/12,0)</f>
        <v/>
      </c>
    </row>
    <row r="11">
      <c r="A11" s="32" t="n"/>
      <c r="B11" s="32" t="n"/>
      <c r="C11" s="32" t="n"/>
      <c r="D11" s="32" t="n"/>
      <c r="E11" s="32" t="n"/>
      <c r="F11" s="32" t="n"/>
      <c r="G11" s="32" t="n"/>
      <c r="H11" s="32" t="n"/>
      <c r="I11" s="12">
        <f>IFERROR((D11+E11+F11+G11+H11)*43560,0)</f>
        <v/>
      </c>
      <c r="J11" s="32" t="n"/>
      <c r="K11" s="32" t="n"/>
      <c r="L11" s="32" t="n"/>
      <c r="M11" s="12">
        <f>IFERROR((J11+K11+L11)*43560,0)</f>
        <v/>
      </c>
      <c r="N11" s="12">
        <f>IFERROR(I11+M11,0)</f>
        <v/>
      </c>
      <c r="O11" s="32" t="n"/>
      <c r="P11" s="32" t="n"/>
      <c r="Q11" s="32" t="n"/>
      <c r="R11" s="32" t="n"/>
      <c r="S11" s="32" t="n"/>
      <c r="T11" s="32" t="n"/>
      <c r="U11" s="32" t="n"/>
      <c r="V11" s="32" t="n"/>
      <c r="W11" s="32" t="n"/>
      <c r="X11" s="32" t="n"/>
      <c r="Y11" s="32" t="n"/>
      <c r="Z11" s="32" t="n"/>
      <c r="AA11" s="32" t="n"/>
      <c r="AB11" s="32" t="n"/>
      <c r="AC11" s="32" t="n"/>
      <c r="AD11" s="32" t="n"/>
      <c r="AE11" s="32" t="n"/>
      <c r="AF11" s="32" t="n"/>
      <c r="AG11" s="32" t="n"/>
      <c r="AH11" s="32" t="n"/>
      <c r="AI11" s="32" t="n"/>
      <c r="AJ11" s="32" t="n"/>
      <c r="AK11" s="32" t="n"/>
      <c r="AL11" s="32" t="n"/>
      <c r="AM11" s="32" t="n"/>
      <c r="AN11" s="32" t="n"/>
      <c r="AO11" s="32" t="n"/>
      <c r="AP11" s="12">
        <f>IFERROR(AO11*'6-Parameters'!$B$63,0)</f>
        <v/>
      </c>
      <c r="AQ11" s="32" t="n"/>
      <c r="AR11" s="12">
        <f>IFERROR(AQ11*'6-Parameters'!$B$64,0)</f>
        <v/>
      </c>
      <c r="AS11" s="32" t="n"/>
      <c r="AT11" s="12">
        <f>IFERROR(AS11*'6-Parameters'!$B$65,0)</f>
        <v/>
      </c>
      <c r="AU11" s="32" t="n"/>
      <c r="AV11" s="12">
        <f>IFERROR(AU11*'6-Parameters'!$B$66,0)</f>
        <v/>
      </c>
      <c r="AW11" s="32" t="n"/>
      <c r="AX11" s="12">
        <f>IFERROR(AW11*'6-Parameters'!$B$67,0)</f>
        <v/>
      </c>
      <c r="AY11" s="32" t="n"/>
      <c r="AZ11" s="12">
        <f>IFERROR(AY11*'6-Parameters'!$B$68,0)</f>
        <v/>
      </c>
      <c r="BA11" s="33">
        <f>IFERROR(AP11+AR11+AT11+AV11+AX11+AZ11,0)</f>
        <v/>
      </c>
      <c r="BB11" s="12">
        <f>IFERROR(IFS(B11="MLD",'6-Parameters'!$B$4,B11="MSI",'6-Parameters'!$B$5,B11="MSI-AWDZ",'6-Parameters'!$B$6,TRUE,""),"")</f>
        <v/>
      </c>
      <c r="BC11" s="34">
        <f>IFERROR(IF((D11+E11+F11+G11+H11)=0,"",(0.95*(D11+E11+H11)+0.25*F11)/(D11+E11+F11+G11+H11)),"")</f>
        <v/>
      </c>
      <c r="BD11" s="12">
        <f>IFERROR(IF(B11="","",BB11/12*(0.95*(D11+E11+H11)+0.25*F11)*43560),"")</f>
        <v/>
      </c>
      <c r="BE11" s="34">
        <f>IFERROR(IF((J11+K11+L11)=0,"",(0.95*J11+0.25*K11)/(J11+K11+L11)),"")</f>
        <v/>
      </c>
      <c r="BF11" s="12">
        <f>IFERROR(IF((J11+K11+L11)=0,"",BB11/12*(0.95*J11+0.25*K11)*43560),"")</f>
        <v/>
      </c>
      <c r="BG11" s="33">
        <f>IFERROR(IF(BD11="","",MAX(0,BD11-BA11)),"")</f>
        <v/>
      </c>
      <c r="BH11" s="12">
        <f>IFERROR((O11*MAX(0,IF('6-Parameters'!$B$8&gt;0.2*(1000/98-10),('6-Parameters'!$B$8-0.2*(1000/98-10))^2/('6-Parameters'!$B$8+0.8*(1000/98-10)),0))+P11*MAX(0,IF('6-Parameters'!$B$8&gt;0.2*(1000/$P$5-10),('6-Parameters'!$B$8-0.2*(1000/$P$5-10))^2/('6-Parameters'!$B$8+0.8*(1000/$P$5-10)),0))+Q11*MAX(0,IF('6-Parameters'!$B$8&gt;0.2*(1000/$Q$5-10),('6-Parameters'!$B$8-0.2*(1000/$Q$5-10))^2/('6-Parameters'!$B$8+0.8*(1000/$Q$5-10)),0))+R11*MAX(0,IF('6-Parameters'!$B$8&gt;0.2*(1000/$R$5-10),('6-Parameters'!$B$8-0.2*(1000/$R$5-10))^2/('6-Parameters'!$B$8+0.8*(1000/$R$5-10)),0))+S11*MAX(0,IF('6-Parameters'!$B$8&gt;0.2*(1000/$S$5-10),('6-Parameters'!$B$8-0.2*(1000/$S$5-10))^2/('6-Parameters'!$B$8+0.8*(1000/$S$5-10)),0))+T11*MAX(0,IF('6-Parameters'!$B$8&gt;0.2*(1000/$T$5-10),('6-Parameters'!$B$8-0.2*(1000/$T$5-10))^2/('6-Parameters'!$B$8+0.8*(1000/$T$5-10)),0))+U11*MAX(0,IF('6-Parameters'!$B$8&gt;0.2*(1000/$U$5-10),('6-Parameters'!$B$8-0.2*(1000/$U$5-10))^2/('6-Parameters'!$B$8+0.8*(1000/$U$5-10)),0))+V11*MAX(0,IF('6-Parameters'!$B$8&gt;0.2*(1000/$V$5-10),('6-Parameters'!$B$8-0.2*(1000/$V$5-10))^2/('6-Parameters'!$B$8+0.8*(1000/$V$5-10)),0))+W11*MAX(0,IF('6-Parameters'!$B$8&gt;0.2*(1000/$W$5-10),('6-Parameters'!$B$8-0.2*(1000/$W$5-10))^2/('6-Parameters'!$B$8+0.8*(1000/$W$5-10)),0))+X11*MAX(0,IF('6-Parameters'!$B$8&gt;0.2*(1000/$X$5-10),('6-Parameters'!$B$8-0.2*(1000/$X$5-10))^2/('6-Parameters'!$B$8+0.8*(1000/$X$5-10)),0))+Y11*MAX(0,IF('6-Parameters'!$B$8&gt;0.2*(1000/$Y$5-10),('6-Parameters'!$B$8-0.2*(1000/$Y$5-10))^2/('6-Parameters'!$B$8+0.8*(1000/$Y$5-10)),0))+Z11*MAX(0,IF('6-Parameters'!$B$8&gt;0.2*(1000/$Z$5-10),('6-Parameters'!$B$8-0.2*(1000/$Z$5-10))^2/('6-Parameters'!$B$8+0.8*(1000/$Z$5-10)),0))+AA11*MAX(0,IF('6-Parameters'!$B$8&gt;0.2*(1000/$AA$5-10),('6-Parameters'!$B$8-0.2*(1000/$AA$5-10))^2/('6-Parameters'!$B$8+0.8*(1000/$AA$5-10)),0)))/12,0)</f>
        <v/>
      </c>
      <c r="BI11" s="12">
        <f>IFERROR((AB11*MAX(0,IF('6-Parameters'!$B$8&gt;0.2*(1000/98-10),('6-Parameters'!$B$8-0.2*(1000/98-10))^2/('6-Parameters'!$B$8+0.8*(1000/98-10)),0))+AC11*MAX(0,IF('6-Parameters'!$B$8&gt;0.2*(1000/$AC$5-10),('6-Parameters'!$B$8-0.2*(1000/$AC$5-10))^2/('6-Parameters'!$B$8+0.8*(1000/$AC$5-10)),0))+AD11*MAX(0,IF('6-Parameters'!$B$8&gt;0.2*(1000/$AD$5-10),('6-Parameters'!$B$8-0.2*(1000/$AD$5-10))^2/('6-Parameters'!$B$8+0.8*(1000/$AD$5-10)),0))+AE11*MAX(0,IF('6-Parameters'!$B$8&gt;0.2*(1000/$AE$5-10),('6-Parameters'!$B$8-0.2*(1000/$AE$5-10))^2/('6-Parameters'!$B$8+0.8*(1000/$AE$5-10)),0))+AF11*MAX(0,IF('6-Parameters'!$B$8&gt;0.2*(1000/$AF$5-10),('6-Parameters'!$B$8-0.2*(1000/$AF$5-10))^2/('6-Parameters'!$B$8+0.8*(1000/$AF$5-10)),0))+AG11*MAX(0,IF('6-Parameters'!$B$8&gt;0.2*(1000/$AG$5-10),('6-Parameters'!$B$8-0.2*(1000/$AG$5-10))^2/('6-Parameters'!$B$8+0.8*(1000/$AG$5-10)),0))+AH11*MAX(0,IF('6-Parameters'!$B$8&gt;0.2*(1000/$AH$5-10),('6-Parameters'!$B$8-0.2*(1000/$AH$5-10))^2/('6-Parameters'!$B$8+0.8*(1000/$AH$5-10)),0))+AI11*MAX(0,IF('6-Parameters'!$B$8&gt;0.2*(1000/$AI$5-10),('6-Parameters'!$B$8-0.2*(1000/$AI$5-10))^2/('6-Parameters'!$B$8+0.8*(1000/$AI$5-10)),0))+AJ11*MAX(0,IF('6-Parameters'!$B$8&gt;0.2*(1000/$AJ$5-10),('6-Parameters'!$B$8-0.2*(1000/$AJ$5-10))^2/('6-Parameters'!$B$8+0.8*(1000/$AJ$5-10)),0))+AK11*MAX(0,IF('6-Parameters'!$B$8&gt;0.2*(1000/$AK$5-10),('6-Parameters'!$B$8-0.2*(1000/$AK$5-10))^2/('6-Parameters'!$B$8+0.8*(1000/$AK$5-10)),0))+AL11*MAX(0,IF('6-Parameters'!$B$8&gt;0.2*(1000/$AL$5-10),('6-Parameters'!$B$8-0.2*(1000/$AL$5-10))^2/('6-Parameters'!$B$8+0.8*(1000/$AL$5-10)),0))+AM11*MAX(0,IF('6-Parameters'!$B$8&gt;0.2*(1000/$AM$5-10),('6-Parameters'!$B$8-0.2*(1000/$AM$5-10))^2/('6-Parameters'!$B$8+0.8*(1000/$AM$5-10)),0))+AN11*MAX(0,IF('6-Parameters'!$B$8&gt;0.2*(1000/$AN$5-10),('6-Parameters'!$B$8-0.2*(1000/$AN$5-10))^2/('6-Parameters'!$B$8+0.8*(1000/$AN$5-10)),0)))/12,0)</f>
        <v/>
      </c>
    </row>
    <row r="12">
      <c r="A12" s="32" t="n"/>
      <c r="B12" s="32" t="n"/>
      <c r="C12" s="32" t="n"/>
      <c r="D12" s="32" t="n"/>
      <c r="E12" s="32" t="n"/>
      <c r="F12" s="32" t="n"/>
      <c r="G12" s="32" t="n"/>
      <c r="H12" s="32" t="n"/>
      <c r="I12" s="12">
        <f>IFERROR((D12+E12+F12+G12+H12)*43560,0)</f>
        <v/>
      </c>
      <c r="J12" s="32" t="n"/>
      <c r="K12" s="32" t="n"/>
      <c r="L12" s="32" t="n"/>
      <c r="M12" s="12">
        <f>IFERROR((J12+K12+L12)*43560,0)</f>
        <v/>
      </c>
      <c r="N12" s="12">
        <f>IFERROR(I12+M12,0)</f>
        <v/>
      </c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2" t="n"/>
      <c r="AO12" s="32" t="n"/>
      <c r="AP12" s="12">
        <f>IFERROR(AO12*'6-Parameters'!$B$63,0)</f>
        <v/>
      </c>
      <c r="AQ12" s="32" t="n"/>
      <c r="AR12" s="12">
        <f>IFERROR(AQ12*'6-Parameters'!$B$64,0)</f>
        <v/>
      </c>
      <c r="AS12" s="32" t="n"/>
      <c r="AT12" s="12">
        <f>IFERROR(AS12*'6-Parameters'!$B$65,0)</f>
        <v/>
      </c>
      <c r="AU12" s="32" t="n"/>
      <c r="AV12" s="12">
        <f>IFERROR(AU12*'6-Parameters'!$B$66,0)</f>
        <v/>
      </c>
      <c r="AW12" s="32" t="n"/>
      <c r="AX12" s="12">
        <f>IFERROR(AW12*'6-Parameters'!$B$67,0)</f>
        <v/>
      </c>
      <c r="AY12" s="32" t="n"/>
      <c r="AZ12" s="12">
        <f>IFERROR(AY12*'6-Parameters'!$B$68,0)</f>
        <v/>
      </c>
      <c r="BA12" s="33">
        <f>IFERROR(AP12+AR12+AT12+AV12+AX12+AZ12,0)</f>
        <v/>
      </c>
      <c r="BB12" s="12">
        <f>IFERROR(IFS(B12="MLD",'6-Parameters'!$B$4,B12="MSI",'6-Parameters'!$B$5,B12="MSI-AWDZ",'6-Parameters'!$B$6,TRUE,""),"")</f>
        <v/>
      </c>
      <c r="BC12" s="34">
        <f>IFERROR(IF((D12+E12+F12+G12+H12)=0,"",(0.95*(D12+E12+H12)+0.25*F12)/(D12+E12+F12+G12+H12)),"")</f>
        <v/>
      </c>
      <c r="BD12" s="12">
        <f>IFERROR(IF(B12="","",BB12/12*(0.95*(D12+E12+H12)+0.25*F12)*43560),"")</f>
        <v/>
      </c>
      <c r="BE12" s="34">
        <f>IFERROR(IF((J12+K12+L12)=0,"",(0.95*J12+0.25*K12)/(J12+K12+L12)),"")</f>
        <v/>
      </c>
      <c r="BF12" s="12">
        <f>IFERROR(IF((J12+K12+L12)=0,"",BB12/12*(0.95*J12+0.25*K12)*43560),"")</f>
        <v/>
      </c>
      <c r="BG12" s="33">
        <f>IFERROR(IF(BD12="","",MAX(0,BD12-BA12)),"")</f>
        <v/>
      </c>
      <c r="BH12" s="12">
        <f>IFERROR((O12*MAX(0,IF('6-Parameters'!$B$8&gt;0.2*(1000/98-10),('6-Parameters'!$B$8-0.2*(1000/98-10))^2/('6-Parameters'!$B$8+0.8*(1000/98-10)),0))+P12*MAX(0,IF('6-Parameters'!$B$8&gt;0.2*(1000/$P$5-10),('6-Parameters'!$B$8-0.2*(1000/$P$5-10))^2/('6-Parameters'!$B$8+0.8*(1000/$P$5-10)),0))+Q12*MAX(0,IF('6-Parameters'!$B$8&gt;0.2*(1000/$Q$5-10),('6-Parameters'!$B$8-0.2*(1000/$Q$5-10))^2/('6-Parameters'!$B$8+0.8*(1000/$Q$5-10)),0))+R12*MAX(0,IF('6-Parameters'!$B$8&gt;0.2*(1000/$R$5-10),('6-Parameters'!$B$8-0.2*(1000/$R$5-10))^2/('6-Parameters'!$B$8+0.8*(1000/$R$5-10)),0))+S12*MAX(0,IF('6-Parameters'!$B$8&gt;0.2*(1000/$S$5-10),('6-Parameters'!$B$8-0.2*(1000/$S$5-10))^2/('6-Parameters'!$B$8+0.8*(1000/$S$5-10)),0))+T12*MAX(0,IF('6-Parameters'!$B$8&gt;0.2*(1000/$T$5-10),('6-Parameters'!$B$8-0.2*(1000/$T$5-10))^2/('6-Parameters'!$B$8+0.8*(1000/$T$5-10)),0))+U12*MAX(0,IF('6-Parameters'!$B$8&gt;0.2*(1000/$U$5-10),('6-Parameters'!$B$8-0.2*(1000/$U$5-10))^2/('6-Parameters'!$B$8+0.8*(1000/$U$5-10)),0))+V12*MAX(0,IF('6-Parameters'!$B$8&gt;0.2*(1000/$V$5-10),('6-Parameters'!$B$8-0.2*(1000/$V$5-10))^2/('6-Parameters'!$B$8+0.8*(1000/$V$5-10)),0))+W12*MAX(0,IF('6-Parameters'!$B$8&gt;0.2*(1000/$W$5-10),('6-Parameters'!$B$8-0.2*(1000/$W$5-10))^2/('6-Parameters'!$B$8+0.8*(1000/$W$5-10)),0))+X12*MAX(0,IF('6-Parameters'!$B$8&gt;0.2*(1000/$X$5-10),('6-Parameters'!$B$8-0.2*(1000/$X$5-10))^2/('6-Parameters'!$B$8+0.8*(1000/$X$5-10)),0))+Y12*MAX(0,IF('6-Parameters'!$B$8&gt;0.2*(1000/$Y$5-10),('6-Parameters'!$B$8-0.2*(1000/$Y$5-10))^2/('6-Parameters'!$B$8+0.8*(1000/$Y$5-10)),0))+Z12*MAX(0,IF('6-Parameters'!$B$8&gt;0.2*(1000/$Z$5-10),('6-Parameters'!$B$8-0.2*(1000/$Z$5-10))^2/('6-Parameters'!$B$8+0.8*(1000/$Z$5-10)),0))+AA12*MAX(0,IF('6-Parameters'!$B$8&gt;0.2*(1000/$AA$5-10),('6-Parameters'!$B$8-0.2*(1000/$AA$5-10))^2/('6-Parameters'!$B$8+0.8*(1000/$AA$5-10)),0)))/12,0)</f>
        <v/>
      </c>
      <c r="BI12" s="12">
        <f>IFERROR((AB12*MAX(0,IF('6-Parameters'!$B$8&gt;0.2*(1000/98-10),('6-Parameters'!$B$8-0.2*(1000/98-10))^2/('6-Parameters'!$B$8+0.8*(1000/98-10)),0))+AC12*MAX(0,IF('6-Parameters'!$B$8&gt;0.2*(1000/$AC$5-10),('6-Parameters'!$B$8-0.2*(1000/$AC$5-10))^2/('6-Parameters'!$B$8+0.8*(1000/$AC$5-10)),0))+AD12*MAX(0,IF('6-Parameters'!$B$8&gt;0.2*(1000/$AD$5-10),('6-Parameters'!$B$8-0.2*(1000/$AD$5-10))^2/('6-Parameters'!$B$8+0.8*(1000/$AD$5-10)),0))+AE12*MAX(0,IF('6-Parameters'!$B$8&gt;0.2*(1000/$AE$5-10),('6-Parameters'!$B$8-0.2*(1000/$AE$5-10))^2/('6-Parameters'!$B$8+0.8*(1000/$AE$5-10)),0))+AF12*MAX(0,IF('6-Parameters'!$B$8&gt;0.2*(1000/$AF$5-10),('6-Parameters'!$B$8-0.2*(1000/$AF$5-10))^2/('6-Parameters'!$B$8+0.8*(1000/$AF$5-10)),0))+AG12*MAX(0,IF('6-Parameters'!$B$8&gt;0.2*(1000/$AG$5-10),('6-Parameters'!$B$8-0.2*(1000/$AG$5-10))^2/('6-Parameters'!$B$8+0.8*(1000/$AG$5-10)),0))+AH12*MAX(0,IF('6-Parameters'!$B$8&gt;0.2*(1000/$AH$5-10),('6-Parameters'!$B$8-0.2*(1000/$AH$5-10))^2/('6-Parameters'!$B$8+0.8*(1000/$AH$5-10)),0))+AI12*MAX(0,IF('6-Parameters'!$B$8&gt;0.2*(1000/$AI$5-10),('6-Parameters'!$B$8-0.2*(1000/$AI$5-10))^2/('6-Parameters'!$B$8+0.8*(1000/$AI$5-10)),0))+AJ12*MAX(0,IF('6-Parameters'!$B$8&gt;0.2*(1000/$AJ$5-10),('6-Parameters'!$B$8-0.2*(1000/$AJ$5-10))^2/('6-Parameters'!$B$8+0.8*(1000/$AJ$5-10)),0))+AK12*MAX(0,IF('6-Parameters'!$B$8&gt;0.2*(1000/$AK$5-10),('6-Parameters'!$B$8-0.2*(1000/$AK$5-10))^2/('6-Parameters'!$B$8+0.8*(1000/$AK$5-10)),0))+AL12*MAX(0,IF('6-Parameters'!$B$8&gt;0.2*(1000/$AL$5-10),('6-Parameters'!$B$8-0.2*(1000/$AL$5-10))^2/('6-Parameters'!$B$8+0.8*(1000/$AL$5-10)),0))+AM12*MAX(0,IF('6-Parameters'!$B$8&gt;0.2*(1000/$AM$5-10),('6-Parameters'!$B$8-0.2*(1000/$AM$5-10))^2/('6-Parameters'!$B$8+0.8*(1000/$AM$5-10)),0))+AN12*MAX(0,IF('6-Parameters'!$B$8&gt;0.2*(1000/$AN$5-10),('6-Parameters'!$B$8-0.2*(1000/$AN$5-10))^2/('6-Parameters'!$B$8+0.8*(1000/$AN$5-10)),0)))/12,0)</f>
        <v/>
      </c>
    </row>
    <row r="13">
      <c r="A13" s="32" t="n"/>
      <c r="B13" s="32" t="n"/>
      <c r="C13" s="32" t="n"/>
      <c r="D13" s="32" t="n"/>
      <c r="E13" s="32" t="n"/>
      <c r="F13" s="32" t="n"/>
      <c r="G13" s="32" t="n"/>
      <c r="H13" s="32" t="n"/>
      <c r="I13" s="12">
        <f>IFERROR((D13+E13+F13+G13+H13)*43560,0)</f>
        <v/>
      </c>
      <c r="J13" s="32" t="n"/>
      <c r="K13" s="32" t="n"/>
      <c r="L13" s="32" t="n"/>
      <c r="M13" s="12">
        <f>IFERROR((J13+K13+L13)*43560,0)</f>
        <v/>
      </c>
      <c r="N13" s="12">
        <f>IFERROR(I13+M13,0)</f>
        <v/>
      </c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12">
        <f>IFERROR(AO13*'6-Parameters'!$B$63,0)</f>
        <v/>
      </c>
      <c r="AQ13" s="32" t="n"/>
      <c r="AR13" s="12">
        <f>IFERROR(AQ13*'6-Parameters'!$B$64,0)</f>
        <v/>
      </c>
      <c r="AS13" s="32" t="n"/>
      <c r="AT13" s="12">
        <f>IFERROR(AS13*'6-Parameters'!$B$65,0)</f>
        <v/>
      </c>
      <c r="AU13" s="32" t="n"/>
      <c r="AV13" s="12">
        <f>IFERROR(AU13*'6-Parameters'!$B$66,0)</f>
        <v/>
      </c>
      <c r="AW13" s="32" t="n"/>
      <c r="AX13" s="12">
        <f>IFERROR(AW13*'6-Parameters'!$B$67,0)</f>
        <v/>
      </c>
      <c r="AY13" s="32" t="n"/>
      <c r="AZ13" s="12">
        <f>IFERROR(AY13*'6-Parameters'!$B$68,0)</f>
        <v/>
      </c>
      <c r="BA13" s="33">
        <f>IFERROR(AP13+AR13+AT13+AV13+AX13+AZ13,0)</f>
        <v/>
      </c>
      <c r="BB13" s="12">
        <f>IFERROR(IFS(B13="MLD",'6-Parameters'!$B$4,B13="MSI",'6-Parameters'!$B$5,B13="MSI-AWDZ",'6-Parameters'!$B$6,TRUE,""),"")</f>
        <v/>
      </c>
      <c r="BC13" s="34">
        <f>IFERROR(IF((D13+E13+F13+G13+H13)=0,"",(0.95*(D13+E13+H13)+0.25*F13)/(D13+E13+F13+G13+H13)),"")</f>
        <v/>
      </c>
      <c r="BD13" s="12">
        <f>IFERROR(IF(B13="","",BB13/12*(0.95*(D13+E13+H13)+0.25*F13)*43560),"")</f>
        <v/>
      </c>
      <c r="BE13" s="34">
        <f>IFERROR(IF((J13+K13+L13)=0,"",(0.95*J13+0.25*K13)/(J13+K13+L13)),"")</f>
        <v/>
      </c>
      <c r="BF13" s="12">
        <f>IFERROR(IF((J13+K13+L13)=0,"",BB13/12*(0.95*J13+0.25*K13)*43560),"")</f>
        <v/>
      </c>
      <c r="BG13" s="33">
        <f>IFERROR(IF(BD13="","",MAX(0,BD13-BA13)),"")</f>
        <v/>
      </c>
      <c r="BH13" s="12">
        <f>IFERROR((O13*MAX(0,IF('6-Parameters'!$B$8&gt;0.2*(1000/98-10),('6-Parameters'!$B$8-0.2*(1000/98-10))^2/('6-Parameters'!$B$8+0.8*(1000/98-10)),0))+P13*MAX(0,IF('6-Parameters'!$B$8&gt;0.2*(1000/$P$5-10),('6-Parameters'!$B$8-0.2*(1000/$P$5-10))^2/('6-Parameters'!$B$8+0.8*(1000/$P$5-10)),0))+Q13*MAX(0,IF('6-Parameters'!$B$8&gt;0.2*(1000/$Q$5-10),('6-Parameters'!$B$8-0.2*(1000/$Q$5-10))^2/('6-Parameters'!$B$8+0.8*(1000/$Q$5-10)),0))+R13*MAX(0,IF('6-Parameters'!$B$8&gt;0.2*(1000/$R$5-10),('6-Parameters'!$B$8-0.2*(1000/$R$5-10))^2/('6-Parameters'!$B$8+0.8*(1000/$R$5-10)),0))+S13*MAX(0,IF('6-Parameters'!$B$8&gt;0.2*(1000/$S$5-10),('6-Parameters'!$B$8-0.2*(1000/$S$5-10))^2/('6-Parameters'!$B$8+0.8*(1000/$S$5-10)),0))+T13*MAX(0,IF('6-Parameters'!$B$8&gt;0.2*(1000/$T$5-10),('6-Parameters'!$B$8-0.2*(1000/$T$5-10))^2/('6-Parameters'!$B$8+0.8*(1000/$T$5-10)),0))+U13*MAX(0,IF('6-Parameters'!$B$8&gt;0.2*(1000/$U$5-10),('6-Parameters'!$B$8-0.2*(1000/$U$5-10))^2/('6-Parameters'!$B$8+0.8*(1000/$U$5-10)),0))+V13*MAX(0,IF('6-Parameters'!$B$8&gt;0.2*(1000/$V$5-10),('6-Parameters'!$B$8-0.2*(1000/$V$5-10))^2/('6-Parameters'!$B$8+0.8*(1000/$V$5-10)),0))+W13*MAX(0,IF('6-Parameters'!$B$8&gt;0.2*(1000/$W$5-10),('6-Parameters'!$B$8-0.2*(1000/$W$5-10))^2/('6-Parameters'!$B$8+0.8*(1000/$W$5-10)),0))+X13*MAX(0,IF('6-Parameters'!$B$8&gt;0.2*(1000/$X$5-10),('6-Parameters'!$B$8-0.2*(1000/$X$5-10))^2/('6-Parameters'!$B$8+0.8*(1000/$X$5-10)),0))+Y13*MAX(0,IF('6-Parameters'!$B$8&gt;0.2*(1000/$Y$5-10),('6-Parameters'!$B$8-0.2*(1000/$Y$5-10))^2/('6-Parameters'!$B$8+0.8*(1000/$Y$5-10)),0))+Z13*MAX(0,IF('6-Parameters'!$B$8&gt;0.2*(1000/$Z$5-10),('6-Parameters'!$B$8-0.2*(1000/$Z$5-10))^2/('6-Parameters'!$B$8+0.8*(1000/$Z$5-10)),0))+AA13*MAX(0,IF('6-Parameters'!$B$8&gt;0.2*(1000/$AA$5-10),('6-Parameters'!$B$8-0.2*(1000/$AA$5-10))^2/('6-Parameters'!$B$8+0.8*(1000/$AA$5-10)),0)))/12,0)</f>
        <v/>
      </c>
      <c r="BI13" s="12">
        <f>IFERROR((AB13*MAX(0,IF('6-Parameters'!$B$8&gt;0.2*(1000/98-10),('6-Parameters'!$B$8-0.2*(1000/98-10))^2/('6-Parameters'!$B$8+0.8*(1000/98-10)),0))+AC13*MAX(0,IF('6-Parameters'!$B$8&gt;0.2*(1000/$AC$5-10),('6-Parameters'!$B$8-0.2*(1000/$AC$5-10))^2/('6-Parameters'!$B$8+0.8*(1000/$AC$5-10)),0))+AD13*MAX(0,IF('6-Parameters'!$B$8&gt;0.2*(1000/$AD$5-10),('6-Parameters'!$B$8-0.2*(1000/$AD$5-10))^2/('6-Parameters'!$B$8+0.8*(1000/$AD$5-10)),0))+AE13*MAX(0,IF('6-Parameters'!$B$8&gt;0.2*(1000/$AE$5-10),('6-Parameters'!$B$8-0.2*(1000/$AE$5-10))^2/('6-Parameters'!$B$8+0.8*(1000/$AE$5-10)),0))+AF13*MAX(0,IF('6-Parameters'!$B$8&gt;0.2*(1000/$AF$5-10),('6-Parameters'!$B$8-0.2*(1000/$AF$5-10))^2/('6-Parameters'!$B$8+0.8*(1000/$AF$5-10)),0))+AG13*MAX(0,IF('6-Parameters'!$B$8&gt;0.2*(1000/$AG$5-10),('6-Parameters'!$B$8-0.2*(1000/$AG$5-10))^2/('6-Parameters'!$B$8+0.8*(1000/$AG$5-10)),0))+AH13*MAX(0,IF('6-Parameters'!$B$8&gt;0.2*(1000/$AH$5-10),('6-Parameters'!$B$8-0.2*(1000/$AH$5-10))^2/('6-Parameters'!$B$8+0.8*(1000/$AH$5-10)),0))+AI13*MAX(0,IF('6-Parameters'!$B$8&gt;0.2*(1000/$AI$5-10),('6-Parameters'!$B$8-0.2*(1000/$AI$5-10))^2/('6-Parameters'!$B$8+0.8*(1000/$AI$5-10)),0))+AJ13*MAX(0,IF('6-Parameters'!$B$8&gt;0.2*(1000/$AJ$5-10),('6-Parameters'!$B$8-0.2*(1000/$AJ$5-10))^2/('6-Parameters'!$B$8+0.8*(1000/$AJ$5-10)),0))+AK13*MAX(0,IF('6-Parameters'!$B$8&gt;0.2*(1000/$AK$5-10),('6-Parameters'!$B$8-0.2*(1000/$AK$5-10))^2/('6-Parameters'!$B$8+0.8*(1000/$AK$5-10)),0))+AL13*MAX(0,IF('6-Parameters'!$B$8&gt;0.2*(1000/$AL$5-10),('6-Parameters'!$B$8-0.2*(1000/$AL$5-10))^2/('6-Parameters'!$B$8+0.8*(1000/$AL$5-10)),0))+AM13*MAX(0,IF('6-Parameters'!$B$8&gt;0.2*(1000/$AM$5-10),('6-Parameters'!$B$8-0.2*(1000/$AM$5-10))^2/('6-Parameters'!$B$8+0.8*(1000/$AM$5-10)),0))+AN13*MAX(0,IF('6-Parameters'!$B$8&gt;0.2*(1000/$AN$5-10),('6-Parameters'!$B$8-0.2*(1000/$AN$5-10))^2/('6-Parameters'!$B$8+0.8*(1000/$AN$5-10)),0)))/12,0)</f>
        <v/>
      </c>
    </row>
    <row r="14">
      <c r="A14" s="32" t="n"/>
      <c r="B14" s="32" t="n"/>
      <c r="C14" s="32" t="n"/>
      <c r="D14" s="32" t="n"/>
      <c r="E14" s="32" t="n"/>
      <c r="F14" s="32" t="n"/>
      <c r="G14" s="32" t="n"/>
      <c r="H14" s="32" t="n"/>
      <c r="I14" s="12">
        <f>IFERROR((D14+E14+F14+G14+H14)*43560,0)</f>
        <v/>
      </c>
      <c r="J14" s="32" t="n"/>
      <c r="K14" s="32" t="n"/>
      <c r="L14" s="32" t="n"/>
      <c r="M14" s="12">
        <f>IFERROR((J14+K14+L14)*43560,0)</f>
        <v/>
      </c>
      <c r="N14" s="12">
        <f>IFERROR(I14+M14,0)</f>
        <v/>
      </c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12">
        <f>IFERROR(AO14*'6-Parameters'!$B$63,0)</f>
        <v/>
      </c>
      <c r="AQ14" s="32" t="n"/>
      <c r="AR14" s="12">
        <f>IFERROR(AQ14*'6-Parameters'!$B$64,0)</f>
        <v/>
      </c>
      <c r="AS14" s="32" t="n"/>
      <c r="AT14" s="12">
        <f>IFERROR(AS14*'6-Parameters'!$B$65,0)</f>
        <v/>
      </c>
      <c r="AU14" s="32" t="n"/>
      <c r="AV14" s="12">
        <f>IFERROR(AU14*'6-Parameters'!$B$66,0)</f>
        <v/>
      </c>
      <c r="AW14" s="32" t="n"/>
      <c r="AX14" s="12">
        <f>IFERROR(AW14*'6-Parameters'!$B$67,0)</f>
        <v/>
      </c>
      <c r="AY14" s="32" t="n"/>
      <c r="AZ14" s="12">
        <f>IFERROR(AY14*'6-Parameters'!$B$68,0)</f>
        <v/>
      </c>
      <c r="BA14" s="33">
        <f>IFERROR(AP14+AR14+AT14+AV14+AX14+AZ14,0)</f>
        <v/>
      </c>
      <c r="BB14" s="12">
        <f>IFERROR(IFS(B14="MLD",'6-Parameters'!$B$4,B14="MSI",'6-Parameters'!$B$5,B14="MSI-AWDZ",'6-Parameters'!$B$6,TRUE,""),"")</f>
        <v/>
      </c>
      <c r="BC14" s="34">
        <f>IFERROR(IF((D14+E14+F14+G14+H14)=0,"",(0.95*(D14+E14+H14)+0.25*F14)/(D14+E14+F14+G14+H14)),"")</f>
        <v/>
      </c>
      <c r="BD14" s="12">
        <f>IFERROR(IF(B14="","",BB14/12*(0.95*(D14+E14+H14)+0.25*F14)*43560),"")</f>
        <v/>
      </c>
      <c r="BE14" s="34">
        <f>IFERROR(IF((J14+K14+L14)=0,"",(0.95*J14+0.25*K14)/(J14+K14+L14)),"")</f>
        <v/>
      </c>
      <c r="BF14" s="12">
        <f>IFERROR(IF((J14+K14+L14)=0,"",BB14/12*(0.95*J14+0.25*K14)*43560),"")</f>
        <v/>
      </c>
      <c r="BG14" s="33">
        <f>IFERROR(IF(BD14="","",MAX(0,BD14-BA14)),"")</f>
        <v/>
      </c>
      <c r="BH14" s="12">
        <f>IFERROR((O14*MAX(0,IF('6-Parameters'!$B$8&gt;0.2*(1000/98-10),('6-Parameters'!$B$8-0.2*(1000/98-10))^2/('6-Parameters'!$B$8+0.8*(1000/98-10)),0))+P14*MAX(0,IF('6-Parameters'!$B$8&gt;0.2*(1000/$P$5-10),('6-Parameters'!$B$8-0.2*(1000/$P$5-10))^2/('6-Parameters'!$B$8+0.8*(1000/$P$5-10)),0))+Q14*MAX(0,IF('6-Parameters'!$B$8&gt;0.2*(1000/$Q$5-10),('6-Parameters'!$B$8-0.2*(1000/$Q$5-10))^2/('6-Parameters'!$B$8+0.8*(1000/$Q$5-10)),0))+R14*MAX(0,IF('6-Parameters'!$B$8&gt;0.2*(1000/$R$5-10),('6-Parameters'!$B$8-0.2*(1000/$R$5-10))^2/('6-Parameters'!$B$8+0.8*(1000/$R$5-10)),0))+S14*MAX(0,IF('6-Parameters'!$B$8&gt;0.2*(1000/$S$5-10),('6-Parameters'!$B$8-0.2*(1000/$S$5-10))^2/('6-Parameters'!$B$8+0.8*(1000/$S$5-10)),0))+T14*MAX(0,IF('6-Parameters'!$B$8&gt;0.2*(1000/$T$5-10),('6-Parameters'!$B$8-0.2*(1000/$T$5-10))^2/('6-Parameters'!$B$8+0.8*(1000/$T$5-10)),0))+U14*MAX(0,IF('6-Parameters'!$B$8&gt;0.2*(1000/$U$5-10),('6-Parameters'!$B$8-0.2*(1000/$U$5-10))^2/('6-Parameters'!$B$8+0.8*(1000/$U$5-10)),0))+V14*MAX(0,IF('6-Parameters'!$B$8&gt;0.2*(1000/$V$5-10),('6-Parameters'!$B$8-0.2*(1000/$V$5-10))^2/('6-Parameters'!$B$8+0.8*(1000/$V$5-10)),0))+W14*MAX(0,IF('6-Parameters'!$B$8&gt;0.2*(1000/$W$5-10),('6-Parameters'!$B$8-0.2*(1000/$W$5-10))^2/('6-Parameters'!$B$8+0.8*(1000/$W$5-10)),0))+X14*MAX(0,IF('6-Parameters'!$B$8&gt;0.2*(1000/$X$5-10),('6-Parameters'!$B$8-0.2*(1000/$X$5-10))^2/('6-Parameters'!$B$8+0.8*(1000/$X$5-10)),0))+Y14*MAX(0,IF('6-Parameters'!$B$8&gt;0.2*(1000/$Y$5-10),('6-Parameters'!$B$8-0.2*(1000/$Y$5-10))^2/('6-Parameters'!$B$8+0.8*(1000/$Y$5-10)),0))+Z14*MAX(0,IF('6-Parameters'!$B$8&gt;0.2*(1000/$Z$5-10),('6-Parameters'!$B$8-0.2*(1000/$Z$5-10))^2/('6-Parameters'!$B$8+0.8*(1000/$Z$5-10)),0))+AA14*MAX(0,IF('6-Parameters'!$B$8&gt;0.2*(1000/$AA$5-10),('6-Parameters'!$B$8-0.2*(1000/$AA$5-10))^2/('6-Parameters'!$B$8+0.8*(1000/$AA$5-10)),0)))/12,0)</f>
        <v/>
      </c>
      <c r="BI14" s="12">
        <f>IFERROR((AB14*MAX(0,IF('6-Parameters'!$B$8&gt;0.2*(1000/98-10),('6-Parameters'!$B$8-0.2*(1000/98-10))^2/('6-Parameters'!$B$8+0.8*(1000/98-10)),0))+AC14*MAX(0,IF('6-Parameters'!$B$8&gt;0.2*(1000/$AC$5-10),('6-Parameters'!$B$8-0.2*(1000/$AC$5-10))^2/('6-Parameters'!$B$8+0.8*(1000/$AC$5-10)),0))+AD14*MAX(0,IF('6-Parameters'!$B$8&gt;0.2*(1000/$AD$5-10),('6-Parameters'!$B$8-0.2*(1000/$AD$5-10))^2/('6-Parameters'!$B$8+0.8*(1000/$AD$5-10)),0))+AE14*MAX(0,IF('6-Parameters'!$B$8&gt;0.2*(1000/$AE$5-10),('6-Parameters'!$B$8-0.2*(1000/$AE$5-10))^2/('6-Parameters'!$B$8+0.8*(1000/$AE$5-10)),0))+AF14*MAX(0,IF('6-Parameters'!$B$8&gt;0.2*(1000/$AF$5-10),('6-Parameters'!$B$8-0.2*(1000/$AF$5-10))^2/('6-Parameters'!$B$8+0.8*(1000/$AF$5-10)),0))+AG14*MAX(0,IF('6-Parameters'!$B$8&gt;0.2*(1000/$AG$5-10),('6-Parameters'!$B$8-0.2*(1000/$AG$5-10))^2/('6-Parameters'!$B$8+0.8*(1000/$AG$5-10)),0))+AH14*MAX(0,IF('6-Parameters'!$B$8&gt;0.2*(1000/$AH$5-10),('6-Parameters'!$B$8-0.2*(1000/$AH$5-10))^2/('6-Parameters'!$B$8+0.8*(1000/$AH$5-10)),0))+AI14*MAX(0,IF('6-Parameters'!$B$8&gt;0.2*(1000/$AI$5-10),('6-Parameters'!$B$8-0.2*(1000/$AI$5-10))^2/('6-Parameters'!$B$8+0.8*(1000/$AI$5-10)),0))+AJ14*MAX(0,IF('6-Parameters'!$B$8&gt;0.2*(1000/$AJ$5-10),('6-Parameters'!$B$8-0.2*(1000/$AJ$5-10))^2/('6-Parameters'!$B$8+0.8*(1000/$AJ$5-10)),0))+AK14*MAX(0,IF('6-Parameters'!$B$8&gt;0.2*(1000/$AK$5-10),('6-Parameters'!$B$8-0.2*(1000/$AK$5-10))^2/('6-Parameters'!$B$8+0.8*(1000/$AK$5-10)),0))+AL14*MAX(0,IF('6-Parameters'!$B$8&gt;0.2*(1000/$AL$5-10),('6-Parameters'!$B$8-0.2*(1000/$AL$5-10))^2/('6-Parameters'!$B$8+0.8*(1000/$AL$5-10)),0))+AM14*MAX(0,IF('6-Parameters'!$B$8&gt;0.2*(1000/$AM$5-10),('6-Parameters'!$B$8-0.2*(1000/$AM$5-10))^2/('6-Parameters'!$B$8+0.8*(1000/$AM$5-10)),0))+AN14*MAX(0,IF('6-Parameters'!$B$8&gt;0.2*(1000/$AN$5-10),('6-Parameters'!$B$8-0.2*(1000/$AN$5-10))^2/('6-Parameters'!$B$8+0.8*(1000/$AN$5-10)),0)))/12,0)</f>
        <v/>
      </c>
    </row>
    <row r="15">
      <c r="A15" s="32" t="n"/>
      <c r="B15" s="32" t="n"/>
      <c r="C15" s="32" t="n"/>
      <c r="D15" s="32" t="n"/>
      <c r="E15" s="32" t="n"/>
      <c r="F15" s="32" t="n"/>
      <c r="G15" s="32" t="n"/>
      <c r="H15" s="32" t="n"/>
      <c r="I15" s="12">
        <f>IFERROR((D15+E15+F15+G15+H15)*43560,0)</f>
        <v/>
      </c>
      <c r="J15" s="32" t="n"/>
      <c r="K15" s="32" t="n"/>
      <c r="L15" s="32" t="n"/>
      <c r="M15" s="12">
        <f>IFERROR((J15+K15+L15)*43560,0)</f>
        <v/>
      </c>
      <c r="N15" s="12">
        <f>IFERROR(I15+M15,0)</f>
        <v/>
      </c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12">
        <f>IFERROR(AO15*'6-Parameters'!$B$63,0)</f>
        <v/>
      </c>
      <c r="AQ15" s="32" t="n"/>
      <c r="AR15" s="12">
        <f>IFERROR(AQ15*'6-Parameters'!$B$64,0)</f>
        <v/>
      </c>
      <c r="AS15" s="32" t="n"/>
      <c r="AT15" s="12">
        <f>IFERROR(AS15*'6-Parameters'!$B$65,0)</f>
        <v/>
      </c>
      <c r="AU15" s="32" t="n"/>
      <c r="AV15" s="12">
        <f>IFERROR(AU15*'6-Parameters'!$B$66,0)</f>
        <v/>
      </c>
      <c r="AW15" s="32" t="n"/>
      <c r="AX15" s="12">
        <f>IFERROR(AW15*'6-Parameters'!$B$67,0)</f>
        <v/>
      </c>
      <c r="AY15" s="32" t="n"/>
      <c r="AZ15" s="12">
        <f>IFERROR(AY15*'6-Parameters'!$B$68,0)</f>
        <v/>
      </c>
      <c r="BA15" s="33">
        <f>IFERROR(AP15+AR15+AT15+AV15+AX15+AZ15,0)</f>
        <v/>
      </c>
      <c r="BB15" s="12">
        <f>IFERROR(IFS(B15="MLD",'6-Parameters'!$B$4,B15="MSI",'6-Parameters'!$B$5,B15="MSI-AWDZ",'6-Parameters'!$B$6,TRUE,""),"")</f>
        <v/>
      </c>
      <c r="BC15" s="34">
        <f>IFERROR(IF((D15+E15+F15+G15+H15)=0,"",(0.95*(D15+E15+H15)+0.25*F15)/(D15+E15+F15+G15+H15)),"")</f>
        <v/>
      </c>
      <c r="BD15" s="12">
        <f>IFERROR(IF(B15="","",BB15/12*(0.95*(D15+E15+H15)+0.25*F15)*43560),"")</f>
        <v/>
      </c>
      <c r="BE15" s="34">
        <f>IFERROR(IF((J15+K15+L15)=0,"",(0.95*J15+0.25*K15)/(J15+K15+L15)),"")</f>
        <v/>
      </c>
      <c r="BF15" s="12">
        <f>IFERROR(IF((J15+K15+L15)=0,"",BB15/12*(0.95*J15+0.25*K15)*43560),"")</f>
        <v/>
      </c>
      <c r="BG15" s="33">
        <f>IFERROR(IF(BD15="","",MAX(0,BD15-BA15)),"")</f>
        <v/>
      </c>
      <c r="BH15" s="12">
        <f>IFERROR((O15*MAX(0,IF('6-Parameters'!$B$8&gt;0.2*(1000/98-10),('6-Parameters'!$B$8-0.2*(1000/98-10))^2/('6-Parameters'!$B$8+0.8*(1000/98-10)),0))+P15*MAX(0,IF('6-Parameters'!$B$8&gt;0.2*(1000/$P$5-10),('6-Parameters'!$B$8-0.2*(1000/$P$5-10))^2/('6-Parameters'!$B$8+0.8*(1000/$P$5-10)),0))+Q15*MAX(0,IF('6-Parameters'!$B$8&gt;0.2*(1000/$Q$5-10),('6-Parameters'!$B$8-0.2*(1000/$Q$5-10))^2/('6-Parameters'!$B$8+0.8*(1000/$Q$5-10)),0))+R15*MAX(0,IF('6-Parameters'!$B$8&gt;0.2*(1000/$R$5-10),('6-Parameters'!$B$8-0.2*(1000/$R$5-10))^2/('6-Parameters'!$B$8+0.8*(1000/$R$5-10)),0))+S15*MAX(0,IF('6-Parameters'!$B$8&gt;0.2*(1000/$S$5-10),('6-Parameters'!$B$8-0.2*(1000/$S$5-10))^2/('6-Parameters'!$B$8+0.8*(1000/$S$5-10)),0))+T15*MAX(0,IF('6-Parameters'!$B$8&gt;0.2*(1000/$T$5-10),('6-Parameters'!$B$8-0.2*(1000/$T$5-10))^2/('6-Parameters'!$B$8+0.8*(1000/$T$5-10)),0))+U15*MAX(0,IF('6-Parameters'!$B$8&gt;0.2*(1000/$U$5-10),('6-Parameters'!$B$8-0.2*(1000/$U$5-10))^2/('6-Parameters'!$B$8+0.8*(1000/$U$5-10)),0))+V15*MAX(0,IF('6-Parameters'!$B$8&gt;0.2*(1000/$V$5-10),('6-Parameters'!$B$8-0.2*(1000/$V$5-10))^2/('6-Parameters'!$B$8+0.8*(1000/$V$5-10)),0))+W15*MAX(0,IF('6-Parameters'!$B$8&gt;0.2*(1000/$W$5-10),('6-Parameters'!$B$8-0.2*(1000/$W$5-10))^2/('6-Parameters'!$B$8+0.8*(1000/$W$5-10)),0))+X15*MAX(0,IF('6-Parameters'!$B$8&gt;0.2*(1000/$X$5-10),('6-Parameters'!$B$8-0.2*(1000/$X$5-10))^2/('6-Parameters'!$B$8+0.8*(1000/$X$5-10)),0))+Y15*MAX(0,IF('6-Parameters'!$B$8&gt;0.2*(1000/$Y$5-10),('6-Parameters'!$B$8-0.2*(1000/$Y$5-10))^2/('6-Parameters'!$B$8+0.8*(1000/$Y$5-10)),0))+Z15*MAX(0,IF('6-Parameters'!$B$8&gt;0.2*(1000/$Z$5-10),('6-Parameters'!$B$8-0.2*(1000/$Z$5-10))^2/('6-Parameters'!$B$8+0.8*(1000/$Z$5-10)),0))+AA15*MAX(0,IF('6-Parameters'!$B$8&gt;0.2*(1000/$AA$5-10),('6-Parameters'!$B$8-0.2*(1000/$AA$5-10))^2/('6-Parameters'!$B$8+0.8*(1000/$AA$5-10)),0)))/12,0)</f>
        <v/>
      </c>
      <c r="BI15" s="12">
        <f>IFERROR((AB15*MAX(0,IF('6-Parameters'!$B$8&gt;0.2*(1000/98-10),('6-Parameters'!$B$8-0.2*(1000/98-10))^2/('6-Parameters'!$B$8+0.8*(1000/98-10)),0))+AC15*MAX(0,IF('6-Parameters'!$B$8&gt;0.2*(1000/$AC$5-10),('6-Parameters'!$B$8-0.2*(1000/$AC$5-10))^2/('6-Parameters'!$B$8+0.8*(1000/$AC$5-10)),0))+AD15*MAX(0,IF('6-Parameters'!$B$8&gt;0.2*(1000/$AD$5-10),('6-Parameters'!$B$8-0.2*(1000/$AD$5-10))^2/('6-Parameters'!$B$8+0.8*(1000/$AD$5-10)),0))+AE15*MAX(0,IF('6-Parameters'!$B$8&gt;0.2*(1000/$AE$5-10),('6-Parameters'!$B$8-0.2*(1000/$AE$5-10))^2/('6-Parameters'!$B$8+0.8*(1000/$AE$5-10)),0))+AF15*MAX(0,IF('6-Parameters'!$B$8&gt;0.2*(1000/$AF$5-10),('6-Parameters'!$B$8-0.2*(1000/$AF$5-10))^2/('6-Parameters'!$B$8+0.8*(1000/$AF$5-10)),0))+AG15*MAX(0,IF('6-Parameters'!$B$8&gt;0.2*(1000/$AG$5-10),('6-Parameters'!$B$8-0.2*(1000/$AG$5-10))^2/('6-Parameters'!$B$8+0.8*(1000/$AG$5-10)),0))+AH15*MAX(0,IF('6-Parameters'!$B$8&gt;0.2*(1000/$AH$5-10),('6-Parameters'!$B$8-0.2*(1000/$AH$5-10))^2/('6-Parameters'!$B$8+0.8*(1000/$AH$5-10)),0))+AI15*MAX(0,IF('6-Parameters'!$B$8&gt;0.2*(1000/$AI$5-10),('6-Parameters'!$B$8-0.2*(1000/$AI$5-10))^2/('6-Parameters'!$B$8+0.8*(1000/$AI$5-10)),0))+AJ15*MAX(0,IF('6-Parameters'!$B$8&gt;0.2*(1000/$AJ$5-10),('6-Parameters'!$B$8-0.2*(1000/$AJ$5-10))^2/('6-Parameters'!$B$8+0.8*(1000/$AJ$5-10)),0))+AK15*MAX(0,IF('6-Parameters'!$B$8&gt;0.2*(1000/$AK$5-10),('6-Parameters'!$B$8-0.2*(1000/$AK$5-10))^2/('6-Parameters'!$B$8+0.8*(1000/$AK$5-10)),0))+AL15*MAX(0,IF('6-Parameters'!$B$8&gt;0.2*(1000/$AL$5-10),('6-Parameters'!$B$8-0.2*(1000/$AL$5-10))^2/('6-Parameters'!$B$8+0.8*(1000/$AL$5-10)),0))+AM15*MAX(0,IF('6-Parameters'!$B$8&gt;0.2*(1000/$AM$5-10),('6-Parameters'!$B$8-0.2*(1000/$AM$5-10))^2/('6-Parameters'!$B$8+0.8*(1000/$AM$5-10)),0))+AN15*MAX(0,IF('6-Parameters'!$B$8&gt;0.2*(1000/$AN$5-10),('6-Parameters'!$B$8-0.2*(1000/$AN$5-10))^2/('6-Parameters'!$B$8+0.8*(1000/$AN$5-10)),0)))/12,0)</f>
        <v/>
      </c>
    </row>
    <row r="16">
      <c r="A16" s="32" t="n"/>
      <c r="B16" s="32" t="n"/>
      <c r="C16" s="32" t="n"/>
      <c r="D16" s="32" t="n"/>
      <c r="E16" s="32" t="n"/>
      <c r="F16" s="32" t="n"/>
      <c r="G16" s="32" t="n"/>
      <c r="H16" s="32" t="n"/>
      <c r="I16" s="12">
        <f>IFERROR((D16+E16+F16+G16+H16)*43560,0)</f>
        <v/>
      </c>
      <c r="J16" s="32" t="n"/>
      <c r="K16" s="32" t="n"/>
      <c r="L16" s="32" t="n"/>
      <c r="M16" s="12">
        <f>IFERROR((J16+K16+L16)*43560,0)</f>
        <v/>
      </c>
      <c r="N16" s="12">
        <f>IFERROR(I16+M16,0)</f>
        <v/>
      </c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12">
        <f>IFERROR(AO16*'6-Parameters'!$B$63,0)</f>
        <v/>
      </c>
      <c r="AQ16" s="32" t="n"/>
      <c r="AR16" s="12">
        <f>IFERROR(AQ16*'6-Parameters'!$B$64,0)</f>
        <v/>
      </c>
      <c r="AS16" s="32" t="n"/>
      <c r="AT16" s="12">
        <f>IFERROR(AS16*'6-Parameters'!$B$65,0)</f>
        <v/>
      </c>
      <c r="AU16" s="32" t="n"/>
      <c r="AV16" s="12">
        <f>IFERROR(AU16*'6-Parameters'!$B$66,0)</f>
        <v/>
      </c>
      <c r="AW16" s="32" t="n"/>
      <c r="AX16" s="12">
        <f>IFERROR(AW16*'6-Parameters'!$B$67,0)</f>
        <v/>
      </c>
      <c r="AY16" s="32" t="n"/>
      <c r="AZ16" s="12">
        <f>IFERROR(AY16*'6-Parameters'!$B$68,0)</f>
        <v/>
      </c>
      <c r="BA16" s="33">
        <f>IFERROR(AP16+AR16+AT16+AV16+AX16+AZ16,0)</f>
        <v/>
      </c>
      <c r="BB16" s="12">
        <f>IFERROR(IFS(B16="MLD",'6-Parameters'!$B$4,B16="MSI",'6-Parameters'!$B$5,B16="MSI-AWDZ",'6-Parameters'!$B$6,TRUE,""),"")</f>
        <v/>
      </c>
      <c r="BC16" s="34">
        <f>IFERROR(IF((D16+E16+F16+G16+H16)=0,"",(0.95*(D16+E16+H16)+0.25*F16)/(D16+E16+F16+G16+H16)),"")</f>
        <v/>
      </c>
      <c r="BD16" s="12">
        <f>IFERROR(IF(B16="","",BB16/12*(0.95*(D16+E16+H16)+0.25*F16)*43560),"")</f>
        <v/>
      </c>
      <c r="BE16" s="34">
        <f>IFERROR(IF((J16+K16+L16)=0,"",(0.95*J16+0.25*K16)/(J16+K16+L16)),"")</f>
        <v/>
      </c>
      <c r="BF16" s="12">
        <f>IFERROR(IF((J16+K16+L16)=0,"",BB16/12*(0.95*J16+0.25*K16)*43560),"")</f>
        <v/>
      </c>
      <c r="BG16" s="33">
        <f>IFERROR(IF(BD16="","",MAX(0,BD16-BA16)),"")</f>
        <v/>
      </c>
      <c r="BH16" s="12">
        <f>IFERROR((O16*MAX(0,IF('6-Parameters'!$B$8&gt;0.2*(1000/98-10),('6-Parameters'!$B$8-0.2*(1000/98-10))^2/('6-Parameters'!$B$8+0.8*(1000/98-10)),0))+P16*MAX(0,IF('6-Parameters'!$B$8&gt;0.2*(1000/$P$5-10),('6-Parameters'!$B$8-0.2*(1000/$P$5-10))^2/('6-Parameters'!$B$8+0.8*(1000/$P$5-10)),0))+Q16*MAX(0,IF('6-Parameters'!$B$8&gt;0.2*(1000/$Q$5-10),('6-Parameters'!$B$8-0.2*(1000/$Q$5-10))^2/('6-Parameters'!$B$8+0.8*(1000/$Q$5-10)),0))+R16*MAX(0,IF('6-Parameters'!$B$8&gt;0.2*(1000/$R$5-10),('6-Parameters'!$B$8-0.2*(1000/$R$5-10))^2/('6-Parameters'!$B$8+0.8*(1000/$R$5-10)),0))+S16*MAX(0,IF('6-Parameters'!$B$8&gt;0.2*(1000/$S$5-10),('6-Parameters'!$B$8-0.2*(1000/$S$5-10))^2/('6-Parameters'!$B$8+0.8*(1000/$S$5-10)),0))+T16*MAX(0,IF('6-Parameters'!$B$8&gt;0.2*(1000/$T$5-10),('6-Parameters'!$B$8-0.2*(1000/$T$5-10))^2/('6-Parameters'!$B$8+0.8*(1000/$T$5-10)),0))+U16*MAX(0,IF('6-Parameters'!$B$8&gt;0.2*(1000/$U$5-10),('6-Parameters'!$B$8-0.2*(1000/$U$5-10))^2/('6-Parameters'!$B$8+0.8*(1000/$U$5-10)),0))+V16*MAX(0,IF('6-Parameters'!$B$8&gt;0.2*(1000/$V$5-10),('6-Parameters'!$B$8-0.2*(1000/$V$5-10))^2/('6-Parameters'!$B$8+0.8*(1000/$V$5-10)),0))+W16*MAX(0,IF('6-Parameters'!$B$8&gt;0.2*(1000/$W$5-10),('6-Parameters'!$B$8-0.2*(1000/$W$5-10))^2/('6-Parameters'!$B$8+0.8*(1000/$W$5-10)),0))+X16*MAX(0,IF('6-Parameters'!$B$8&gt;0.2*(1000/$X$5-10),('6-Parameters'!$B$8-0.2*(1000/$X$5-10))^2/('6-Parameters'!$B$8+0.8*(1000/$X$5-10)),0))+Y16*MAX(0,IF('6-Parameters'!$B$8&gt;0.2*(1000/$Y$5-10),('6-Parameters'!$B$8-0.2*(1000/$Y$5-10))^2/('6-Parameters'!$B$8+0.8*(1000/$Y$5-10)),0))+Z16*MAX(0,IF('6-Parameters'!$B$8&gt;0.2*(1000/$Z$5-10),('6-Parameters'!$B$8-0.2*(1000/$Z$5-10))^2/('6-Parameters'!$B$8+0.8*(1000/$Z$5-10)),0))+AA16*MAX(0,IF('6-Parameters'!$B$8&gt;0.2*(1000/$AA$5-10),('6-Parameters'!$B$8-0.2*(1000/$AA$5-10))^2/('6-Parameters'!$B$8+0.8*(1000/$AA$5-10)),0)))/12,0)</f>
        <v/>
      </c>
      <c r="BI16" s="12">
        <f>IFERROR((AB16*MAX(0,IF('6-Parameters'!$B$8&gt;0.2*(1000/98-10),('6-Parameters'!$B$8-0.2*(1000/98-10))^2/('6-Parameters'!$B$8+0.8*(1000/98-10)),0))+AC16*MAX(0,IF('6-Parameters'!$B$8&gt;0.2*(1000/$AC$5-10),('6-Parameters'!$B$8-0.2*(1000/$AC$5-10))^2/('6-Parameters'!$B$8+0.8*(1000/$AC$5-10)),0))+AD16*MAX(0,IF('6-Parameters'!$B$8&gt;0.2*(1000/$AD$5-10),('6-Parameters'!$B$8-0.2*(1000/$AD$5-10))^2/('6-Parameters'!$B$8+0.8*(1000/$AD$5-10)),0))+AE16*MAX(0,IF('6-Parameters'!$B$8&gt;0.2*(1000/$AE$5-10),('6-Parameters'!$B$8-0.2*(1000/$AE$5-10))^2/('6-Parameters'!$B$8+0.8*(1000/$AE$5-10)),0))+AF16*MAX(0,IF('6-Parameters'!$B$8&gt;0.2*(1000/$AF$5-10),('6-Parameters'!$B$8-0.2*(1000/$AF$5-10))^2/('6-Parameters'!$B$8+0.8*(1000/$AF$5-10)),0))+AG16*MAX(0,IF('6-Parameters'!$B$8&gt;0.2*(1000/$AG$5-10),('6-Parameters'!$B$8-0.2*(1000/$AG$5-10))^2/('6-Parameters'!$B$8+0.8*(1000/$AG$5-10)),0))+AH16*MAX(0,IF('6-Parameters'!$B$8&gt;0.2*(1000/$AH$5-10),('6-Parameters'!$B$8-0.2*(1000/$AH$5-10))^2/('6-Parameters'!$B$8+0.8*(1000/$AH$5-10)),0))+AI16*MAX(0,IF('6-Parameters'!$B$8&gt;0.2*(1000/$AI$5-10),('6-Parameters'!$B$8-0.2*(1000/$AI$5-10))^2/('6-Parameters'!$B$8+0.8*(1000/$AI$5-10)),0))+AJ16*MAX(0,IF('6-Parameters'!$B$8&gt;0.2*(1000/$AJ$5-10),('6-Parameters'!$B$8-0.2*(1000/$AJ$5-10))^2/('6-Parameters'!$B$8+0.8*(1000/$AJ$5-10)),0))+AK16*MAX(0,IF('6-Parameters'!$B$8&gt;0.2*(1000/$AK$5-10),('6-Parameters'!$B$8-0.2*(1000/$AK$5-10))^2/('6-Parameters'!$B$8+0.8*(1000/$AK$5-10)),0))+AL16*MAX(0,IF('6-Parameters'!$B$8&gt;0.2*(1000/$AL$5-10),('6-Parameters'!$B$8-0.2*(1000/$AL$5-10))^2/('6-Parameters'!$B$8+0.8*(1000/$AL$5-10)),0))+AM16*MAX(0,IF('6-Parameters'!$B$8&gt;0.2*(1000/$AM$5-10),('6-Parameters'!$B$8-0.2*(1000/$AM$5-10))^2/('6-Parameters'!$B$8+0.8*(1000/$AM$5-10)),0))+AN16*MAX(0,IF('6-Parameters'!$B$8&gt;0.2*(1000/$AN$5-10),('6-Parameters'!$B$8-0.2*(1000/$AN$5-10))^2/('6-Parameters'!$B$8+0.8*(1000/$AN$5-10)),0)))/12,0)</f>
        <v/>
      </c>
    </row>
    <row r="17">
      <c r="A17" s="32" t="n"/>
      <c r="B17" s="32" t="n"/>
      <c r="C17" s="32" t="n"/>
      <c r="D17" s="32" t="n"/>
      <c r="E17" s="32" t="n"/>
      <c r="F17" s="32" t="n"/>
      <c r="G17" s="32" t="n"/>
      <c r="H17" s="32" t="n"/>
      <c r="I17" s="12">
        <f>IFERROR((D17+E17+F17+G17+H17)*43560,0)</f>
        <v/>
      </c>
      <c r="J17" s="32" t="n"/>
      <c r="K17" s="32" t="n"/>
      <c r="L17" s="32" t="n"/>
      <c r="M17" s="12">
        <f>IFERROR((J17+K17+L17)*43560,0)</f>
        <v/>
      </c>
      <c r="N17" s="12">
        <f>IFERROR(I17+M17,0)</f>
        <v/>
      </c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12">
        <f>IFERROR(AO17*'6-Parameters'!$B$63,0)</f>
        <v/>
      </c>
      <c r="AQ17" s="32" t="n"/>
      <c r="AR17" s="12">
        <f>IFERROR(AQ17*'6-Parameters'!$B$64,0)</f>
        <v/>
      </c>
      <c r="AS17" s="32" t="n"/>
      <c r="AT17" s="12">
        <f>IFERROR(AS17*'6-Parameters'!$B$65,0)</f>
        <v/>
      </c>
      <c r="AU17" s="32" t="n"/>
      <c r="AV17" s="12">
        <f>IFERROR(AU17*'6-Parameters'!$B$66,0)</f>
        <v/>
      </c>
      <c r="AW17" s="32" t="n"/>
      <c r="AX17" s="12">
        <f>IFERROR(AW17*'6-Parameters'!$B$67,0)</f>
        <v/>
      </c>
      <c r="AY17" s="32" t="n"/>
      <c r="AZ17" s="12">
        <f>IFERROR(AY17*'6-Parameters'!$B$68,0)</f>
        <v/>
      </c>
      <c r="BA17" s="33">
        <f>IFERROR(AP17+AR17+AT17+AV17+AX17+AZ17,0)</f>
        <v/>
      </c>
      <c r="BB17" s="12">
        <f>IFERROR(IFS(B17="MLD",'6-Parameters'!$B$4,B17="MSI",'6-Parameters'!$B$5,B17="MSI-AWDZ",'6-Parameters'!$B$6,TRUE,""),"")</f>
        <v/>
      </c>
      <c r="BC17" s="34">
        <f>IFERROR(IF((D17+E17+F17+G17+H17)=0,"",(0.95*(D17+E17+H17)+0.25*F17)/(D17+E17+F17+G17+H17)),"")</f>
        <v/>
      </c>
      <c r="BD17" s="12">
        <f>IFERROR(IF(B17="","",BB17/12*(0.95*(D17+E17+H17)+0.25*F17)*43560),"")</f>
        <v/>
      </c>
      <c r="BE17" s="34">
        <f>IFERROR(IF((J17+K17+L17)=0,"",(0.95*J17+0.25*K17)/(J17+K17+L17)),"")</f>
        <v/>
      </c>
      <c r="BF17" s="12">
        <f>IFERROR(IF((J17+K17+L17)=0,"",BB17/12*(0.95*J17+0.25*K17)*43560),"")</f>
        <v/>
      </c>
      <c r="BG17" s="33">
        <f>IFERROR(IF(BD17="","",MAX(0,BD17-BA17)),"")</f>
        <v/>
      </c>
      <c r="BH17" s="12">
        <f>IFERROR((O17*MAX(0,IF('6-Parameters'!$B$8&gt;0.2*(1000/98-10),('6-Parameters'!$B$8-0.2*(1000/98-10))^2/('6-Parameters'!$B$8+0.8*(1000/98-10)),0))+P17*MAX(0,IF('6-Parameters'!$B$8&gt;0.2*(1000/$P$5-10),('6-Parameters'!$B$8-0.2*(1000/$P$5-10))^2/('6-Parameters'!$B$8+0.8*(1000/$P$5-10)),0))+Q17*MAX(0,IF('6-Parameters'!$B$8&gt;0.2*(1000/$Q$5-10),('6-Parameters'!$B$8-0.2*(1000/$Q$5-10))^2/('6-Parameters'!$B$8+0.8*(1000/$Q$5-10)),0))+R17*MAX(0,IF('6-Parameters'!$B$8&gt;0.2*(1000/$R$5-10),('6-Parameters'!$B$8-0.2*(1000/$R$5-10))^2/('6-Parameters'!$B$8+0.8*(1000/$R$5-10)),0))+S17*MAX(0,IF('6-Parameters'!$B$8&gt;0.2*(1000/$S$5-10),('6-Parameters'!$B$8-0.2*(1000/$S$5-10))^2/('6-Parameters'!$B$8+0.8*(1000/$S$5-10)),0))+T17*MAX(0,IF('6-Parameters'!$B$8&gt;0.2*(1000/$T$5-10),('6-Parameters'!$B$8-0.2*(1000/$T$5-10))^2/('6-Parameters'!$B$8+0.8*(1000/$T$5-10)),0))+U17*MAX(0,IF('6-Parameters'!$B$8&gt;0.2*(1000/$U$5-10),('6-Parameters'!$B$8-0.2*(1000/$U$5-10))^2/('6-Parameters'!$B$8+0.8*(1000/$U$5-10)),0))+V17*MAX(0,IF('6-Parameters'!$B$8&gt;0.2*(1000/$V$5-10),('6-Parameters'!$B$8-0.2*(1000/$V$5-10))^2/('6-Parameters'!$B$8+0.8*(1000/$V$5-10)),0))+W17*MAX(0,IF('6-Parameters'!$B$8&gt;0.2*(1000/$W$5-10),('6-Parameters'!$B$8-0.2*(1000/$W$5-10))^2/('6-Parameters'!$B$8+0.8*(1000/$W$5-10)),0))+X17*MAX(0,IF('6-Parameters'!$B$8&gt;0.2*(1000/$X$5-10),('6-Parameters'!$B$8-0.2*(1000/$X$5-10))^2/('6-Parameters'!$B$8+0.8*(1000/$X$5-10)),0))+Y17*MAX(0,IF('6-Parameters'!$B$8&gt;0.2*(1000/$Y$5-10),('6-Parameters'!$B$8-0.2*(1000/$Y$5-10))^2/('6-Parameters'!$B$8+0.8*(1000/$Y$5-10)),0))+Z17*MAX(0,IF('6-Parameters'!$B$8&gt;0.2*(1000/$Z$5-10),('6-Parameters'!$B$8-0.2*(1000/$Z$5-10))^2/('6-Parameters'!$B$8+0.8*(1000/$Z$5-10)),0))+AA17*MAX(0,IF('6-Parameters'!$B$8&gt;0.2*(1000/$AA$5-10),('6-Parameters'!$B$8-0.2*(1000/$AA$5-10))^2/('6-Parameters'!$B$8+0.8*(1000/$AA$5-10)),0)))/12,0)</f>
        <v/>
      </c>
      <c r="BI17" s="12">
        <f>IFERROR((AB17*MAX(0,IF('6-Parameters'!$B$8&gt;0.2*(1000/98-10),('6-Parameters'!$B$8-0.2*(1000/98-10))^2/('6-Parameters'!$B$8+0.8*(1000/98-10)),0))+AC17*MAX(0,IF('6-Parameters'!$B$8&gt;0.2*(1000/$AC$5-10),('6-Parameters'!$B$8-0.2*(1000/$AC$5-10))^2/('6-Parameters'!$B$8+0.8*(1000/$AC$5-10)),0))+AD17*MAX(0,IF('6-Parameters'!$B$8&gt;0.2*(1000/$AD$5-10),('6-Parameters'!$B$8-0.2*(1000/$AD$5-10))^2/('6-Parameters'!$B$8+0.8*(1000/$AD$5-10)),0))+AE17*MAX(0,IF('6-Parameters'!$B$8&gt;0.2*(1000/$AE$5-10),('6-Parameters'!$B$8-0.2*(1000/$AE$5-10))^2/('6-Parameters'!$B$8+0.8*(1000/$AE$5-10)),0))+AF17*MAX(0,IF('6-Parameters'!$B$8&gt;0.2*(1000/$AF$5-10),('6-Parameters'!$B$8-0.2*(1000/$AF$5-10))^2/('6-Parameters'!$B$8+0.8*(1000/$AF$5-10)),0))+AG17*MAX(0,IF('6-Parameters'!$B$8&gt;0.2*(1000/$AG$5-10),('6-Parameters'!$B$8-0.2*(1000/$AG$5-10))^2/('6-Parameters'!$B$8+0.8*(1000/$AG$5-10)),0))+AH17*MAX(0,IF('6-Parameters'!$B$8&gt;0.2*(1000/$AH$5-10),('6-Parameters'!$B$8-0.2*(1000/$AH$5-10))^2/('6-Parameters'!$B$8+0.8*(1000/$AH$5-10)),0))+AI17*MAX(0,IF('6-Parameters'!$B$8&gt;0.2*(1000/$AI$5-10),('6-Parameters'!$B$8-0.2*(1000/$AI$5-10))^2/('6-Parameters'!$B$8+0.8*(1000/$AI$5-10)),0))+AJ17*MAX(0,IF('6-Parameters'!$B$8&gt;0.2*(1000/$AJ$5-10),('6-Parameters'!$B$8-0.2*(1000/$AJ$5-10))^2/('6-Parameters'!$B$8+0.8*(1000/$AJ$5-10)),0))+AK17*MAX(0,IF('6-Parameters'!$B$8&gt;0.2*(1000/$AK$5-10),('6-Parameters'!$B$8-0.2*(1000/$AK$5-10))^2/('6-Parameters'!$B$8+0.8*(1000/$AK$5-10)),0))+AL17*MAX(0,IF('6-Parameters'!$B$8&gt;0.2*(1000/$AL$5-10),('6-Parameters'!$B$8-0.2*(1000/$AL$5-10))^2/('6-Parameters'!$B$8+0.8*(1000/$AL$5-10)),0))+AM17*MAX(0,IF('6-Parameters'!$B$8&gt;0.2*(1000/$AM$5-10),('6-Parameters'!$B$8-0.2*(1000/$AM$5-10))^2/('6-Parameters'!$B$8+0.8*(1000/$AM$5-10)),0))+AN17*MAX(0,IF('6-Parameters'!$B$8&gt;0.2*(1000/$AN$5-10),('6-Parameters'!$B$8-0.2*(1000/$AN$5-10))^2/('6-Parameters'!$B$8+0.8*(1000/$AN$5-10)),0)))/12,0)</f>
        <v/>
      </c>
    </row>
    <row r="18">
      <c r="A18" s="32" t="n"/>
      <c r="B18" s="32" t="n"/>
      <c r="C18" s="32" t="n"/>
      <c r="D18" s="32" t="n"/>
      <c r="E18" s="32" t="n"/>
      <c r="F18" s="32" t="n"/>
      <c r="G18" s="32" t="n"/>
      <c r="H18" s="32" t="n"/>
      <c r="I18" s="12">
        <f>IFERROR((D18+E18+F18+G18+H18)*43560,0)</f>
        <v/>
      </c>
      <c r="J18" s="32" t="n"/>
      <c r="K18" s="32" t="n"/>
      <c r="L18" s="32" t="n"/>
      <c r="M18" s="12">
        <f>IFERROR((J18+K18+L18)*43560,0)</f>
        <v/>
      </c>
      <c r="N18" s="12">
        <f>IFERROR(I18+M18,0)</f>
        <v/>
      </c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12">
        <f>IFERROR(AO18*'6-Parameters'!$B$63,0)</f>
        <v/>
      </c>
      <c r="AQ18" s="32" t="n"/>
      <c r="AR18" s="12">
        <f>IFERROR(AQ18*'6-Parameters'!$B$64,0)</f>
        <v/>
      </c>
      <c r="AS18" s="32" t="n"/>
      <c r="AT18" s="12">
        <f>IFERROR(AS18*'6-Parameters'!$B$65,0)</f>
        <v/>
      </c>
      <c r="AU18" s="32" t="n"/>
      <c r="AV18" s="12">
        <f>IFERROR(AU18*'6-Parameters'!$B$66,0)</f>
        <v/>
      </c>
      <c r="AW18" s="32" t="n"/>
      <c r="AX18" s="12">
        <f>IFERROR(AW18*'6-Parameters'!$B$67,0)</f>
        <v/>
      </c>
      <c r="AY18" s="32" t="n"/>
      <c r="AZ18" s="12">
        <f>IFERROR(AY18*'6-Parameters'!$B$68,0)</f>
        <v/>
      </c>
      <c r="BA18" s="33">
        <f>IFERROR(AP18+AR18+AT18+AV18+AX18+AZ18,0)</f>
        <v/>
      </c>
      <c r="BB18" s="12">
        <f>IFERROR(IFS(B18="MLD",'6-Parameters'!$B$4,B18="MSI",'6-Parameters'!$B$5,B18="MSI-AWDZ",'6-Parameters'!$B$6,TRUE,""),"")</f>
        <v/>
      </c>
      <c r="BC18" s="34">
        <f>IFERROR(IF((D18+E18+F18+G18+H18)=0,"",(0.95*(D18+E18+H18)+0.25*F18)/(D18+E18+F18+G18+H18)),"")</f>
        <v/>
      </c>
      <c r="BD18" s="12">
        <f>IFERROR(IF(B18="","",BB18/12*(0.95*(D18+E18+H18)+0.25*F18)*43560),"")</f>
        <v/>
      </c>
      <c r="BE18" s="34">
        <f>IFERROR(IF((J18+K18+L18)=0,"",(0.95*J18+0.25*K18)/(J18+K18+L18)),"")</f>
        <v/>
      </c>
      <c r="BF18" s="12">
        <f>IFERROR(IF((J18+K18+L18)=0,"",BB18/12*(0.95*J18+0.25*K18)*43560),"")</f>
        <v/>
      </c>
      <c r="BG18" s="33">
        <f>IFERROR(IF(BD18="","",MAX(0,BD18-BA18)),"")</f>
        <v/>
      </c>
      <c r="BH18" s="12">
        <f>IFERROR((O18*MAX(0,IF('6-Parameters'!$B$8&gt;0.2*(1000/98-10),('6-Parameters'!$B$8-0.2*(1000/98-10))^2/('6-Parameters'!$B$8+0.8*(1000/98-10)),0))+P18*MAX(0,IF('6-Parameters'!$B$8&gt;0.2*(1000/$P$5-10),('6-Parameters'!$B$8-0.2*(1000/$P$5-10))^2/('6-Parameters'!$B$8+0.8*(1000/$P$5-10)),0))+Q18*MAX(0,IF('6-Parameters'!$B$8&gt;0.2*(1000/$Q$5-10),('6-Parameters'!$B$8-0.2*(1000/$Q$5-10))^2/('6-Parameters'!$B$8+0.8*(1000/$Q$5-10)),0))+R18*MAX(0,IF('6-Parameters'!$B$8&gt;0.2*(1000/$R$5-10),('6-Parameters'!$B$8-0.2*(1000/$R$5-10))^2/('6-Parameters'!$B$8+0.8*(1000/$R$5-10)),0))+S18*MAX(0,IF('6-Parameters'!$B$8&gt;0.2*(1000/$S$5-10),('6-Parameters'!$B$8-0.2*(1000/$S$5-10))^2/('6-Parameters'!$B$8+0.8*(1000/$S$5-10)),0))+T18*MAX(0,IF('6-Parameters'!$B$8&gt;0.2*(1000/$T$5-10),('6-Parameters'!$B$8-0.2*(1000/$T$5-10))^2/('6-Parameters'!$B$8+0.8*(1000/$T$5-10)),0))+U18*MAX(0,IF('6-Parameters'!$B$8&gt;0.2*(1000/$U$5-10),('6-Parameters'!$B$8-0.2*(1000/$U$5-10))^2/('6-Parameters'!$B$8+0.8*(1000/$U$5-10)),0))+V18*MAX(0,IF('6-Parameters'!$B$8&gt;0.2*(1000/$V$5-10),('6-Parameters'!$B$8-0.2*(1000/$V$5-10))^2/('6-Parameters'!$B$8+0.8*(1000/$V$5-10)),0))+W18*MAX(0,IF('6-Parameters'!$B$8&gt;0.2*(1000/$W$5-10),('6-Parameters'!$B$8-0.2*(1000/$W$5-10))^2/('6-Parameters'!$B$8+0.8*(1000/$W$5-10)),0))+X18*MAX(0,IF('6-Parameters'!$B$8&gt;0.2*(1000/$X$5-10),('6-Parameters'!$B$8-0.2*(1000/$X$5-10))^2/('6-Parameters'!$B$8+0.8*(1000/$X$5-10)),0))+Y18*MAX(0,IF('6-Parameters'!$B$8&gt;0.2*(1000/$Y$5-10),('6-Parameters'!$B$8-0.2*(1000/$Y$5-10))^2/('6-Parameters'!$B$8+0.8*(1000/$Y$5-10)),0))+Z18*MAX(0,IF('6-Parameters'!$B$8&gt;0.2*(1000/$Z$5-10),('6-Parameters'!$B$8-0.2*(1000/$Z$5-10))^2/('6-Parameters'!$B$8+0.8*(1000/$Z$5-10)),0))+AA18*MAX(0,IF('6-Parameters'!$B$8&gt;0.2*(1000/$AA$5-10),('6-Parameters'!$B$8-0.2*(1000/$AA$5-10))^2/('6-Parameters'!$B$8+0.8*(1000/$AA$5-10)),0)))/12,0)</f>
        <v/>
      </c>
      <c r="BI18" s="12">
        <f>IFERROR((AB18*MAX(0,IF('6-Parameters'!$B$8&gt;0.2*(1000/98-10),('6-Parameters'!$B$8-0.2*(1000/98-10))^2/('6-Parameters'!$B$8+0.8*(1000/98-10)),0))+AC18*MAX(0,IF('6-Parameters'!$B$8&gt;0.2*(1000/$AC$5-10),('6-Parameters'!$B$8-0.2*(1000/$AC$5-10))^2/('6-Parameters'!$B$8+0.8*(1000/$AC$5-10)),0))+AD18*MAX(0,IF('6-Parameters'!$B$8&gt;0.2*(1000/$AD$5-10),('6-Parameters'!$B$8-0.2*(1000/$AD$5-10))^2/('6-Parameters'!$B$8+0.8*(1000/$AD$5-10)),0))+AE18*MAX(0,IF('6-Parameters'!$B$8&gt;0.2*(1000/$AE$5-10),('6-Parameters'!$B$8-0.2*(1000/$AE$5-10))^2/('6-Parameters'!$B$8+0.8*(1000/$AE$5-10)),0))+AF18*MAX(0,IF('6-Parameters'!$B$8&gt;0.2*(1000/$AF$5-10),('6-Parameters'!$B$8-0.2*(1000/$AF$5-10))^2/('6-Parameters'!$B$8+0.8*(1000/$AF$5-10)),0))+AG18*MAX(0,IF('6-Parameters'!$B$8&gt;0.2*(1000/$AG$5-10),('6-Parameters'!$B$8-0.2*(1000/$AG$5-10))^2/('6-Parameters'!$B$8+0.8*(1000/$AG$5-10)),0))+AH18*MAX(0,IF('6-Parameters'!$B$8&gt;0.2*(1000/$AH$5-10),('6-Parameters'!$B$8-0.2*(1000/$AH$5-10))^2/('6-Parameters'!$B$8+0.8*(1000/$AH$5-10)),0))+AI18*MAX(0,IF('6-Parameters'!$B$8&gt;0.2*(1000/$AI$5-10),('6-Parameters'!$B$8-0.2*(1000/$AI$5-10))^2/('6-Parameters'!$B$8+0.8*(1000/$AI$5-10)),0))+AJ18*MAX(0,IF('6-Parameters'!$B$8&gt;0.2*(1000/$AJ$5-10),('6-Parameters'!$B$8-0.2*(1000/$AJ$5-10))^2/('6-Parameters'!$B$8+0.8*(1000/$AJ$5-10)),0))+AK18*MAX(0,IF('6-Parameters'!$B$8&gt;0.2*(1000/$AK$5-10),('6-Parameters'!$B$8-0.2*(1000/$AK$5-10))^2/('6-Parameters'!$B$8+0.8*(1000/$AK$5-10)),0))+AL18*MAX(0,IF('6-Parameters'!$B$8&gt;0.2*(1000/$AL$5-10),('6-Parameters'!$B$8-0.2*(1000/$AL$5-10))^2/('6-Parameters'!$B$8+0.8*(1000/$AL$5-10)),0))+AM18*MAX(0,IF('6-Parameters'!$B$8&gt;0.2*(1000/$AM$5-10),('6-Parameters'!$B$8-0.2*(1000/$AM$5-10))^2/('6-Parameters'!$B$8+0.8*(1000/$AM$5-10)),0))+AN18*MAX(0,IF('6-Parameters'!$B$8&gt;0.2*(1000/$AN$5-10),('6-Parameters'!$B$8-0.2*(1000/$AN$5-10))^2/('6-Parameters'!$B$8+0.8*(1000/$AN$5-10)),0)))/12,0)</f>
        <v/>
      </c>
    </row>
    <row r="19">
      <c r="A19" s="32" t="n"/>
      <c r="B19" s="32" t="n"/>
      <c r="C19" s="32" t="n"/>
      <c r="D19" s="32" t="n"/>
      <c r="E19" s="32" t="n"/>
      <c r="F19" s="32" t="n"/>
      <c r="G19" s="32" t="n"/>
      <c r="H19" s="32" t="n"/>
      <c r="I19" s="12">
        <f>IFERROR((D19+E19+F19+G19+H19)*43560,0)</f>
        <v/>
      </c>
      <c r="J19" s="32" t="n"/>
      <c r="K19" s="32" t="n"/>
      <c r="L19" s="32" t="n"/>
      <c r="M19" s="12">
        <f>IFERROR((J19+K19+L19)*43560,0)</f>
        <v/>
      </c>
      <c r="N19" s="12">
        <f>IFERROR(I19+M19,0)</f>
        <v/>
      </c>
      <c r="O19" s="32" t="n"/>
      <c r="P19" s="32" t="n"/>
      <c r="Q19" s="32" t="n"/>
      <c r="R19" s="32" t="n"/>
      <c r="S19" s="32" t="n"/>
      <c r="T19" s="32" t="n"/>
      <c r="U19" s="32" t="n"/>
      <c r="V19" s="32" t="n"/>
      <c r="W19" s="32" t="n"/>
      <c r="X19" s="32" t="n"/>
      <c r="Y19" s="32" t="n"/>
      <c r="Z19" s="32" t="n"/>
      <c r="AA19" s="32" t="n"/>
      <c r="AB19" s="32" t="n"/>
      <c r="AC19" s="32" t="n"/>
      <c r="AD19" s="32" t="n"/>
      <c r="AE19" s="32" t="n"/>
      <c r="AF19" s="32" t="n"/>
      <c r="AG19" s="32" t="n"/>
      <c r="AH19" s="32" t="n"/>
      <c r="AI19" s="32" t="n"/>
      <c r="AJ19" s="32" t="n"/>
      <c r="AK19" s="32" t="n"/>
      <c r="AL19" s="32" t="n"/>
      <c r="AM19" s="32" t="n"/>
      <c r="AN19" s="32" t="n"/>
      <c r="AO19" s="32" t="n"/>
      <c r="AP19" s="12">
        <f>IFERROR(AO19*'6-Parameters'!$B$63,0)</f>
        <v/>
      </c>
      <c r="AQ19" s="32" t="n"/>
      <c r="AR19" s="12">
        <f>IFERROR(AQ19*'6-Parameters'!$B$64,0)</f>
        <v/>
      </c>
      <c r="AS19" s="32" t="n"/>
      <c r="AT19" s="12">
        <f>IFERROR(AS19*'6-Parameters'!$B$65,0)</f>
        <v/>
      </c>
      <c r="AU19" s="32" t="n"/>
      <c r="AV19" s="12">
        <f>IFERROR(AU19*'6-Parameters'!$B$66,0)</f>
        <v/>
      </c>
      <c r="AW19" s="32" t="n"/>
      <c r="AX19" s="12">
        <f>IFERROR(AW19*'6-Parameters'!$B$67,0)</f>
        <v/>
      </c>
      <c r="AY19" s="32" t="n"/>
      <c r="AZ19" s="12">
        <f>IFERROR(AY19*'6-Parameters'!$B$68,0)</f>
        <v/>
      </c>
      <c r="BA19" s="33">
        <f>IFERROR(AP19+AR19+AT19+AV19+AX19+AZ19,0)</f>
        <v/>
      </c>
      <c r="BB19" s="12">
        <f>IFERROR(IFS(B19="MLD",'6-Parameters'!$B$4,B19="MSI",'6-Parameters'!$B$5,B19="MSI-AWDZ",'6-Parameters'!$B$6,TRUE,""),"")</f>
        <v/>
      </c>
      <c r="BC19" s="34">
        <f>IFERROR(IF((D19+E19+F19+G19+H19)=0,"",(0.95*(D19+E19+H19)+0.25*F19)/(D19+E19+F19+G19+H19)),"")</f>
        <v/>
      </c>
      <c r="BD19" s="12">
        <f>IFERROR(IF(B19="","",BB19/12*(0.95*(D19+E19+H19)+0.25*F19)*43560),"")</f>
        <v/>
      </c>
      <c r="BE19" s="34">
        <f>IFERROR(IF((J19+K19+L19)=0,"",(0.95*J19+0.25*K19)/(J19+K19+L19)),"")</f>
        <v/>
      </c>
      <c r="BF19" s="12">
        <f>IFERROR(IF((J19+K19+L19)=0,"",BB19/12*(0.95*J19+0.25*K19)*43560),"")</f>
        <v/>
      </c>
      <c r="BG19" s="33">
        <f>IFERROR(IF(BD19="","",MAX(0,BD19-BA19)),"")</f>
        <v/>
      </c>
      <c r="BH19" s="12">
        <f>IFERROR((O19*MAX(0,IF('6-Parameters'!$B$8&gt;0.2*(1000/98-10),('6-Parameters'!$B$8-0.2*(1000/98-10))^2/('6-Parameters'!$B$8+0.8*(1000/98-10)),0))+P19*MAX(0,IF('6-Parameters'!$B$8&gt;0.2*(1000/$P$5-10),('6-Parameters'!$B$8-0.2*(1000/$P$5-10))^2/('6-Parameters'!$B$8+0.8*(1000/$P$5-10)),0))+Q19*MAX(0,IF('6-Parameters'!$B$8&gt;0.2*(1000/$Q$5-10),('6-Parameters'!$B$8-0.2*(1000/$Q$5-10))^2/('6-Parameters'!$B$8+0.8*(1000/$Q$5-10)),0))+R19*MAX(0,IF('6-Parameters'!$B$8&gt;0.2*(1000/$R$5-10),('6-Parameters'!$B$8-0.2*(1000/$R$5-10))^2/('6-Parameters'!$B$8+0.8*(1000/$R$5-10)),0))+S19*MAX(0,IF('6-Parameters'!$B$8&gt;0.2*(1000/$S$5-10),('6-Parameters'!$B$8-0.2*(1000/$S$5-10))^2/('6-Parameters'!$B$8+0.8*(1000/$S$5-10)),0))+T19*MAX(0,IF('6-Parameters'!$B$8&gt;0.2*(1000/$T$5-10),('6-Parameters'!$B$8-0.2*(1000/$T$5-10))^2/('6-Parameters'!$B$8+0.8*(1000/$T$5-10)),0))+U19*MAX(0,IF('6-Parameters'!$B$8&gt;0.2*(1000/$U$5-10),('6-Parameters'!$B$8-0.2*(1000/$U$5-10))^2/('6-Parameters'!$B$8+0.8*(1000/$U$5-10)),0))+V19*MAX(0,IF('6-Parameters'!$B$8&gt;0.2*(1000/$V$5-10),('6-Parameters'!$B$8-0.2*(1000/$V$5-10))^2/('6-Parameters'!$B$8+0.8*(1000/$V$5-10)),0))+W19*MAX(0,IF('6-Parameters'!$B$8&gt;0.2*(1000/$W$5-10),('6-Parameters'!$B$8-0.2*(1000/$W$5-10))^2/('6-Parameters'!$B$8+0.8*(1000/$W$5-10)),0))+X19*MAX(0,IF('6-Parameters'!$B$8&gt;0.2*(1000/$X$5-10),('6-Parameters'!$B$8-0.2*(1000/$X$5-10))^2/('6-Parameters'!$B$8+0.8*(1000/$X$5-10)),0))+Y19*MAX(0,IF('6-Parameters'!$B$8&gt;0.2*(1000/$Y$5-10),('6-Parameters'!$B$8-0.2*(1000/$Y$5-10))^2/('6-Parameters'!$B$8+0.8*(1000/$Y$5-10)),0))+Z19*MAX(0,IF('6-Parameters'!$B$8&gt;0.2*(1000/$Z$5-10),('6-Parameters'!$B$8-0.2*(1000/$Z$5-10))^2/('6-Parameters'!$B$8+0.8*(1000/$Z$5-10)),0))+AA19*MAX(0,IF('6-Parameters'!$B$8&gt;0.2*(1000/$AA$5-10),('6-Parameters'!$B$8-0.2*(1000/$AA$5-10))^2/('6-Parameters'!$B$8+0.8*(1000/$AA$5-10)),0)))/12,0)</f>
        <v/>
      </c>
      <c r="BI19" s="12">
        <f>IFERROR((AB19*MAX(0,IF('6-Parameters'!$B$8&gt;0.2*(1000/98-10),('6-Parameters'!$B$8-0.2*(1000/98-10))^2/('6-Parameters'!$B$8+0.8*(1000/98-10)),0))+AC19*MAX(0,IF('6-Parameters'!$B$8&gt;0.2*(1000/$AC$5-10),('6-Parameters'!$B$8-0.2*(1000/$AC$5-10))^2/('6-Parameters'!$B$8+0.8*(1000/$AC$5-10)),0))+AD19*MAX(0,IF('6-Parameters'!$B$8&gt;0.2*(1000/$AD$5-10),('6-Parameters'!$B$8-0.2*(1000/$AD$5-10))^2/('6-Parameters'!$B$8+0.8*(1000/$AD$5-10)),0))+AE19*MAX(0,IF('6-Parameters'!$B$8&gt;0.2*(1000/$AE$5-10),('6-Parameters'!$B$8-0.2*(1000/$AE$5-10))^2/('6-Parameters'!$B$8+0.8*(1000/$AE$5-10)),0))+AF19*MAX(0,IF('6-Parameters'!$B$8&gt;0.2*(1000/$AF$5-10),('6-Parameters'!$B$8-0.2*(1000/$AF$5-10))^2/('6-Parameters'!$B$8+0.8*(1000/$AF$5-10)),0))+AG19*MAX(0,IF('6-Parameters'!$B$8&gt;0.2*(1000/$AG$5-10),('6-Parameters'!$B$8-0.2*(1000/$AG$5-10))^2/('6-Parameters'!$B$8+0.8*(1000/$AG$5-10)),0))+AH19*MAX(0,IF('6-Parameters'!$B$8&gt;0.2*(1000/$AH$5-10),('6-Parameters'!$B$8-0.2*(1000/$AH$5-10))^2/('6-Parameters'!$B$8+0.8*(1000/$AH$5-10)),0))+AI19*MAX(0,IF('6-Parameters'!$B$8&gt;0.2*(1000/$AI$5-10),('6-Parameters'!$B$8-0.2*(1000/$AI$5-10))^2/('6-Parameters'!$B$8+0.8*(1000/$AI$5-10)),0))+AJ19*MAX(0,IF('6-Parameters'!$B$8&gt;0.2*(1000/$AJ$5-10),('6-Parameters'!$B$8-0.2*(1000/$AJ$5-10))^2/('6-Parameters'!$B$8+0.8*(1000/$AJ$5-10)),0))+AK19*MAX(0,IF('6-Parameters'!$B$8&gt;0.2*(1000/$AK$5-10),('6-Parameters'!$B$8-0.2*(1000/$AK$5-10))^2/('6-Parameters'!$B$8+0.8*(1000/$AK$5-10)),0))+AL19*MAX(0,IF('6-Parameters'!$B$8&gt;0.2*(1000/$AL$5-10),('6-Parameters'!$B$8-0.2*(1000/$AL$5-10))^2/('6-Parameters'!$B$8+0.8*(1000/$AL$5-10)),0))+AM19*MAX(0,IF('6-Parameters'!$B$8&gt;0.2*(1000/$AM$5-10),('6-Parameters'!$B$8-0.2*(1000/$AM$5-10))^2/('6-Parameters'!$B$8+0.8*(1000/$AM$5-10)),0))+AN19*MAX(0,IF('6-Parameters'!$B$8&gt;0.2*(1000/$AN$5-10),('6-Parameters'!$B$8-0.2*(1000/$AN$5-10))^2/('6-Parameters'!$B$8+0.8*(1000/$AN$5-10)),0)))/12,0)</f>
        <v/>
      </c>
    </row>
    <row r="20">
      <c r="A20" s="32" t="n"/>
      <c r="B20" s="32" t="n"/>
      <c r="C20" s="32" t="n"/>
      <c r="D20" s="32" t="n"/>
      <c r="E20" s="32" t="n"/>
      <c r="F20" s="32" t="n"/>
      <c r="G20" s="32" t="n"/>
      <c r="H20" s="32" t="n"/>
      <c r="I20" s="12">
        <f>IFERROR((D20+E20+F20+G20+H20)*43560,0)</f>
        <v/>
      </c>
      <c r="J20" s="32" t="n"/>
      <c r="K20" s="32" t="n"/>
      <c r="L20" s="32" t="n"/>
      <c r="M20" s="12">
        <f>IFERROR((J20+K20+L20)*43560,0)</f>
        <v/>
      </c>
      <c r="N20" s="12">
        <f>IFERROR(I20+M20,0)</f>
        <v/>
      </c>
      <c r="O20" s="32" t="n"/>
      <c r="P20" s="32" t="n"/>
      <c r="Q20" s="32" t="n"/>
      <c r="R20" s="32" t="n"/>
      <c r="S20" s="32" t="n"/>
      <c r="T20" s="32" t="n"/>
      <c r="U20" s="32" t="n"/>
      <c r="V20" s="32" t="n"/>
      <c r="W20" s="32" t="n"/>
      <c r="X20" s="32" t="n"/>
      <c r="Y20" s="32" t="n"/>
      <c r="Z20" s="32" t="n"/>
      <c r="AA20" s="32" t="n"/>
      <c r="AB20" s="32" t="n"/>
      <c r="AC20" s="32" t="n"/>
      <c r="AD20" s="32" t="n"/>
      <c r="AE20" s="32" t="n"/>
      <c r="AF20" s="32" t="n"/>
      <c r="AG20" s="32" t="n"/>
      <c r="AH20" s="32" t="n"/>
      <c r="AI20" s="32" t="n"/>
      <c r="AJ20" s="32" t="n"/>
      <c r="AK20" s="32" t="n"/>
      <c r="AL20" s="32" t="n"/>
      <c r="AM20" s="32" t="n"/>
      <c r="AN20" s="32" t="n"/>
      <c r="AO20" s="32" t="n"/>
      <c r="AP20" s="12">
        <f>IFERROR(AO20*'6-Parameters'!$B$63,0)</f>
        <v/>
      </c>
      <c r="AQ20" s="32" t="n"/>
      <c r="AR20" s="12">
        <f>IFERROR(AQ20*'6-Parameters'!$B$64,0)</f>
        <v/>
      </c>
      <c r="AS20" s="32" t="n"/>
      <c r="AT20" s="12">
        <f>IFERROR(AS20*'6-Parameters'!$B$65,0)</f>
        <v/>
      </c>
      <c r="AU20" s="32" t="n"/>
      <c r="AV20" s="12">
        <f>IFERROR(AU20*'6-Parameters'!$B$66,0)</f>
        <v/>
      </c>
      <c r="AW20" s="32" t="n"/>
      <c r="AX20" s="12">
        <f>IFERROR(AW20*'6-Parameters'!$B$67,0)</f>
        <v/>
      </c>
      <c r="AY20" s="32" t="n"/>
      <c r="AZ20" s="12">
        <f>IFERROR(AY20*'6-Parameters'!$B$68,0)</f>
        <v/>
      </c>
      <c r="BA20" s="33">
        <f>IFERROR(AP20+AR20+AT20+AV20+AX20+AZ20,0)</f>
        <v/>
      </c>
      <c r="BB20" s="12">
        <f>IFERROR(IFS(B20="MLD",'6-Parameters'!$B$4,B20="MSI",'6-Parameters'!$B$5,B20="MSI-AWDZ",'6-Parameters'!$B$6,TRUE,""),"")</f>
        <v/>
      </c>
      <c r="BC20" s="34">
        <f>IFERROR(IF((D20+E20+F20+G20+H20)=0,"",(0.95*(D20+E20+H20)+0.25*F20)/(D20+E20+F20+G20+H20)),"")</f>
        <v/>
      </c>
      <c r="BD20" s="12">
        <f>IFERROR(IF(B20="","",BB20/12*(0.95*(D20+E20+H20)+0.25*F20)*43560),"")</f>
        <v/>
      </c>
      <c r="BE20" s="34">
        <f>IFERROR(IF((J20+K20+L20)=0,"",(0.95*J20+0.25*K20)/(J20+K20+L20)),"")</f>
        <v/>
      </c>
      <c r="BF20" s="12">
        <f>IFERROR(IF((J20+K20+L20)=0,"",BB20/12*(0.95*J20+0.25*K20)*43560),"")</f>
        <v/>
      </c>
      <c r="BG20" s="33">
        <f>IFERROR(IF(BD20="","",MAX(0,BD20-BA20)),"")</f>
        <v/>
      </c>
      <c r="BH20" s="12">
        <f>IFERROR((O20*MAX(0,IF('6-Parameters'!$B$8&gt;0.2*(1000/98-10),('6-Parameters'!$B$8-0.2*(1000/98-10))^2/('6-Parameters'!$B$8+0.8*(1000/98-10)),0))+P20*MAX(0,IF('6-Parameters'!$B$8&gt;0.2*(1000/$P$5-10),('6-Parameters'!$B$8-0.2*(1000/$P$5-10))^2/('6-Parameters'!$B$8+0.8*(1000/$P$5-10)),0))+Q20*MAX(0,IF('6-Parameters'!$B$8&gt;0.2*(1000/$Q$5-10),('6-Parameters'!$B$8-0.2*(1000/$Q$5-10))^2/('6-Parameters'!$B$8+0.8*(1000/$Q$5-10)),0))+R20*MAX(0,IF('6-Parameters'!$B$8&gt;0.2*(1000/$R$5-10),('6-Parameters'!$B$8-0.2*(1000/$R$5-10))^2/('6-Parameters'!$B$8+0.8*(1000/$R$5-10)),0))+S20*MAX(0,IF('6-Parameters'!$B$8&gt;0.2*(1000/$S$5-10),('6-Parameters'!$B$8-0.2*(1000/$S$5-10))^2/('6-Parameters'!$B$8+0.8*(1000/$S$5-10)),0))+T20*MAX(0,IF('6-Parameters'!$B$8&gt;0.2*(1000/$T$5-10),('6-Parameters'!$B$8-0.2*(1000/$T$5-10))^2/('6-Parameters'!$B$8+0.8*(1000/$T$5-10)),0))+U20*MAX(0,IF('6-Parameters'!$B$8&gt;0.2*(1000/$U$5-10),('6-Parameters'!$B$8-0.2*(1000/$U$5-10))^2/('6-Parameters'!$B$8+0.8*(1000/$U$5-10)),0))+V20*MAX(0,IF('6-Parameters'!$B$8&gt;0.2*(1000/$V$5-10),('6-Parameters'!$B$8-0.2*(1000/$V$5-10))^2/('6-Parameters'!$B$8+0.8*(1000/$V$5-10)),0))+W20*MAX(0,IF('6-Parameters'!$B$8&gt;0.2*(1000/$W$5-10),('6-Parameters'!$B$8-0.2*(1000/$W$5-10))^2/('6-Parameters'!$B$8+0.8*(1000/$W$5-10)),0))+X20*MAX(0,IF('6-Parameters'!$B$8&gt;0.2*(1000/$X$5-10),('6-Parameters'!$B$8-0.2*(1000/$X$5-10))^2/('6-Parameters'!$B$8+0.8*(1000/$X$5-10)),0))+Y20*MAX(0,IF('6-Parameters'!$B$8&gt;0.2*(1000/$Y$5-10),('6-Parameters'!$B$8-0.2*(1000/$Y$5-10))^2/('6-Parameters'!$B$8+0.8*(1000/$Y$5-10)),0))+Z20*MAX(0,IF('6-Parameters'!$B$8&gt;0.2*(1000/$Z$5-10),('6-Parameters'!$B$8-0.2*(1000/$Z$5-10))^2/('6-Parameters'!$B$8+0.8*(1000/$Z$5-10)),0))+AA20*MAX(0,IF('6-Parameters'!$B$8&gt;0.2*(1000/$AA$5-10),('6-Parameters'!$B$8-0.2*(1000/$AA$5-10))^2/('6-Parameters'!$B$8+0.8*(1000/$AA$5-10)),0)))/12,0)</f>
        <v/>
      </c>
      <c r="BI20" s="12">
        <f>IFERROR((AB20*MAX(0,IF('6-Parameters'!$B$8&gt;0.2*(1000/98-10),('6-Parameters'!$B$8-0.2*(1000/98-10))^2/('6-Parameters'!$B$8+0.8*(1000/98-10)),0))+AC20*MAX(0,IF('6-Parameters'!$B$8&gt;0.2*(1000/$AC$5-10),('6-Parameters'!$B$8-0.2*(1000/$AC$5-10))^2/('6-Parameters'!$B$8+0.8*(1000/$AC$5-10)),0))+AD20*MAX(0,IF('6-Parameters'!$B$8&gt;0.2*(1000/$AD$5-10),('6-Parameters'!$B$8-0.2*(1000/$AD$5-10))^2/('6-Parameters'!$B$8+0.8*(1000/$AD$5-10)),0))+AE20*MAX(0,IF('6-Parameters'!$B$8&gt;0.2*(1000/$AE$5-10),('6-Parameters'!$B$8-0.2*(1000/$AE$5-10))^2/('6-Parameters'!$B$8+0.8*(1000/$AE$5-10)),0))+AF20*MAX(0,IF('6-Parameters'!$B$8&gt;0.2*(1000/$AF$5-10),('6-Parameters'!$B$8-0.2*(1000/$AF$5-10))^2/('6-Parameters'!$B$8+0.8*(1000/$AF$5-10)),0))+AG20*MAX(0,IF('6-Parameters'!$B$8&gt;0.2*(1000/$AG$5-10),('6-Parameters'!$B$8-0.2*(1000/$AG$5-10))^2/('6-Parameters'!$B$8+0.8*(1000/$AG$5-10)),0))+AH20*MAX(0,IF('6-Parameters'!$B$8&gt;0.2*(1000/$AH$5-10),('6-Parameters'!$B$8-0.2*(1000/$AH$5-10))^2/('6-Parameters'!$B$8+0.8*(1000/$AH$5-10)),0))+AI20*MAX(0,IF('6-Parameters'!$B$8&gt;0.2*(1000/$AI$5-10),('6-Parameters'!$B$8-0.2*(1000/$AI$5-10))^2/('6-Parameters'!$B$8+0.8*(1000/$AI$5-10)),0))+AJ20*MAX(0,IF('6-Parameters'!$B$8&gt;0.2*(1000/$AJ$5-10),('6-Parameters'!$B$8-0.2*(1000/$AJ$5-10))^2/('6-Parameters'!$B$8+0.8*(1000/$AJ$5-10)),0))+AK20*MAX(0,IF('6-Parameters'!$B$8&gt;0.2*(1000/$AK$5-10),('6-Parameters'!$B$8-0.2*(1000/$AK$5-10))^2/('6-Parameters'!$B$8+0.8*(1000/$AK$5-10)),0))+AL20*MAX(0,IF('6-Parameters'!$B$8&gt;0.2*(1000/$AL$5-10),('6-Parameters'!$B$8-0.2*(1000/$AL$5-10))^2/('6-Parameters'!$B$8+0.8*(1000/$AL$5-10)),0))+AM20*MAX(0,IF('6-Parameters'!$B$8&gt;0.2*(1000/$AM$5-10),('6-Parameters'!$B$8-0.2*(1000/$AM$5-10))^2/('6-Parameters'!$B$8+0.8*(1000/$AM$5-10)),0))+AN20*MAX(0,IF('6-Parameters'!$B$8&gt;0.2*(1000/$AN$5-10),('6-Parameters'!$B$8-0.2*(1000/$AN$5-10))^2/('6-Parameters'!$B$8+0.8*(1000/$AN$5-10)),0)))/12,0)</f>
        <v/>
      </c>
    </row>
    <row r="21">
      <c r="A21" s="9" t="inlineStr">
        <is>
          <t>SITE TOTALS</t>
        </is>
      </c>
      <c r="B21" s="10" t="n"/>
      <c r="C21" s="11" t="n"/>
      <c r="D21" s="3">
        <f>SUM(D6:D20)</f>
        <v/>
      </c>
      <c r="E21" s="3">
        <f>SUM(E6:E20)</f>
        <v/>
      </c>
      <c r="F21" s="3">
        <f>SUM(F6:F20)</f>
        <v/>
      </c>
      <c r="G21" s="3">
        <f>SUM(G6:G20)</f>
        <v/>
      </c>
      <c r="H21" s="3">
        <f>SUM(H6:H20)</f>
        <v/>
      </c>
      <c r="I21" s="3">
        <f>SUM(I6:I20)</f>
        <v/>
      </c>
      <c r="J21" s="9">
        <f>SUM(J6:J20)</f>
        <v/>
      </c>
      <c r="K21" s="9">
        <f>SUM(K6:K20)</f>
        <v/>
      </c>
      <c r="L21" s="9">
        <f>SUM(L6:L20)</f>
        <v/>
      </c>
      <c r="M21" s="9">
        <f>SUM(M6:M20)</f>
        <v/>
      </c>
      <c r="N21" s="9">
        <f>SUM(N6:N20)</f>
        <v/>
      </c>
      <c r="O21" s="18">
        <f>SUM(O6:O20)</f>
        <v/>
      </c>
      <c r="P21" s="18">
        <f>SUM(P6:P20)</f>
        <v/>
      </c>
      <c r="Q21" s="18">
        <f>SUM(Q6:Q20)</f>
        <v/>
      </c>
      <c r="R21" s="18">
        <f>SUM(R6:R20)</f>
        <v/>
      </c>
      <c r="S21" s="18">
        <f>SUM(S6:S20)</f>
        <v/>
      </c>
      <c r="T21" s="18">
        <f>SUM(T6:T20)</f>
        <v/>
      </c>
      <c r="U21" s="18">
        <f>SUM(U6:U20)</f>
        <v/>
      </c>
      <c r="V21" s="18">
        <f>SUM(V6:V20)</f>
        <v/>
      </c>
      <c r="W21" s="18">
        <f>SUM(W6:W20)</f>
        <v/>
      </c>
      <c r="X21" s="18">
        <f>SUM(X6:X20)</f>
        <v/>
      </c>
      <c r="Y21" s="18">
        <f>SUM(Y6:Y20)</f>
        <v/>
      </c>
      <c r="Z21" s="18">
        <f>SUM(Z6:Z20)</f>
        <v/>
      </c>
      <c r="AA21" s="18">
        <f>SUM(AA6:AA20)</f>
        <v/>
      </c>
      <c r="AB21" s="18">
        <f>SUM(AB6:AB20)</f>
        <v/>
      </c>
      <c r="AC21" s="18">
        <f>SUM(AC6:AC20)</f>
        <v/>
      </c>
      <c r="AD21" s="18">
        <f>SUM(AD6:AD20)</f>
        <v/>
      </c>
      <c r="AE21" s="18">
        <f>SUM(AE6:AE20)</f>
        <v/>
      </c>
      <c r="AF21" s="18">
        <f>SUM(AF6:AF20)</f>
        <v/>
      </c>
      <c r="AG21" s="18">
        <f>SUM(AG6:AG20)</f>
        <v/>
      </c>
      <c r="AH21" s="18">
        <f>SUM(AH6:AH20)</f>
        <v/>
      </c>
      <c r="AI21" s="18">
        <f>SUM(AI6:AI20)</f>
        <v/>
      </c>
      <c r="AJ21" s="18">
        <f>SUM(AJ6:AJ20)</f>
        <v/>
      </c>
      <c r="AK21" s="18">
        <f>SUM(AK6:AK20)</f>
        <v/>
      </c>
      <c r="AL21" s="18">
        <f>SUM(AL6:AL20)</f>
        <v/>
      </c>
      <c r="AM21" s="18">
        <f>SUM(AM6:AM20)</f>
        <v/>
      </c>
      <c r="AN21" s="18">
        <f>SUM(AN6:AN20)</f>
        <v/>
      </c>
      <c r="AO21" s="15">
        <f>SUM(AO6:AO20)</f>
        <v/>
      </c>
      <c r="AP21" s="15">
        <f>SUM(AP6:AP20)</f>
        <v/>
      </c>
      <c r="AQ21" s="15">
        <f>SUM(AQ6:AQ20)</f>
        <v/>
      </c>
      <c r="AR21" s="15">
        <f>SUM(AR6:AR20)</f>
        <v/>
      </c>
      <c r="AS21" s="15">
        <f>SUM(AS6:AS20)</f>
        <v/>
      </c>
      <c r="AT21" s="15">
        <f>SUM(AT6:AT20)</f>
        <v/>
      </c>
      <c r="AU21" s="15">
        <f>SUM(AU6:AU20)</f>
        <v/>
      </c>
      <c r="AV21" s="15">
        <f>SUM(AV6:AV20)</f>
        <v/>
      </c>
      <c r="AW21" s="15">
        <f>SUM(AW6:AW20)</f>
        <v/>
      </c>
      <c r="AX21" s="15">
        <f>SUM(AX6:AX20)</f>
        <v/>
      </c>
      <c r="AY21" s="15">
        <f>SUM(AY6:AY20)</f>
        <v/>
      </c>
      <c r="AZ21" s="15">
        <f>SUM(AZ6:AZ20)</f>
        <v/>
      </c>
      <c r="BA21" s="15">
        <f>SUM(BA6:BA20)</f>
        <v/>
      </c>
      <c r="BD21" s="3">
        <f>SUM(BD6:BD20)</f>
        <v/>
      </c>
      <c r="BF21" s="3">
        <f>SUM(BF6:BF20)</f>
        <v/>
      </c>
      <c r="BG21" s="3">
        <f>SUM(BG6:BG20)</f>
        <v/>
      </c>
      <c r="BH21" s="18">
        <f>SUM(BH6:BH20)</f>
        <v/>
      </c>
      <c r="BI21" s="18">
        <f>SUM(BI6:BI20)</f>
        <v/>
      </c>
    </row>
    <row r="22" ht="14" customHeight="1">
      <c r="A22" s="21" t="inlineStr">
        <is>
          <t>Site DA (SDA) = all land draining to a common outfall. May include areas WITHIN the LOD (regulated disturbed area) and OUTSIDE the LOD (offsite contributing area).</t>
        </is>
      </c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19" t="n"/>
      <c r="AS22" s="19" t="n"/>
      <c r="AT22" s="19" t="n"/>
      <c r="AU22" s="19" t="n"/>
      <c r="AV22" s="19" t="n"/>
      <c r="AW22" s="19" t="n"/>
      <c r="AX22" s="19" t="n"/>
      <c r="AY22" s="19" t="n"/>
      <c r="AZ22" s="19" t="n"/>
      <c r="BA22" s="19" t="n"/>
      <c r="BB22" s="19" t="n"/>
      <c r="BC22" s="19" t="n"/>
      <c r="BD22" s="19" t="n"/>
      <c r="BE22" s="19" t="n"/>
      <c r="BF22" s="19" t="n"/>
      <c r="BG22" s="19" t="n"/>
      <c r="BH22" s="19" t="n"/>
      <c r="BI22" s="19" t="n"/>
    </row>
    <row r="23" ht="14" customHeight="1">
      <c r="A23" s="21" t="inlineStr">
        <is>
          <t>DOEE SWRv is calculated on WITHIN LOD area only (the regulated area). Outside LOD SWRv (col BF) is informational — for project BMP sizing context.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9" t="n"/>
      <c r="AX23" s="19" t="n"/>
      <c r="AY23" s="19" t="n"/>
      <c r="AZ23" s="19" t="n"/>
      <c r="BA23" s="19" t="n"/>
      <c r="BB23" s="19" t="n"/>
      <c r="BC23" s="19" t="n"/>
      <c r="BD23" s="19" t="n"/>
      <c r="BE23" s="19" t="n"/>
      <c r="BF23" s="19" t="n"/>
      <c r="BG23" s="19" t="n"/>
      <c r="BH23" s="19" t="n"/>
      <c r="BI23" s="19" t="n"/>
    </row>
    <row r="24" ht="14" customHeight="1">
      <c r="A24" s="21" t="inlineStr">
        <is>
          <t>EISA Pre-dev / Prop-cond runoff (cols BH-BI) uses TOTAL SDA area (within + outside LOD) per SCS/TR-55 watershed accounting.</t>
        </is>
      </c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19" t="n"/>
      <c r="AS24" s="19" t="n"/>
      <c r="AT24" s="19" t="n"/>
      <c r="AU24" s="19" t="n"/>
      <c r="AV24" s="19" t="n"/>
      <c r="AW24" s="19" t="n"/>
      <c r="AX24" s="19" t="n"/>
      <c r="AY24" s="19" t="n"/>
      <c r="AZ24" s="19" t="n"/>
      <c r="BA24" s="19" t="n"/>
      <c r="BB24" s="19" t="n"/>
      <c r="BC24" s="19" t="n"/>
      <c r="BD24" s="19" t="n"/>
      <c r="BE24" s="19" t="n"/>
      <c r="BF24" s="19" t="n"/>
      <c r="BG24" s="19" t="n"/>
      <c r="BH24" s="19" t="n"/>
      <c r="BI24" s="19" t="n"/>
    </row>
    <row r="25" ht="14" customHeight="1">
      <c r="A25" s="21" t="inlineStr">
        <is>
          <t>Tree credits per DOEE SWM Guidebook 2020 §3.14.5 Tables 3-52/3-53. Planted trees earn less credit than preserved trees. Edit rates in 6-Parameters rows 63–68.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19" t="n"/>
      <c r="AS25" s="19" t="n"/>
      <c r="AT25" s="19" t="n"/>
      <c r="AU25" s="19" t="n"/>
      <c r="AV25" s="19" t="n"/>
      <c r="AW25" s="19" t="n"/>
      <c r="AX25" s="19" t="n"/>
      <c r="AY25" s="19" t="n"/>
      <c r="AZ25" s="19" t="n"/>
      <c r="BA25" s="19" t="n"/>
      <c r="BB25" s="19" t="n"/>
      <c r="BC25" s="19" t="n"/>
      <c r="BD25" s="19" t="n"/>
      <c r="BE25" s="19" t="n"/>
      <c r="BF25" s="19" t="n"/>
      <c r="BG25" s="19" t="n"/>
      <c r="BH25" s="19" t="n"/>
      <c r="BI25" s="19" t="n"/>
    </row>
    <row r="26" ht="14" customHeight="1">
      <c r="A26" s="21" t="inlineStr">
        <is>
          <t>HSG col C is for overall context. Detailed EISA HSG breakdown is entered in Existing/Proposed columns (O-AN). CN defaults in row 5 — adjust per soil borings.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19" t="n"/>
      <c r="AS26" s="19" t="n"/>
      <c r="AT26" s="19" t="n"/>
      <c r="AU26" s="19" t="n"/>
      <c r="AV26" s="19" t="n"/>
      <c r="AW26" s="19" t="n"/>
      <c r="AX26" s="19" t="n"/>
      <c r="AY26" s="19" t="n"/>
      <c r="AZ26" s="19" t="n"/>
      <c r="BA26" s="19" t="n"/>
      <c r="BB26" s="19" t="n"/>
      <c r="BC26" s="19" t="n"/>
      <c r="BD26" s="19" t="n"/>
      <c r="BE26" s="19" t="n"/>
      <c r="BF26" s="19" t="n"/>
      <c r="BG26" s="19" t="n"/>
      <c r="BH26" s="19" t="n"/>
      <c r="BI26" s="19" t="n"/>
    </row>
    <row r="27" ht="14" customHeight="1">
      <c r="A27" s="21" t="inlineStr">
        <is>
          <t>CDA ⊂ SDA: BMPs in Sheet 4 draw their CDA from both within and outside LOD portions. Enter CDA areas in Sheet 3 to reflect the actual contributing watershed.</t>
        </is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19" t="n"/>
      <c r="AS27" s="19" t="n"/>
      <c r="AT27" s="19" t="n"/>
      <c r="AU27" s="19" t="n"/>
      <c r="AV27" s="19" t="n"/>
      <c r="AW27" s="19" t="n"/>
      <c r="AX27" s="19" t="n"/>
      <c r="AY27" s="19" t="n"/>
      <c r="AZ27" s="19" t="n"/>
      <c r="BA27" s="19" t="n"/>
      <c r="BB27" s="19" t="n"/>
      <c r="BC27" s="19" t="n"/>
      <c r="BD27" s="19" t="n"/>
      <c r="BE27" s="19" t="n"/>
      <c r="BF27" s="19" t="n"/>
      <c r="BG27" s="19" t="n"/>
      <c r="BH27" s="19" t="n"/>
      <c r="BI27" s="19" t="n"/>
    </row>
  </sheetData>
  <mergeCells count="27">
    <mergeCell ref="D2:I2"/>
    <mergeCell ref="A27:BI27"/>
    <mergeCell ref="P3:S3"/>
    <mergeCell ref="AG3:AJ3"/>
    <mergeCell ref="A21:C21"/>
    <mergeCell ref="A26:BI26"/>
    <mergeCell ref="O2:AA2"/>
    <mergeCell ref="A2:C2"/>
    <mergeCell ref="T3:W3"/>
    <mergeCell ref="AB3"/>
    <mergeCell ref="O3"/>
    <mergeCell ref="A23:BI23"/>
    <mergeCell ref="BH2:BI2"/>
    <mergeCell ref="A22:BI22"/>
    <mergeCell ref="AO2:BA2"/>
    <mergeCell ref="BB2:BG2"/>
    <mergeCell ref="AC3:AF3"/>
    <mergeCell ref="AK3:AN3"/>
    <mergeCell ref="AO3:AR3"/>
    <mergeCell ref="A5:N5"/>
    <mergeCell ref="A24:BI24"/>
    <mergeCell ref="X3:AA3"/>
    <mergeCell ref="A1:BI1"/>
    <mergeCell ref="AS3:AZ3"/>
    <mergeCell ref="J2:N2"/>
    <mergeCell ref="AB2:AN2"/>
    <mergeCell ref="A25:BI25"/>
  </mergeCells>
  <dataValidations count="2">
    <dataValidation sqref="B6:B20" showDropDown="0" showInputMessage="0" showErrorMessage="0" allowBlank="1" type="list">
      <formula1>"MLD,MSI,MSI-AWDZ"</formula1>
    </dataValidation>
    <dataValidation sqref="C6:C20" showDropDown="0" showInputMessage="0" showErrorMessage="0" allowBlank="1" type="list">
      <formula1>"A,B,C,D,Urban"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4" customHeight="1">
      <c r="A1" s="9" t="inlineStr">
        <is>
          <t>BMP CONTRIBUTING DRAINAGE AREA (CDA) — LAND USE  [CDA ⊂ SDA — one CDA per BMP, bounded by drainage to that BMP]</t>
        </is>
      </c>
      <c r="B1" s="10" t="n"/>
      <c r="C1" s="10" t="n"/>
      <c r="D1" s="10" t="n"/>
      <c r="E1" s="10" t="n"/>
      <c r="F1" s="10" t="n"/>
      <c r="G1" s="10" t="n"/>
      <c r="H1" s="10" t="n"/>
      <c r="I1" s="11" t="n"/>
    </row>
    <row r="2" ht="26" customHeight="1">
      <c r="A2" s="3" t="inlineStr">
        <is>
          <t>CDA ⊂ SDA  (CDA lies within its parent SDA)</t>
        </is>
      </c>
      <c r="B2" s="5" t="n"/>
      <c r="C2" s="3" t="inlineStr">
        <is>
          <t>DOEE CDA Land Use  (acres) — drives Vmax in BMP DOEE</t>
        </is>
      </c>
      <c r="D2" s="4" t="n"/>
      <c r="E2" s="5" t="n"/>
      <c r="F2" s="18" t="inlineStr">
        <is>
          <t>EISA BMP Footprint by HSG (SF) — drives Vol Inf in BMP EISA</t>
        </is>
      </c>
      <c r="G2" s="22" t="n"/>
      <c r="H2" s="22" t="n"/>
      <c r="I2" s="23" t="n"/>
    </row>
    <row r="3" ht="44" customHeight="1">
      <c r="A3" s="24" t="inlineStr">
        <is>
          <t>CDA ID / NAME
(key — must match BMP sheets exactly)</t>
        </is>
      </c>
      <c r="B3" s="24" t="inlineStr">
        <is>
          <t>SDA ID / NAME
(parent Site DA)</t>
        </is>
      </c>
      <c r="C3" s="24" t="inlineStr">
        <is>
          <t>CDA Imp
(ac)</t>
        </is>
      </c>
      <c r="D3" s="24" t="inlineStr">
        <is>
          <t>CDA Comp
(ac)</t>
        </is>
      </c>
      <c r="E3" s="24" t="inlineStr">
        <is>
          <t>BMP Area
in CDA (ac)</t>
        </is>
      </c>
      <c r="F3" s="18" t="inlineStr">
        <is>
          <t>BMP Area
HSG-A (SF)</t>
        </is>
      </c>
      <c r="G3" s="18" t="inlineStr">
        <is>
          <t>BMP Area
HSG-B (SF)</t>
        </is>
      </c>
      <c r="H3" s="18" t="inlineStr">
        <is>
          <t>BMP Area
HSG-C (SF)</t>
        </is>
      </c>
      <c r="I3" s="18" t="inlineStr">
        <is>
          <t>BMP Area
HSG-D (SF)</t>
        </is>
      </c>
    </row>
    <row r="4">
      <c r="A4" s="32" t="n"/>
      <c r="B4" s="32" t="n"/>
      <c r="C4" s="32" t="n"/>
      <c r="D4" s="32" t="n"/>
      <c r="E4" s="32" t="n"/>
      <c r="F4" s="32" t="n"/>
      <c r="G4" s="32" t="n"/>
      <c r="H4" s="32" t="n"/>
      <c r="I4" s="32" t="n"/>
    </row>
    <row r="5">
      <c r="A5" s="32" t="n"/>
      <c r="B5" s="32" t="n"/>
      <c r="C5" s="32" t="n"/>
      <c r="D5" s="32" t="n"/>
      <c r="E5" s="32" t="n"/>
      <c r="F5" s="32" t="n"/>
      <c r="G5" s="32" t="n"/>
      <c r="H5" s="32" t="n"/>
      <c r="I5" s="32" t="n"/>
    </row>
    <row r="6">
      <c r="A6" s="32" t="n"/>
      <c r="B6" s="32" t="n"/>
      <c r="C6" s="32" t="n"/>
      <c r="D6" s="32" t="n"/>
      <c r="E6" s="32" t="n"/>
      <c r="F6" s="32" t="n"/>
      <c r="G6" s="32" t="n"/>
      <c r="H6" s="32" t="n"/>
      <c r="I6" s="32" t="n"/>
    </row>
    <row r="7">
      <c r="A7" s="32" t="n"/>
      <c r="B7" s="32" t="n"/>
      <c r="C7" s="32" t="n"/>
      <c r="D7" s="32" t="n"/>
      <c r="E7" s="32" t="n"/>
      <c r="F7" s="32" t="n"/>
      <c r="G7" s="32" t="n"/>
      <c r="H7" s="32" t="n"/>
      <c r="I7" s="32" t="n"/>
    </row>
    <row r="8">
      <c r="A8" s="32" t="n"/>
      <c r="B8" s="32" t="n"/>
      <c r="C8" s="32" t="n"/>
      <c r="D8" s="32" t="n"/>
      <c r="E8" s="32" t="n"/>
      <c r="F8" s="32" t="n"/>
      <c r="G8" s="32" t="n"/>
      <c r="H8" s="32" t="n"/>
      <c r="I8" s="32" t="n"/>
    </row>
    <row r="9">
      <c r="A9" s="32" t="n"/>
      <c r="B9" s="32" t="n"/>
      <c r="C9" s="32" t="n"/>
      <c r="D9" s="32" t="n"/>
      <c r="E9" s="32" t="n"/>
      <c r="F9" s="32" t="n"/>
      <c r="G9" s="32" t="n"/>
      <c r="H9" s="32" t="n"/>
      <c r="I9" s="32" t="n"/>
    </row>
    <row r="10">
      <c r="A10" s="32" t="n"/>
      <c r="B10" s="32" t="n"/>
      <c r="C10" s="32" t="n"/>
      <c r="D10" s="32" t="n"/>
      <c r="E10" s="32" t="n"/>
      <c r="F10" s="32" t="n"/>
      <c r="G10" s="32" t="n"/>
      <c r="H10" s="32" t="n"/>
      <c r="I10" s="32" t="n"/>
    </row>
    <row r="11">
      <c r="A11" s="32" t="n"/>
      <c r="B11" s="32" t="n"/>
      <c r="C11" s="32" t="n"/>
      <c r="D11" s="32" t="n"/>
      <c r="E11" s="32" t="n"/>
      <c r="F11" s="32" t="n"/>
      <c r="G11" s="32" t="n"/>
      <c r="H11" s="32" t="n"/>
      <c r="I11" s="32" t="n"/>
    </row>
    <row r="12">
      <c r="A12" s="32" t="n"/>
      <c r="B12" s="32" t="n"/>
      <c r="C12" s="32" t="n"/>
      <c r="D12" s="32" t="n"/>
      <c r="E12" s="32" t="n"/>
      <c r="F12" s="32" t="n"/>
      <c r="G12" s="32" t="n"/>
      <c r="H12" s="32" t="n"/>
      <c r="I12" s="32" t="n"/>
    </row>
    <row r="13">
      <c r="A13" s="32" t="n"/>
      <c r="B13" s="32" t="n"/>
      <c r="C13" s="32" t="n"/>
      <c r="D13" s="32" t="n"/>
      <c r="E13" s="32" t="n"/>
      <c r="F13" s="32" t="n"/>
      <c r="G13" s="32" t="n"/>
      <c r="H13" s="32" t="n"/>
      <c r="I13" s="32" t="n"/>
    </row>
    <row r="14">
      <c r="A14" s="32" t="n"/>
      <c r="B14" s="32" t="n"/>
      <c r="C14" s="32" t="n"/>
      <c r="D14" s="32" t="n"/>
      <c r="E14" s="32" t="n"/>
      <c r="F14" s="32" t="n"/>
      <c r="G14" s="32" t="n"/>
      <c r="H14" s="32" t="n"/>
      <c r="I14" s="32" t="n"/>
    </row>
    <row r="15">
      <c r="A15" s="32" t="n"/>
      <c r="B15" s="32" t="n"/>
      <c r="C15" s="32" t="n"/>
      <c r="D15" s="32" t="n"/>
      <c r="E15" s="32" t="n"/>
      <c r="F15" s="32" t="n"/>
      <c r="G15" s="32" t="n"/>
      <c r="H15" s="32" t="n"/>
      <c r="I15" s="32" t="n"/>
    </row>
    <row r="16">
      <c r="A16" s="32" t="n"/>
      <c r="B16" s="32" t="n"/>
      <c r="C16" s="32" t="n"/>
      <c r="D16" s="32" t="n"/>
      <c r="E16" s="32" t="n"/>
      <c r="F16" s="32" t="n"/>
      <c r="G16" s="32" t="n"/>
      <c r="H16" s="32" t="n"/>
      <c r="I16" s="32" t="n"/>
    </row>
    <row r="17">
      <c r="A17" s="32" t="n"/>
      <c r="B17" s="32" t="n"/>
      <c r="C17" s="32" t="n"/>
      <c r="D17" s="32" t="n"/>
      <c r="E17" s="32" t="n"/>
      <c r="F17" s="32" t="n"/>
      <c r="G17" s="32" t="n"/>
      <c r="H17" s="32" t="n"/>
      <c r="I17" s="32" t="n"/>
    </row>
    <row r="18">
      <c r="A18" s="32" t="n"/>
      <c r="B18" s="32" t="n"/>
      <c r="C18" s="32" t="n"/>
      <c r="D18" s="32" t="n"/>
      <c r="E18" s="32" t="n"/>
      <c r="F18" s="32" t="n"/>
      <c r="G18" s="32" t="n"/>
      <c r="H18" s="32" t="n"/>
      <c r="I18" s="32" t="n"/>
    </row>
    <row r="19">
      <c r="A19" s="32" t="n"/>
      <c r="B19" s="32" t="n"/>
      <c r="C19" s="32" t="n"/>
      <c r="D19" s="32" t="n"/>
      <c r="E19" s="32" t="n"/>
      <c r="F19" s="32" t="n"/>
      <c r="G19" s="32" t="n"/>
      <c r="H19" s="32" t="n"/>
      <c r="I19" s="32" t="n"/>
    </row>
    <row r="20">
      <c r="A20" s="32" t="n"/>
      <c r="B20" s="32" t="n"/>
      <c r="C20" s="32" t="n"/>
      <c r="D20" s="32" t="n"/>
      <c r="E20" s="32" t="n"/>
      <c r="F20" s="32" t="n"/>
      <c r="G20" s="32" t="n"/>
      <c r="H20" s="32" t="n"/>
      <c r="I20" s="32" t="n"/>
    </row>
    <row r="21">
      <c r="A21" s="32" t="n"/>
      <c r="B21" s="32" t="n"/>
      <c r="C21" s="32" t="n"/>
      <c r="D21" s="32" t="n"/>
      <c r="E21" s="32" t="n"/>
      <c r="F21" s="32" t="n"/>
      <c r="G21" s="32" t="n"/>
      <c r="H21" s="32" t="n"/>
      <c r="I21" s="32" t="n"/>
    </row>
    <row r="22">
      <c r="A22" s="32" t="n"/>
      <c r="B22" s="32" t="n"/>
      <c r="C22" s="32" t="n"/>
      <c r="D22" s="32" t="n"/>
      <c r="E22" s="32" t="n"/>
      <c r="F22" s="32" t="n"/>
      <c r="G22" s="32" t="n"/>
      <c r="H22" s="32" t="n"/>
      <c r="I22" s="32" t="n"/>
    </row>
    <row r="23">
      <c r="A23" s="32" t="n"/>
      <c r="B23" s="32" t="n"/>
      <c r="C23" s="32" t="n"/>
      <c r="D23" s="32" t="n"/>
      <c r="E23" s="32" t="n"/>
      <c r="F23" s="32" t="n"/>
      <c r="G23" s="32" t="n"/>
      <c r="H23" s="32" t="n"/>
      <c r="I23" s="32" t="n"/>
    </row>
    <row r="24">
      <c r="A24" s="32" t="n"/>
      <c r="B24" s="32" t="n"/>
      <c r="C24" s="32" t="n"/>
      <c r="D24" s="32" t="n"/>
      <c r="E24" s="32" t="n"/>
      <c r="F24" s="32" t="n"/>
      <c r="G24" s="32" t="n"/>
      <c r="H24" s="32" t="n"/>
      <c r="I24" s="32" t="n"/>
    </row>
    <row r="25">
      <c r="A25" s="32" t="n"/>
      <c r="B25" s="32" t="n"/>
      <c r="C25" s="32" t="n"/>
      <c r="D25" s="32" t="n"/>
      <c r="E25" s="32" t="n"/>
      <c r="F25" s="32" t="n"/>
      <c r="G25" s="32" t="n"/>
      <c r="H25" s="32" t="n"/>
      <c r="I25" s="32" t="n"/>
    </row>
    <row r="26">
      <c r="A26" s="32" t="n"/>
      <c r="B26" s="32" t="n"/>
      <c r="C26" s="32" t="n"/>
      <c r="D26" s="32" t="n"/>
      <c r="E26" s="32" t="n"/>
      <c r="F26" s="32" t="n"/>
      <c r="G26" s="32" t="n"/>
      <c r="H26" s="32" t="n"/>
      <c r="I26" s="32" t="n"/>
    </row>
    <row r="27">
      <c r="A27" s="32" t="n"/>
      <c r="B27" s="32" t="n"/>
      <c r="C27" s="32" t="n"/>
      <c r="D27" s="32" t="n"/>
      <c r="E27" s="32" t="n"/>
      <c r="F27" s="32" t="n"/>
      <c r="G27" s="32" t="n"/>
      <c r="H27" s="32" t="n"/>
      <c r="I27" s="32" t="n"/>
    </row>
    <row r="28">
      <c r="A28" s="32" t="n"/>
      <c r="B28" s="32" t="n"/>
      <c r="C28" s="32" t="n"/>
      <c r="D28" s="32" t="n"/>
      <c r="E28" s="32" t="n"/>
      <c r="F28" s="32" t="n"/>
      <c r="G28" s="32" t="n"/>
      <c r="H28" s="32" t="n"/>
      <c r="I28" s="32" t="n"/>
    </row>
    <row r="29">
      <c r="A29" s="32" t="n"/>
      <c r="B29" s="32" t="n"/>
      <c r="C29" s="32" t="n"/>
      <c r="D29" s="32" t="n"/>
      <c r="E29" s="32" t="n"/>
      <c r="F29" s="32" t="n"/>
      <c r="G29" s="32" t="n"/>
      <c r="H29" s="32" t="n"/>
      <c r="I29" s="32" t="n"/>
    </row>
    <row r="30">
      <c r="A30" s="32" t="n"/>
      <c r="B30" s="32" t="n"/>
      <c r="C30" s="32" t="n"/>
      <c r="D30" s="32" t="n"/>
      <c r="E30" s="32" t="n"/>
      <c r="F30" s="32" t="n"/>
      <c r="G30" s="32" t="n"/>
      <c r="H30" s="32" t="n"/>
      <c r="I30" s="32" t="n"/>
    </row>
    <row r="31">
      <c r="A31" s="32" t="n"/>
      <c r="B31" s="32" t="n"/>
      <c r="C31" s="32" t="n"/>
      <c r="D31" s="32" t="n"/>
      <c r="E31" s="32" t="n"/>
      <c r="F31" s="32" t="n"/>
      <c r="G31" s="32" t="n"/>
      <c r="H31" s="32" t="n"/>
      <c r="I31" s="32" t="n"/>
    </row>
    <row r="32">
      <c r="A32" s="32" t="n"/>
      <c r="B32" s="32" t="n"/>
      <c r="C32" s="32" t="n"/>
      <c r="D32" s="32" t="n"/>
      <c r="E32" s="32" t="n"/>
      <c r="F32" s="32" t="n"/>
      <c r="G32" s="32" t="n"/>
      <c r="H32" s="32" t="n"/>
      <c r="I32" s="32" t="n"/>
    </row>
    <row r="33">
      <c r="A33" s="32" t="n"/>
      <c r="B33" s="32" t="n"/>
      <c r="C33" s="32" t="n"/>
      <c r="D33" s="32" t="n"/>
      <c r="E33" s="32" t="n"/>
      <c r="F33" s="32" t="n"/>
      <c r="G33" s="32" t="n"/>
      <c r="H33" s="32" t="n"/>
      <c r="I33" s="32" t="n"/>
    </row>
    <row r="34">
      <c r="A34" s="32" t="n"/>
      <c r="B34" s="32" t="n"/>
      <c r="C34" s="32" t="n"/>
      <c r="D34" s="32" t="n"/>
      <c r="E34" s="32" t="n"/>
      <c r="F34" s="32" t="n"/>
      <c r="G34" s="32" t="n"/>
      <c r="H34" s="32" t="n"/>
      <c r="I34" s="32" t="n"/>
    </row>
    <row r="35">
      <c r="A35" s="32" t="n"/>
      <c r="B35" s="32" t="n"/>
      <c r="C35" s="32" t="n"/>
      <c r="D35" s="32" t="n"/>
      <c r="E35" s="32" t="n"/>
      <c r="F35" s="32" t="n"/>
      <c r="G35" s="32" t="n"/>
      <c r="H35" s="32" t="n"/>
      <c r="I35" s="32" t="n"/>
    </row>
    <row r="36">
      <c r="A36" s="32" t="n"/>
      <c r="B36" s="32" t="n"/>
      <c r="C36" s="32" t="n"/>
      <c r="D36" s="32" t="n"/>
      <c r="E36" s="32" t="n"/>
      <c r="F36" s="32" t="n"/>
      <c r="G36" s="32" t="n"/>
      <c r="H36" s="32" t="n"/>
      <c r="I36" s="32" t="n"/>
    </row>
    <row r="37">
      <c r="A37" s="32" t="n"/>
      <c r="B37" s="32" t="n"/>
      <c r="C37" s="32" t="n"/>
      <c r="D37" s="32" t="n"/>
      <c r="E37" s="32" t="n"/>
      <c r="F37" s="32" t="n"/>
      <c r="G37" s="32" t="n"/>
      <c r="H37" s="32" t="n"/>
      <c r="I37" s="32" t="n"/>
    </row>
    <row r="38">
      <c r="A38" s="32" t="n"/>
      <c r="B38" s="32" t="n"/>
      <c r="C38" s="32" t="n"/>
      <c r="D38" s="32" t="n"/>
      <c r="E38" s="32" t="n"/>
      <c r="F38" s="32" t="n"/>
      <c r="G38" s="32" t="n"/>
      <c r="H38" s="32" t="n"/>
      <c r="I38" s="32" t="n"/>
    </row>
    <row r="39">
      <c r="A39" s="32" t="n"/>
      <c r="B39" s="32" t="n"/>
      <c r="C39" s="32" t="n"/>
      <c r="D39" s="32" t="n"/>
      <c r="E39" s="32" t="n"/>
      <c r="F39" s="32" t="n"/>
      <c r="G39" s="32" t="n"/>
      <c r="H39" s="32" t="n"/>
      <c r="I39" s="32" t="n"/>
    </row>
    <row r="40">
      <c r="A40" s="32" t="n"/>
      <c r="B40" s="32" t="n"/>
      <c r="C40" s="32" t="n"/>
      <c r="D40" s="32" t="n"/>
      <c r="E40" s="32" t="n"/>
      <c r="F40" s="32" t="n"/>
      <c r="G40" s="32" t="n"/>
      <c r="H40" s="32" t="n"/>
      <c r="I40" s="32" t="n"/>
    </row>
    <row r="41">
      <c r="A41" s="32" t="n"/>
      <c r="B41" s="32" t="n"/>
      <c r="C41" s="32" t="n"/>
      <c r="D41" s="32" t="n"/>
      <c r="E41" s="32" t="n"/>
      <c r="F41" s="32" t="n"/>
      <c r="G41" s="32" t="n"/>
      <c r="H41" s="32" t="n"/>
      <c r="I41" s="32" t="n"/>
    </row>
    <row r="42">
      <c r="A42" s="32" t="n"/>
      <c r="B42" s="32" t="n"/>
      <c r="C42" s="32" t="n"/>
      <c r="D42" s="32" t="n"/>
      <c r="E42" s="32" t="n"/>
      <c r="F42" s="32" t="n"/>
      <c r="G42" s="32" t="n"/>
      <c r="H42" s="32" t="n"/>
      <c r="I42" s="32" t="n"/>
    </row>
    <row r="43">
      <c r="A43" s="32" t="n"/>
      <c r="B43" s="32" t="n"/>
      <c r="C43" s="32" t="n"/>
      <c r="D43" s="32" t="n"/>
      <c r="E43" s="32" t="n"/>
      <c r="F43" s="32" t="n"/>
      <c r="G43" s="32" t="n"/>
      <c r="H43" s="32" t="n"/>
      <c r="I43" s="32" t="n"/>
    </row>
    <row r="44">
      <c r="A44" s="32" t="n"/>
      <c r="B44" s="32" t="n"/>
      <c r="C44" s="32" t="n"/>
      <c r="D44" s="32" t="n"/>
      <c r="E44" s="32" t="n"/>
      <c r="F44" s="32" t="n"/>
      <c r="G44" s="32" t="n"/>
      <c r="H44" s="32" t="n"/>
      <c r="I44" s="32" t="n"/>
    </row>
    <row r="45">
      <c r="A45" s="32" t="n"/>
      <c r="B45" s="32" t="n"/>
      <c r="C45" s="32" t="n"/>
      <c r="D45" s="32" t="n"/>
      <c r="E45" s="32" t="n"/>
      <c r="F45" s="32" t="n"/>
      <c r="G45" s="32" t="n"/>
      <c r="H45" s="32" t="n"/>
      <c r="I45" s="32" t="n"/>
    </row>
    <row r="46">
      <c r="A46" s="32" t="n"/>
      <c r="B46" s="32" t="n"/>
      <c r="C46" s="32" t="n"/>
      <c r="D46" s="32" t="n"/>
      <c r="E46" s="32" t="n"/>
      <c r="F46" s="32" t="n"/>
      <c r="G46" s="32" t="n"/>
      <c r="H46" s="32" t="n"/>
      <c r="I46" s="32" t="n"/>
    </row>
    <row r="47">
      <c r="A47" s="32" t="n"/>
      <c r="B47" s="32" t="n"/>
      <c r="C47" s="32" t="n"/>
      <c r="D47" s="32" t="n"/>
      <c r="E47" s="32" t="n"/>
      <c r="F47" s="32" t="n"/>
      <c r="G47" s="32" t="n"/>
      <c r="H47" s="32" t="n"/>
      <c r="I47" s="32" t="n"/>
    </row>
    <row r="48">
      <c r="A48" s="32" t="n"/>
      <c r="B48" s="32" t="n"/>
      <c r="C48" s="32" t="n"/>
      <c r="D48" s="32" t="n"/>
      <c r="E48" s="32" t="n"/>
      <c r="F48" s="32" t="n"/>
      <c r="G48" s="32" t="n"/>
      <c r="H48" s="32" t="n"/>
      <c r="I48" s="32" t="n"/>
    </row>
    <row r="49">
      <c r="A49" s="32" t="n"/>
      <c r="B49" s="32" t="n"/>
      <c r="C49" s="32" t="n"/>
      <c r="D49" s="32" t="n"/>
      <c r="E49" s="32" t="n"/>
      <c r="F49" s="32" t="n"/>
      <c r="G49" s="32" t="n"/>
      <c r="H49" s="32" t="n"/>
      <c r="I49" s="32" t="n"/>
    </row>
    <row r="50">
      <c r="A50" s="32" t="n"/>
      <c r="B50" s="32" t="n"/>
      <c r="C50" s="32" t="n"/>
      <c r="D50" s="32" t="n"/>
      <c r="E50" s="32" t="n"/>
      <c r="F50" s="32" t="n"/>
      <c r="G50" s="32" t="n"/>
      <c r="H50" s="32" t="n"/>
      <c r="I50" s="32" t="n"/>
    </row>
    <row r="51">
      <c r="A51" s="32" t="n"/>
      <c r="B51" s="32" t="n"/>
      <c r="C51" s="32" t="n"/>
      <c r="D51" s="32" t="n"/>
      <c r="E51" s="32" t="n"/>
      <c r="F51" s="32" t="n"/>
      <c r="G51" s="32" t="n"/>
      <c r="H51" s="32" t="n"/>
      <c r="I51" s="32" t="n"/>
    </row>
    <row r="52">
      <c r="A52" s="32" t="n"/>
      <c r="B52" s="32" t="n"/>
      <c r="C52" s="32" t="n"/>
      <c r="D52" s="32" t="n"/>
      <c r="E52" s="32" t="n"/>
      <c r="F52" s="32" t="n"/>
      <c r="G52" s="32" t="n"/>
      <c r="H52" s="32" t="n"/>
      <c r="I52" s="32" t="n"/>
    </row>
    <row r="53">
      <c r="A53" s="32" t="n"/>
      <c r="B53" s="32" t="n"/>
      <c r="C53" s="32" t="n"/>
      <c r="D53" s="32" t="n"/>
      <c r="E53" s="32" t="n"/>
      <c r="F53" s="32" t="n"/>
      <c r="G53" s="32" t="n"/>
      <c r="H53" s="32" t="n"/>
      <c r="I53" s="32" t="n"/>
    </row>
    <row r="54">
      <c r="A54" s="9" t="inlineStr">
        <is>
          <t>TOTALS</t>
        </is>
      </c>
      <c r="B54" s="11" t="n"/>
      <c r="C54" s="3">
        <f>SUM(C4:C53)</f>
        <v/>
      </c>
      <c r="D54" s="3">
        <f>SUM(D4:D53)</f>
        <v/>
      </c>
      <c r="E54" s="3">
        <f>SUM(E4:E53)</f>
        <v/>
      </c>
      <c r="F54" s="18">
        <f>SUM(F4:F53)</f>
        <v/>
      </c>
      <c r="G54" s="18">
        <f>SUM(G4:G53)</f>
        <v/>
      </c>
      <c r="H54" s="18">
        <f>SUM(H4:H53)</f>
        <v/>
      </c>
      <c r="I54" s="18">
        <f>SUM(I4:I53)</f>
        <v/>
      </c>
    </row>
    <row r="55" ht="14" customHeight="1">
      <c r="A55" s="21" t="inlineStr">
        <is>
          <t>CDA = the specific sub-area within the SDA that drains to ONE BMP. CDAs follow topographic/grading boundaries within the site. Sum of all CDA areas ≤ SDA total area (remainder drains to outfall untreated).</t>
        </is>
      </c>
      <c r="B55" s="19" t="n"/>
      <c r="C55" s="19" t="n"/>
      <c r="D55" s="19" t="n"/>
      <c r="E55" s="19" t="n"/>
      <c r="F55" s="19" t="n"/>
      <c r="G55" s="19" t="n"/>
      <c r="H55" s="19" t="n"/>
      <c r="I55" s="19" t="n"/>
    </row>
    <row r="56" ht="14" customHeight="1">
      <c r="A56" s="21" t="inlineStr">
        <is>
          <t>For ROW projects: SDA = ROW boundary. CDAs are inlets/catch basins/green infrastructure drainage areas within that ROW strip. Offsite flow is excluded from both SDA and CDA.</t>
        </is>
      </c>
      <c r="B56" s="19" t="n"/>
      <c r="C56" s="19" t="n"/>
      <c r="D56" s="19" t="n"/>
      <c r="E56" s="19" t="n"/>
      <c r="F56" s="19" t="n"/>
      <c r="G56" s="19" t="n"/>
      <c r="H56" s="19" t="n"/>
      <c r="I56" s="19" t="n"/>
    </row>
    <row r="57" ht="14" customHeight="1">
      <c r="A57" s="21" t="inlineStr">
        <is>
          <t>CDA ID must match exactly what is entered in 4-BMP DOEE col C and 5-BMP EISA col B — case-sensitive. The CDA ID is the key that auto-populates both BMP sheets via VLOOKUP.</t>
        </is>
      </c>
      <c r="B57" s="19" t="n"/>
      <c r="C57" s="19" t="n"/>
      <c r="D57" s="19" t="n"/>
      <c r="E57" s="19" t="n"/>
      <c r="F57" s="19" t="n"/>
      <c r="G57" s="19" t="n"/>
      <c r="H57" s="19" t="n"/>
      <c r="I57" s="19" t="n"/>
    </row>
    <row r="58" ht="14" customHeight="1">
      <c r="A58" s="21" t="inlineStr">
        <is>
          <t>DOEE: CDA Imp/Comp/BMP Area drive Vmax = (1.7/12)*[0.25*Comp + 0.95*(Imp+BMP_area)]*43,560. Vmax caps the BMP credit for the volume retained within this CDA.</t>
        </is>
      </c>
      <c r="B58" s="19" t="n"/>
      <c r="C58" s="19" t="n"/>
      <c r="D58" s="19" t="n"/>
      <c r="E58" s="19" t="n"/>
      <c r="F58" s="19" t="n"/>
      <c r="G58" s="19" t="n"/>
      <c r="H58" s="19" t="n"/>
      <c r="I58" s="19" t="n"/>
    </row>
    <row r="59" ht="14" customHeight="1">
      <c r="A59" s="21" t="inlineStr">
        <is>
          <t>EISA: BMP footprint by HSG (cols F-I) auto-populates 5-BMP EISA cols E-H. For a BMP spanning multiple HSG zones (rare), split its footprint area across the applicable HSG columns.</t>
        </is>
      </c>
      <c r="B59" s="19" t="n"/>
      <c r="C59" s="19" t="n"/>
      <c r="D59" s="19" t="n"/>
      <c r="E59" s="19" t="n"/>
      <c r="F59" s="19" t="n"/>
      <c r="G59" s="19" t="n"/>
      <c r="H59" s="19" t="n"/>
      <c r="I59" s="19" t="n"/>
    </row>
    <row r="60" ht="14" customHeight="1">
      <c r="A60" s="21" t="inlineStr">
        <is>
          <t>Multiple BMPs may share a CDA (e.g., series BMPs). Each BMP row references the same CDA ID and receives the same Vmax — but each BMP's Sv and Vol Ret are calculated separately.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</row>
  </sheetData>
  <mergeCells count="11">
    <mergeCell ref="C2:E2"/>
    <mergeCell ref="A59:I59"/>
    <mergeCell ref="A57:I57"/>
    <mergeCell ref="A2:B2"/>
    <mergeCell ref="A54:B54"/>
    <mergeCell ref="A60:I60"/>
    <mergeCell ref="F2:I2"/>
    <mergeCell ref="A1:I1"/>
    <mergeCell ref="A56:I56"/>
    <mergeCell ref="A58:I58"/>
    <mergeCell ref="A55:I5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" customWidth="1" min="2" max="2"/>
    <col width="10" customWidth="1" min="3" max="3"/>
    <col width="16" customWidth="1" min="4" max="4"/>
    <col width="7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8" customWidth="1" min="11" max="11"/>
    <col width="8" customWidth="1" min="12" max="12"/>
    <col width="7" customWidth="1" min="13" max="13"/>
    <col width="8" customWidth="1" min="14" max="14"/>
    <col width="7" customWidth="1" min="15" max="15"/>
    <col width="9" customWidth="1" min="16" max="16"/>
    <col width="8" customWidth="1" min="17" max="17"/>
    <col width="7" customWidth="1" min="18" max="18"/>
    <col width="10" customWidth="1" min="19" max="19"/>
    <col width="10" customWidth="1" min="20" max="20"/>
    <col width="7" customWidth="1" min="21" max="21"/>
    <col width="13" customWidth="1" min="22" max="22"/>
    <col width="13" customWidth="1" min="23" max="23"/>
  </cols>
  <sheetData>
    <row r="1" ht="22" customHeight="1">
      <c r="A1" s="9" t="inlineStr">
        <is>
          <t>BMP STORAGE PROVIDED — DOEE COMPLIANCE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1" t="n"/>
    </row>
    <row r="2" ht="40" customHeight="1">
      <c r="A2" s="24" t="inlineStr">
        <is>
          <t>BMP Name</t>
        </is>
      </c>
      <c r="B2" s="24" t="inlineStr">
        <is>
          <t>SDA</t>
        </is>
      </c>
      <c r="C2" s="24" t="inlineStr">
        <is>
          <t>CDA
(key)</t>
        </is>
      </c>
      <c r="D2" s="24" t="inlineStr">
        <is>
          <t>Notes</t>
        </is>
      </c>
      <c r="E2" s="24" t="inlineStr">
        <is>
          <t>BMP Type</t>
        </is>
      </c>
      <c r="F2" s="24" t="inlineStr">
        <is>
          <t>SA Bot
(SF)</t>
        </is>
      </c>
      <c r="G2" s="24" t="inlineStr">
        <is>
          <t>SA Top
(SF)</t>
        </is>
      </c>
      <c r="H2" s="3" t="inlineStr">
        <is>
          <t>CDA Imp
(ac)</t>
        </is>
      </c>
      <c r="I2" s="3" t="inlineStr">
        <is>
          <t>CDA Comp
(ac)</t>
        </is>
      </c>
      <c r="J2" s="3" t="inlineStr">
        <is>
          <t>BMP Area
CDA (ac)</t>
        </is>
      </c>
      <c r="K2" s="24" t="inlineStr">
        <is>
          <t>Ponding
(in)</t>
        </is>
      </c>
      <c r="L2" s="24" t="inlineStr">
        <is>
          <t>Media
(in)</t>
        </is>
      </c>
      <c r="M2" s="24" t="inlineStr">
        <is>
          <t>eta
media</t>
        </is>
      </c>
      <c r="N2" s="24" t="inlineStr">
        <is>
          <t>Stone
(in)</t>
        </is>
      </c>
      <c r="O2" s="24" t="inlineStr">
        <is>
          <t>eta
stone</t>
        </is>
      </c>
      <c r="P2" s="24" t="inlineStr">
        <is>
          <t>Cistern
(gal)</t>
        </is>
      </c>
      <c r="Q2" s="24" t="inlineStr">
        <is>
          <t>Drain
Layer (in)</t>
        </is>
      </c>
      <c r="R2" s="24" t="inlineStr">
        <is>
          <t>eta DL</t>
        </is>
      </c>
      <c r="S2" s="9" t="inlineStr">
        <is>
          <t>Sv
(ft3)</t>
        </is>
      </c>
      <c r="T2" s="9" t="inlineStr">
        <is>
          <t>Vmax
(ft3)</t>
        </is>
      </c>
      <c r="U2" s="9" t="inlineStr">
        <is>
          <t>Ret.
Value</t>
        </is>
      </c>
      <c r="V2" s="9" t="inlineStr">
        <is>
          <t>Vol Ret.
(ft3)</t>
        </is>
      </c>
      <c r="W2" s="9" t="inlineStr">
        <is>
          <t>Vol Ret.
(gal)</t>
        </is>
      </c>
    </row>
    <row r="3">
      <c r="A3" s="32" t="n"/>
      <c r="B3" s="32" t="n"/>
      <c r="C3" s="32" t="n"/>
      <c r="D3" s="32" t="n"/>
      <c r="E3" s="32" t="n"/>
      <c r="F3" s="32" t="n"/>
      <c r="G3" s="32" t="n"/>
      <c r="H3" s="12">
        <f>IFERROR(VLOOKUP(C3,'3-CDA LandUse'!$A$4:$I$53,3,0),0)</f>
        <v/>
      </c>
      <c r="I3" s="12">
        <f>IFERROR(VLOOKUP(C3,'3-CDA LandUse'!$A$4:$I$53,4,0),0)</f>
        <v/>
      </c>
      <c r="J3" s="12">
        <f>IFERROR(VLOOKUP(C3,'3-CDA LandUse'!$A$4:$I$53,5,0),0)</f>
        <v/>
      </c>
      <c r="K3" s="32" t="n"/>
      <c r="L3" s="32" t="n"/>
      <c r="M3" s="32" t="n"/>
      <c r="N3" s="32" t="n"/>
      <c r="O3" s="32" t="n"/>
      <c r="P3" s="32" t="n"/>
      <c r="Q3" s="32" t="n"/>
      <c r="R3" s="32" t="n"/>
      <c r="S3" s="12">
        <f>IFERROR(IFS(OR(E3="B-1",E3="B-2"),F3*(L3/12*M3+N3/12*O3)+(F3+G3)/2*(K3/12),OR(E3="G-1",E3="G-2"),F3*(L3*M3+Q3*R3)/12,OR(E3="P-1",E3="P-2",E3="P-3"),F3*(N3/12*O3),E3="R-1",P3/7.48,E3="ISD",0,E3="T-P",F3*'6-Parameters'!$B$63+G3*'6-Parameters'!$B$64,E3="T-V",F3*'6-Parameters'!$B$65+G3*'6-Parameters'!$B$66+K3*'6-Parameters'!$B$67+L3*'6-Parameters'!$B$68,TRUE,0),0)</f>
        <v/>
      </c>
      <c r="T3" s="12">
        <f>IFERROR(('6-Parameters'!$B$7/12)*(0.25*I3+0.95*(H3+J3))*43560,0)</f>
        <v/>
      </c>
      <c r="U3" s="12">
        <f>IFERROR(IFS(E3="B-1",0.6,E3="B-2",1.0,E3="G-1",0.6,E3="G-2",1.0,E3="P-1",1.0,E3="P-2",0.6,E3="P-3",0.6,E3="R-1",1.0,E3="ISD",0.5,E3="T-P",1.0,E3="T-V",1.0,TRUE,0),0)</f>
        <v/>
      </c>
      <c r="V3" s="12">
        <f>IFERROR(IF(E3="","",MIN(T3,S3*U3)),0)</f>
        <v/>
      </c>
      <c r="W3" s="12">
        <f>IFERROR(IF(V3=0,"",V3*7.48),"")</f>
        <v/>
      </c>
    </row>
    <row r="4">
      <c r="A4" s="32" t="n"/>
      <c r="B4" s="32" t="n"/>
      <c r="C4" s="32" t="n"/>
      <c r="D4" s="32" t="n"/>
      <c r="E4" s="32" t="n"/>
      <c r="F4" s="32" t="n"/>
      <c r="G4" s="32" t="n"/>
      <c r="H4" s="12">
        <f>IFERROR(VLOOKUP(C4,'3-CDA LandUse'!$A$4:$I$53,3,0),0)</f>
        <v/>
      </c>
      <c r="I4" s="12">
        <f>IFERROR(VLOOKUP(C4,'3-CDA LandUse'!$A$4:$I$53,4,0),0)</f>
        <v/>
      </c>
      <c r="J4" s="12">
        <f>IFERROR(VLOOKUP(C4,'3-CDA LandUse'!$A$4:$I$53,5,0),0)</f>
        <v/>
      </c>
      <c r="K4" s="32" t="n"/>
      <c r="L4" s="32" t="n"/>
      <c r="M4" s="32" t="n"/>
      <c r="N4" s="32" t="n"/>
      <c r="O4" s="32" t="n"/>
      <c r="P4" s="32" t="n"/>
      <c r="Q4" s="32" t="n"/>
      <c r="R4" s="32" t="n"/>
      <c r="S4" s="12">
        <f>IFERROR(IFS(OR(E4="B-1",E4="B-2"),F4*(L4/12*M4+N4/12*O4)+(F4+G4)/2*(K4/12),OR(E4="G-1",E4="G-2"),F4*(L4*M4+Q4*R4)/12,OR(E4="P-1",E4="P-2",E4="P-3"),F4*(N4/12*O4),E4="R-1",P4/7.48,E4="ISD",0,E4="T-P",F4*'6-Parameters'!$B$63+G4*'6-Parameters'!$B$64,E4="T-V",F4*'6-Parameters'!$B$65+G4*'6-Parameters'!$B$66+K4*'6-Parameters'!$B$67+L4*'6-Parameters'!$B$68,TRUE,0),0)</f>
        <v/>
      </c>
      <c r="T4" s="12">
        <f>IFERROR(('6-Parameters'!$B$7/12)*(0.25*I4+0.95*(H4+J4))*43560,0)</f>
        <v/>
      </c>
      <c r="U4" s="12">
        <f>IFERROR(IFS(E4="B-1",0.6,E4="B-2",1.0,E4="G-1",0.6,E4="G-2",1.0,E4="P-1",1.0,E4="P-2",0.6,E4="P-3",0.6,E4="R-1",1.0,E4="ISD",0.5,E4="T-P",1.0,E4="T-V",1.0,TRUE,0),0)</f>
        <v/>
      </c>
      <c r="V4" s="12">
        <f>IFERROR(IF(E4="","",MIN(T4,S4*U4)),0)</f>
        <v/>
      </c>
      <c r="W4" s="12">
        <f>IFERROR(IF(V4=0,"",V4*7.48),"")</f>
        <v/>
      </c>
    </row>
    <row r="5">
      <c r="A5" s="32" t="n"/>
      <c r="B5" s="32" t="n"/>
      <c r="C5" s="32" t="n"/>
      <c r="D5" s="32" t="n"/>
      <c r="E5" s="32" t="n"/>
      <c r="F5" s="32" t="n"/>
      <c r="G5" s="32" t="n"/>
      <c r="H5" s="12">
        <f>IFERROR(VLOOKUP(C5,'3-CDA LandUse'!$A$4:$I$53,3,0),0)</f>
        <v/>
      </c>
      <c r="I5" s="12">
        <f>IFERROR(VLOOKUP(C5,'3-CDA LandUse'!$A$4:$I$53,4,0),0)</f>
        <v/>
      </c>
      <c r="J5" s="12">
        <f>IFERROR(VLOOKUP(C5,'3-CDA LandUse'!$A$4:$I$53,5,0),0)</f>
        <v/>
      </c>
      <c r="K5" s="32" t="n"/>
      <c r="L5" s="32" t="n"/>
      <c r="M5" s="32" t="n"/>
      <c r="N5" s="32" t="n"/>
      <c r="O5" s="32" t="n"/>
      <c r="P5" s="32" t="n"/>
      <c r="Q5" s="32" t="n"/>
      <c r="R5" s="32" t="n"/>
      <c r="S5" s="12">
        <f>IFERROR(IFS(OR(E5="B-1",E5="B-2"),F5*(L5/12*M5+N5/12*O5)+(F5+G5)/2*(K5/12),OR(E5="G-1",E5="G-2"),F5*(L5*M5+Q5*R5)/12,OR(E5="P-1",E5="P-2",E5="P-3"),F5*(N5/12*O5),E5="R-1",P5/7.48,E5="ISD",0,E5="T-P",F5*'6-Parameters'!$B$63+G5*'6-Parameters'!$B$64,E5="T-V",F5*'6-Parameters'!$B$65+G5*'6-Parameters'!$B$66+K5*'6-Parameters'!$B$67+L5*'6-Parameters'!$B$68,TRUE,0),0)</f>
        <v/>
      </c>
      <c r="T5" s="12">
        <f>IFERROR(('6-Parameters'!$B$7/12)*(0.25*I5+0.95*(H5+J5))*43560,0)</f>
        <v/>
      </c>
      <c r="U5" s="12">
        <f>IFERROR(IFS(E5="B-1",0.6,E5="B-2",1.0,E5="G-1",0.6,E5="G-2",1.0,E5="P-1",1.0,E5="P-2",0.6,E5="P-3",0.6,E5="R-1",1.0,E5="ISD",0.5,E5="T-P",1.0,E5="T-V",1.0,TRUE,0),0)</f>
        <v/>
      </c>
      <c r="V5" s="12">
        <f>IFERROR(IF(E5="","",MIN(T5,S5*U5)),0)</f>
        <v/>
      </c>
      <c r="W5" s="12">
        <f>IFERROR(IF(V5=0,"",V5*7.48),"")</f>
        <v/>
      </c>
    </row>
    <row r="6">
      <c r="A6" s="32" t="n"/>
      <c r="B6" s="32" t="n"/>
      <c r="C6" s="32" t="n"/>
      <c r="D6" s="32" t="n"/>
      <c r="E6" s="32" t="n"/>
      <c r="F6" s="32" t="n"/>
      <c r="G6" s="32" t="n"/>
      <c r="H6" s="12">
        <f>IFERROR(VLOOKUP(C6,'3-CDA LandUse'!$A$4:$I$53,3,0),0)</f>
        <v/>
      </c>
      <c r="I6" s="12">
        <f>IFERROR(VLOOKUP(C6,'3-CDA LandUse'!$A$4:$I$53,4,0),0)</f>
        <v/>
      </c>
      <c r="J6" s="12">
        <f>IFERROR(VLOOKUP(C6,'3-CDA LandUse'!$A$4:$I$53,5,0),0)</f>
        <v/>
      </c>
      <c r="K6" s="32" t="n"/>
      <c r="L6" s="32" t="n"/>
      <c r="M6" s="32" t="n"/>
      <c r="N6" s="32" t="n"/>
      <c r="O6" s="32" t="n"/>
      <c r="P6" s="32" t="n"/>
      <c r="Q6" s="32" t="n"/>
      <c r="R6" s="32" t="n"/>
      <c r="S6" s="12">
        <f>IFERROR(IFS(OR(E6="B-1",E6="B-2"),F6*(L6/12*M6+N6/12*O6)+(F6+G6)/2*(K6/12),OR(E6="G-1",E6="G-2"),F6*(L6*M6+Q6*R6)/12,OR(E6="P-1",E6="P-2",E6="P-3"),F6*(N6/12*O6),E6="R-1",P6/7.48,E6="ISD",0,E6="T-P",F6*'6-Parameters'!$B$63+G6*'6-Parameters'!$B$64,E6="T-V",F6*'6-Parameters'!$B$65+G6*'6-Parameters'!$B$66+K6*'6-Parameters'!$B$67+L6*'6-Parameters'!$B$68,TRUE,0),0)</f>
        <v/>
      </c>
      <c r="T6" s="12">
        <f>IFERROR(('6-Parameters'!$B$7/12)*(0.25*I6+0.95*(H6+J6))*43560,0)</f>
        <v/>
      </c>
      <c r="U6" s="12">
        <f>IFERROR(IFS(E6="B-1",0.6,E6="B-2",1.0,E6="G-1",0.6,E6="G-2",1.0,E6="P-1",1.0,E6="P-2",0.6,E6="P-3",0.6,E6="R-1",1.0,E6="ISD",0.5,E6="T-P",1.0,E6="T-V",1.0,TRUE,0),0)</f>
        <v/>
      </c>
      <c r="V6" s="12">
        <f>IFERROR(IF(E6="","",MIN(T6,S6*U6)),0)</f>
        <v/>
      </c>
      <c r="W6" s="12">
        <f>IFERROR(IF(V6=0,"",V6*7.48),"")</f>
        <v/>
      </c>
    </row>
    <row r="7">
      <c r="A7" s="32" t="n"/>
      <c r="B7" s="32" t="n"/>
      <c r="C7" s="32" t="n"/>
      <c r="D7" s="32" t="n"/>
      <c r="E7" s="32" t="n"/>
      <c r="F7" s="32" t="n"/>
      <c r="G7" s="32" t="n"/>
      <c r="H7" s="12">
        <f>IFERROR(VLOOKUP(C7,'3-CDA LandUse'!$A$4:$I$53,3,0),0)</f>
        <v/>
      </c>
      <c r="I7" s="12">
        <f>IFERROR(VLOOKUP(C7,'3-CDA LandUse'!$A$4:$I$53,4,0),0)</f>
        <v/>
      </c>
      <c r="J7" s="12">
        <f>IFERROR(VLOOKUP(C7,'3-CDA LandUse'!$A$4:$I$53,5,0),0)</f>
        <v/>
      </c>
      <c r="K7" s="32" t="n"/>
      <c r="L7" s="32" t="n"/>
      <c r="M7" s="32" t="n"/>
      <c r="N7" s="32" t="n"/>
      <c r="O7" s="32" t="n"/>
      <c r="P7" s="32" t="n"/>
      <c r="Q7" s="32" t="n"/>
      <c r="R7" s="32" t="n"/>
      <c r="S7" s="12">
        <f>IFERROR(IFS(OR(E7="B-1",E7="B-2"),F7*(L7/12*M7+N7/12*O7)+(F7+G7)/2*(K7/12),OR(E7="G-1",E7="G-2"),F7*(L7*M7+Q7*R7)/12,OR(E7="P-1",E7="P-2",E7="P-3"),F7*(N7/12*O7),E7="R-1",P7/7.48,E7="ISD",0,E7="T-P",F7*'6-Parameters'!$B$63+G7*'6-Parameters'!$B$64,E7="T-V",F7*'6-Parameters'!$B$65+G7*'6-Parameters'!$B$66+K7*'6-Parameters'!$B$67+L7*'6-Parameters'!$B$68,TRUE,0),0)</f>
        <v/>
      </c>
      <c r="T7" s="12">
        <f>IFERROR(('6-Parameters'!$B$7/12)*(0.25*I7+0.95*(H7+J7))*43560,0)</f>
        <v/>
      </c>
      <c r="U7" s="12">
        <f>IFERROR(IFS(E7="B-1",0.6,E7="B-2",1.0,E7="G-1",0.6,E7="G-2",1.0,E7="P-1",1.0,E7="P-2",0.6,E7="P-3",0.6,E7="R-1",1.0,E7="ISD",0.5,E7="T-P",1.0,E7="T-V",1.0,TRUE,0),0)</f>
        <v/>
      </c>
      <c r="V7" s="12">
        <f>IFERROR(IF(E7="","",MIN(T7,S7*U7)),0)</f>
        <v/>
      </c>
      <c r="W7" s="12">
        <f>IFERROR(IF(V7=0,"",V7*7.48),"")</f>
        <v/>
      </c>
    </row>
    <row r="8">
      <c r="A8" s="32" t="n"/>
      <c r="B8" s="32" t="n"/>
      <c r="C8" s="32" t="n"/>
      <c r="D8" s="32" t="n"/>
      <c r="E8" s="32" t="n"/>
      <c r="F8" s="32" t="n"/>
      <c r="G8" s="32" t="n"/>
      <c r="H8" s="12">
        <f>IFERROR(VLOOKUP(C8,'3-CDA LandUse'!$A$4:$I$53,3,0),0)</f>
        <v/>
      </c>
      <c r="I8" s="12">
        <f>IFERROR(VLOOKUP(C8,'3-CDA LandUse'!$A$4:$I$53,4,0),0)</f>
        <v/>
      </c>
      <c r="J8" s="12">
        <f>IFERROR(VLOOKUP(C8,'3-CDA LandUse'!$A$4:$I$53,5,0),0)</f>
        <v/>
      </c>
      <c r="K8" s="32" t="n"/>
      <c r="L8" s="32" t="n"/>
      <c r="M8" s="32" t="n"/>
      <c r="N8" s="32" t="n"/>
      <c r="O8" s="32" t="n"/>
      <c r="P8" s="32" t="n"/>
      <c r="Q8" s="32" t="n"/>
      <c r="R8" s="32" t="n"/>
      <c r="S8" s="12">
        <f>IFERROR(IFS(OR(E8="B-1",E8="B-2"),F8*(L8/12*M8+N8/12*O8)+(F8+G8)/2*(K8/12),OR(E8="G-1",E8="G-2"),F8*(L8*M8+Q8*R8)/12,OR(E8="P-1",E8="P-2",E8="P-3"),F8*(N8/12*O8),E8="R-1",P8/7.48,E8="ISD",0,E8="T-P",F8*'6-Parameters'!$B$63+G8*'6-Parameters'!$B$64,E8="T-V",F8*'6-Parameters'!$B$65+G8*'6-Parameters'!$B$66+K8*'6-Parameters'!$B$67+L8*'6-Parameters'!$B$68,TRUE,0),0)</f>
        <v/>
      </c>
      <c r="T8" s="12">
        <f>IFERROR(('6-Parameters'!$B$7/12)*(0.25*I8+0.95*(H8+J8))*43560,0)</f>
        <v/>
      </c>
      <c r="U8" s="12">
        <f>IFERROR(IFS(E8="B-1",0.6,E8="B-2",1.0,E8="G-1",0.6,E8="G-2",1.0,E8="P-1",1.0,E8="P-2",0.6,E8="P-3",0.6,E8="R-1",1.0,E8="ISD",0.5,E8="T-P",1.0,E8="T-V",1.0,TRUE,0),0)</f>
        <v/>
      </c>
      <c r="V8" s="12">
        <f>IFERROR(IF(E8="","",MIN(T8,S8*U8)),0)</f>
        <v/>
      </c>
      <c r="W8" s="12">
        <f>IFERROR(IF(V8=0,"",V8*7.48),"")</f>
        <v/>
      </c>
    </row>
    <row r="9">
      <c r="A9" s="32" t="n"/>
      <c r="B9" s="32" t="n"/>
      <c r="C9" s="32" t="n"/>
      <c r="D9" s="32" t="n"/>
      <c r="E9" s="32" t="n"/>
      <c r="F9" s="32" t="n"/>
      <c r="G9" s="32" t="n"/>
      <c r="H9" s="12">
        <f>IFERROR(VLOOKUP(C9,'3-CDA LandUse'!$A$4:$I$53,3,0),0)</f>
        <v/>
      </c>
      <c r="I9" s="12">
        <f>IFERROR(VLOOKUP(C9,'3-CDA LandUse'!$A$4:$I$53,4,0),0)</f>
        <v/>
      </c>
      <c r="J9" s="12">
        <f>IFERROR(VLOOKUP(C9,'3-CDA LandUse'!$A$4:$I$53,5,0),0)</f>
        <v/>
      </c>
      <c r="K9" s="32" t="n"/>
      <c r="L9" s="32" t="n"/>
      <c r="M9" s="32" t="n"/>
      <c r="N9" s="32" t="n"/>
      <c r="O9" s="32" t="n"/>
      <c r="P9" s="32" t="n"/>
      <c r="Q9" s="32" t="n"/>
      <c r="R9" s="32" t="n"/>
      <c r="S9" s="12">
        <f>IFERROR(IFS(OR(E9="B-1",E9="B-2"),F9*(L9/12*M9+N9/12*O9)+(F9+G9)/2*(K9/12),OR(E9="G-1",E9="G-2"),F9*(L9*M9+Q9*R9)/12,OR(E9="P-1",E9="P-2",E9="P-3"),F9*(N9/12*O9),E9="R-1",P9/7.48,E9="ISD",0,E9="T-P",F9*'6-Parameters'!$B$63+G9*'6-Parameters'!$B$64,E9="T-V",F9*'6-Parameters'!$B$65+G9*'6-Parameters'!$B$66+K9*'6-Parameters'!$B$67+L9*'6-Parameters'!$B$68,TRUE,0),0)</f>
        <v/>
      </c>
      <c r="T9" s="12">
        <f>IFERROR(('6-Parameters'!$B$7/12)*(0.25*I9+0.95*(H9+J9))*43560,0)</f>
        <v/>
      </c>
      <c r="U9" s="12">
        <f>IFERROR(IFS(E9="B-1",0.6,E9="B-2",1.0,E9="G-1",0.6,E9="G-2",1.0,E9="P-1",1.0,E9="P-2",0.6,E9="P-3",0.6,E9="R-1",1.0,E9="ISD",0.5,E9="T-P",1.0,E9="T-V",1.0,TRUE,0),0)</f>
        <v/>
      </c>
      <c r="V9" s="12">
        <f>IFERROR(IF(E9="","",MIN(T9,S9*U9)),0)</f>
        <v/>
      </c>
      <c r="W9" s="12">
        <f>IFERROR(IF(V9=0,"",V9*7.48),"")</f>
        <v/>
      </c>
    </row>
    <row r="10">
      <c r="A10" s="32" t="n"/>
      <c r="B10" s="32" t="n"/>
      <c r="C10" s="32" t="n"/>
      <c r="D10" s="32" t="n"/>
      <c r="E10" s="32" t="n"/>
      <c r="F10" s="32" t="n"/>
      <c r="G10" s="32" t="n"/>
      <c r="H10" s="12">
        <f>IFERROR(VLOOKUP(C10,'3-CDA LandUse'!$A$4:$I$53,3,0),0)</f>
        <v/>
      </c>
      <c r="I10" s="12">
        <f>IFERROR(VLOOKUP(C10,'3-CDA LandUse'!$A$4:$I$53,4,0),0)</f>
        <v/>
      </c>
      <c r="J10" s="12">
        <f>IFERROR(VLOOKUP(C10,'3-CDA LandUse'!$A$4:$I$53,5,0),0)</f>
        <v/>
      </c>
      <c r="K10" s="32" t="n"/>
      <c r="L10" s="32" t="n"/>
      <c r="M10" s="32" t="n"/>
      <c r="N10" s="32" t="n"/>
      <c r="O10" s="32" t="n"/>
      <c r="P10" s="32" t="n"/>
      <c r="Q10" s="32" t="n"/>
      <c r="R10" s="32" t="n"/>
      <c r="S10" s="12">
        <f>IFERROR(IFS(OR(E10="B-1",E10="B-2"),F10*(L10/12*M10+N10/12*O10)+(F10+G10)/2*(K10/12),OR(E10="G-1",E10="G-2"),F10*(L10*M10+Q10*R10)/12,OR(E10="P-1",E10="P-2",E10="P-3"),F10*(N10/12*O10),E10="R-1",P10/7.48,E10="ISD",0,E10="T-P",F10*'6-Parameters'!$B$63+G10*'6-Parameters'!$B$64,E10="T-V",F10*'6-Parameters'!$B$65+G10*'6-Parameters'!$B$66+K10*'6-Parameters'!$B$67+L10*'6-Parameters'!$B$68,TRUE,0),0)</f>
        <v/>
      </c>
      <c r="T10" s="12">
        <f>IFERROR(('6-Parameters'!$B$7/12)*(0.25*I10+0.95*(H10+J10))*43560,0)</f>
        <v/>
      </c>
      <c r="U10" s="12">
        <f>IFERROR(IFS(E10="B-1",0.6,E10="B-2",1.0,E10="G-1",0.6,E10="G-2",1.0,E10="P-1",1.0,E10="P-2",0.6,E10="P-3",0.6,E10="R-1",1.0,E10="ISD",0.5,E10="T-P",1.0,E10="T-V",1.0,TRUE,0),0)</f>
        <v/>
      </c>
      <c r="V10" s="12">
        <f>IFERROR(IF(E10="","",MIN(T10,S10*U10)),0)</f>
        <v/>
      </c>
      <c r="W10" s="12">
        <f>IFERROR(IF(V10=0,"",V10*7.48),"")</f>
        <v/>
      </c>
    </row>
    <row r="11">
      <c r="A11" s="32" t="n"/>
      <c r="B11" s="32" t="n"/>
      <c r="C11" s="32" t="n"/>
      <c r="D11" s="32" t="n"/>
      <c r="E11" s="32" t="n"/>
      <c r="F11" s="32" t="n"/>
      <c r="G11" s="32" t="n"/>
      <c r="H11" s="12">
        <f>IFERROR(VLOOKUP(C11,'3-CDA LandUse'!$A$4:$I$53,3,0),0)</f>
        <v/>
      </c>
      <c r="I11" s="12">
        <f>IFERROR(VLOOKUP(C11,'3-CDA LandUse'!$A$4:$I$53,4,0),0)</f>
        <v/>
      </c>
      <c r="J11" s="12">
        <f>IFERROR(VLOOKUP(C11,'3-CDA LandUse'!$A$4:$I$53,5,0),0)</f>
        <v/>
      </c>
      <c r="K11" s="32" t="n"/>
      <c r="L11" s="32" t="n"/>
      <c r="M11" s="32" t="n"/>
      <c r="N11" s="32" t="n"/>
      <c r="O11" s="32" t="n"/>
      <c r="P11" s="32" t="n"/>
      <c r="Q11" s="32" t="n"/>
      <c r="R11" s="32" t="n"/>
      <c r="S11" s="12">
        <f>IFERROR(IFS(OR(E11="B-1",E11="B-2"),F11*(L11/12*M11+N11/12*O11)+(F11+G11)/2*(K11/12),OR(E11="G-1",E11="G-2"),F11*(L11*M11+Q11*R11)/12,OR(E11="P-1",E11="P-2",E11="P-3"),F11*(N11/12*O11),E11="R-1",P11/7.48,E11="ISD",0,E11="T-P",F11*'6-Parameters'!$B$63+G11*'6-Parameters'!$B$64,E11="T-V",F11*'6-Parameters'!$B$65+G11*'6-Parameters'!$B$66+K11*'6-Parameters'!$B$67+L11*'6-Parameters'!$B$68,TRUE,0),0)</f>
        <v/>
      </c>
      <c r="T11" s="12">
        <f>IFERROR(('6-Parameters'!$B$7/12)*(0.25*I11+0.95*(H11+J11))*43560,0)</f>
        <v/>
      </c>
      <c r="U11" s="12">
        <f>IFERROR(IFS(E11="B-1",0.6,E11="B-2",1.0,E11="G-1",0.6,E11="G-2",1.0,E11="P-1",1.0,E11="P-2",0.6,E11="P-3",0.6,E11="R-1",1.0,E11="ISD",0.5,E11="T-P",1.0,E11="T-V",1.0,TRUE,0),0)</f>
        <v/>
      </c>
      <c r="V11" s="12">
        <f>IFERROR(IF(E11="","",MIN(T11,S11*U11)),0)</f>
        <v/>
      </c>
      <c r="W11" s="12">
        <f>IFERROR(IF(V11=0,"",V11*7.48),"")</f>
        <v/>
      </c>
    </row>
    <row r="12">
      <c r="A12" s="32" t="n"/>
      <c r="B12" s="32" t="n"/>
      <c r="C12" s="32" t="n"/>
      <c r="D12" s="32" t="n"/>
      <c r="E12" s="32" t="n"/>
      <c r="F12" s="32" t="n"/>
      <c r="G12" s="32" t="n"/>
      <c r="H12" s="12">
        <f>IFERROR(VLOOKUP(C12,'3-CDA LandUse'!$A$4:$I$53,3,0),0)</f>
        <v/>
      </c>
      <c r="I12" s="12">
        <f>IFERROR(VLOOKUP(C12,'3-CDA LandUse'!$A$4:$I$53,4,0),0)</f>
        <v/>
      </c>
      <c r="J12" s="12">
        <f>IFERROR(VLOOKUP(C12,'3-CDA LandUse'!$A$4:$I$53,5,0),0)</f>
        <v/>
      </c>
      <c r="K12" s="32" t="n"/>
      <c r="L12" s="32" t="n"/>
      <c r="M12" s="32" t="n"/>
      <c r="N12" s="32" t="n"/>
      <c r="O12" s="32" t="n"/>
      <c r="P12" s="32" t="n"/>
      <c r="Q12" s="32" t="n"/>
      <c r="R12" s="32" t="n"/>
      <c r="S12" s="12">
        <f>IFERROR(IFS(OR(E12="B-1",E12="B-2"),F12*(L12/12*M12+N12/12*O12)+(F12+G12)/2*(K12/12),OR(E12="G-1",E12="G-2"),F12*(L12*M12+Q12*R12)/12,OR(E12="P-1",E12="P-2",E12="P-3"),F12*(N12/12*O12),E12="R-1",P12/7.48,E12="ISD",0,E12="T-P",F12*'6-Parameters'!$B$63+G12*'6-Parameters'!$B$64,E12="T-V",F12*'6-Parameters'!$B$65+G12*'6-Parameters'!$B$66+K12*'6-Parameters'!$B$67+L12*'6-Parameters'!$B$68,TRUE,0),0)</f>
        <v/>
      </c>
      <c r="T12" s="12">
        <f>IFERROR(('6-Parameters'!$B$7/12)*(0.25*I12+0.95*(H12+J12))*43560,0)</f>
        <v/>
      </c>
      <c r="U12" s="12">
        <f>IFERROR(IFS(E12="B-1",0.6,E12="B-2",1.0,E12="G-1",0.6,E12="G-2",1.0,E12="P-1",1.0,E12="P-2",0.6,E12="P-3",0.6,E12="R-1",1.0,E12="ISD",0.5,E12="T-P",1.0,E12="T-V",1.0,TRUE,0),0)</f>
        <v/>
      </c>
      <c r="V12" s="12">
        <f>IFERROR(IF(E12="","",MIN(T12,S12*U12)),0)</f>
        <v/>
      </c>
      <c r="W12" s="12">
        <f>IFERROR(IF(V12=0,"",V12*7.48),"")</f>
        <v/>
      </c>
    </row>
    <row r="13">
      <c r="A13" s="32" t="n"/>
      <c r="B13" s="32" t="n"/>
      <c r="C13" s="32" t="n"/>
      <c r="D13" s="32" t="n"/>
      <c r="E13" s="32" t="n"/>
      <c r="F13" s="32" t="n"/>
      <c r="G13" s="32" t="n"/>
      <c r="H13" s="12">
        <f>IFERROR(VLOOKUP(C13,'3-CDA LandUse'!$A$4:$I$53,3,0),0)</f>
        <v/>
      </c>
      <c r="I13" s="12">
        <f>IFERROR(VLOOKUP(C13,'3-CDA LandUse'!$A$4:$I$53,4,0),0)</f>
        <v/>
      </c>
      <c r="J13" s="12">
        <f>IFERROR(VLOOKUP(C13,'3-CDA LandUse'!$A$4:$I$53,5,0),0)</f>
        <v/>
      </c>
      <c r="K13" s="32" t="n"/>
      <c r="L13" s="32" t="n"/>
      <c r="M13" s="32" t="n"/>
      <c r="N13" s="32" t="n"/>
      <c r="O13" s="32" t="n"/>
      <c r="P13" s="32" t="n"/>
      <c r="Q13" s="32" t="n"/>
      <c r="R13" s="32" t="n"/>
      <c r="S13" s="12">
        <f>IFERROR(IFS(OR(E13="B-1",E13="B-2"),F13*(L13/12*M13+N13/12*O13)+(F13+G13)/2*(K13/12),OR(E13="G-1",E13="G-2"),F13*(L13*M13+Q13*R13)/12,OR(E13="P-1",E13="P-2",E13="P-3"),F13*(N13/12*O13),E13="R-1",P13/7.48,E13="ISD",0,E13="T-P",F13*'6-Parameters'!$B$63+G13*'6-Parameters'!$B$64,E13="T-V",F13*'6-Parameters'!$B$65+G13*'6-Parameters'!$B$66+K13*'6-Parameters'!$B$67+L13*'6-Parameters'!$B$68,TRUE,0),0)</f>
        <v/>
      </c>
      <c r="T13" s="12">
        <f>IFERROR(('6-Parameters'!$B$7/12)*(0.25*I13+0.95*(H13+J13))*43560,0)</f>
        <v/>
      </c>
      <c r="U13" s="12">
        <f>IFERROR(IFS(E13="B-1",0.6,E13="B-2",1.0,E13="G-1",0.6,E13="G-2",1.0,E13="P-1",1.0,E13="P-2",0.6,E13="P-3",0.6,E13="R-1",1.0,E13="ISD",0.5,E13="T-P",1.0,E13="T-V",1.0,TRUE,0),0)</f>
        <v/>
      </c>
      <c r="V13" s="12">
        <f>IFERROR(IF(E13="","",MIN(T13,S13*U13)),0)</f>
        <v/>
      </c>
      <c r="W13" s="12">
        <f>IFERROR(IF(V13=0,"",V13*7.48),"")</f>
        <v/>
      </c>
    </row>
    <row r="14">
      <c r="A14" s="32" t="n"/>
      <c r="B14" s="32" t="n"/>
      <c r="C14" s="32" t="n"/>
      <c r="D14" s="32" t="n"/>
      <c r="E14" s="32" t="n"/>
      <c r="F14" s="32" t="n"/>
      <c r="G14" s="32" t="n"/>
      <c r="H14" s="12">
        <f>IFERROR(VLOOKUP(C14,'3-CDA LandUse'!$A$4:$I$53,3,0),0)</f>
        <v/>
      </c>
      <c r="I14" s="12">
        <f>IFERROR(VLOOKUP(C14,'3-CDA LandUse'!$A$4:$I$53,4,0),0)</f>
        <v/>
      </c>
      <c r="J14" s="12">
        <f>IFERROR(VLOOKUP(C14,'3-CDA LandUse'!$A$4:$I$53,5,0),0)</f>
        <v/>
      </c>
      <c r="K14" s="32" t="n"/>
      <c r="L14" s="32" t="n"/>
      <c r="M14" s="32" t="n"/>
      <c r="N14" s="32" t="n"/>
      <c r="O14" s="32" t="n"/>
      <c r="P14" s="32" t="n"/>
      <c r="Q14" s="32" t="n"/>
      <c r="R14" s="32" t="n"/>
      <c r="S14" s="12">
        <f>IFERROR(IFS(OR(E14="B-1",E14="B-2"),F14*(L14/12*M14+N14/12*O14)+(F14+G14)/2*(K14/12),OR(E14="G-1",E14="G-2"),F14*(L14*M14+Q14*R14)/12,OR(E14="P-1",E14="P-2",E14="P-3"),F14*(N14/12*O14),E14="R-1",P14/7.48,E14="ISD",0,E14="T-P",F14*'6-Parameters'!$B$63+G14*'6-Parameters'!$B$64,E14="T-V",F14*'6-Parameters'!$B$65+G14*'6-Parameters'!$B$66+K14*'6-Parameters'!$B$67+L14*'6-Parameters'!$B$68,TRUE,0),0)</f>
        <v/>
      </c>
      <c r="T14" s="12">
        <f>IFERROR(('6-Parameters'!$B$7/12)*(0.25*I14+0.95*(H14+J14))*43560,0)</f>
        <v/>
      </c>
      <c r="U14" s="12">
        <f>IFERROR(IFS(E14="B-1",0.6,E14="B-2",1.0,E14="G-1",0.6,E14="G-2",1.0,E14="P-1",1.0,E14="P-2",0.6,E14="P-3",0.6,E14="R-1",1.0,E14="ISD",0.5,E14="T-P",1.0,E14="T-V",1.0,TRUE,0),0)</f>
        <v/>
      </c>
      <c r="V14" s="12">
        <f>IFERROR(IF(E14="","",MIN(T14,S14*U14)),0)</f>
        <v/>
      </c>
      <c r="W14" s="12">
        <f>IFERROR(IF(V14=0,"",V14*7.48),"")</f>
        <v/>
      </c>
    </row>
    <row r="15">
      <c r="A15" s="32" t="n"/>
      <c r="B15" s="32" t="n"/>
      <c r="C15" s="32" t="n"/>
      <c r="D15" s="32" t="n"/>
      <c r="E15" s="32" t="n"/>
      <c r="F15" s="32" t="n"/>
      <c r="G15" s="32" t="n"/>
      <c r="H15" s="12">
        <f>IFERROR(VLOOKUP(C15,'3-CDA LandUse'!$A$4:$I$53,3,0),0)</f>
        <v/>
      </c>
      <c r="I15" s="12">
        <f>IFERROR(VLOOKUP(C15,'3-CDA LandUse'!$A$4:$I$53,4,0),0)</f>
        <v/>
      </c>
      <c r="J15" s="12">
        <f>IFERROR(VLOOKUP(C15,'3-CDA LandUse'!$A$4:$I$53,5,0),0)</f>
        <v/>
      </c>
      <c r="K15" s="32" t="n"/>
      <c r="L15" s="32" t="n"/>
      <c r="M15" s="32" t="n"/>
      <c r="N15" s="32" t="n"/>
      <c r="O15" s="32" t="n"/>
      <c r="P15" s="32" t="n"/>
      <c r="Q15" s="32" t="n"/>
      <c r="R15" s="32" t="n"/>
      <c r="S15" s="12">
        <f>IFERROR(IFS(OR(E15="B-1",E15="B-2"),F15*(L15/12*M15+N15/12*O15)+(F15+G15)/2*(K15/12),OR(E15="G-1",E15="G-2"),F15*(L15*M15+Q15*R15)/12,OR(E15="P-1",E15="P-2",E15="P-3"),F15*(N15/12*O15),E15="R-1",P15/7.48,E15="ISD",0,E15="T-P",F15*'6-Parameters'!$B$63+G15*'6-Parameters'!$B$64,E15="T-V",F15*'6-Parameters'!$B$65+G15*'6-Parameters'!$B$66+K15*'6-Parameters'!$B$67+L15*'6-Parameters'!$B$68,TRUE,0),0)</f>
        <v/>
      </c>
      <c r="T15" s="12">
        <f>IFERROR(('6-Parameters'!$B$7/12)*(0.25*I15+0.95*(H15+J15))*43560,0)</f>
        <v/>
      </c>
      <c r="U15" s="12">
        <f>IFERROR(IFS(E15="B-1",0.6,E15="B-2",1.0,E15="G-1",0.6,E15="G-2",1.0,E15="P-1",1.0,E15="P-2",0.6,E15="P-3",0.6,E15="R-1",1.0,E15="ISD",0.5,E15="T-P",1.0,E15="T-V",1.0,TRUE,0),0)</f>
        <v/>
      </c>
      <c r="V15" s="12">
        <f>IFERROR(IF(E15="","",MIN(T15,S15*U15)),0)</f>
        <v/>
      </c>
      <c r="W15" s="12">
        <f>IFERROR(IF(V15=0,"",V15*7.48),"")</f>
        <v/>
      </c>
    </row>
    <row r="16">
      <c r="A16" s="32" t="n"/>
      <c r="B16" s="32" t="n"/>
      <c r="C16" s="32" t="n"/>
      <c r="D16" s="32" t="n"/>
      <c r="E16" s="32" t="n"/>
      <c r="F16" s="32" t="n"/>
      <c r="G16" s="32" t="n"/>
      <c r="H16" s="12">
        <f>IFERROR(VLOOKUP(C16,'3-CDA LandUse'!$A$4:$I$53,3,0),0)</f>
        <v/>
      </c>
      <c r="I16" s="12">
        <f>IFERROR(VLOOKUP(C16,'3-CDA LandUse'!$A$4:$I$53,4,0),0)</f>
        <v/>
      </c>
      <c r="J16" s="12">
        <f>IFERROR(VLOOKUP(C16,'3-CDA LandUse'!$A$4:$I$53,5,0),0)</f>
        <v/>
      </c>
      <c r="K16" s="32" t="n"/>
      <c r="L16" s="32" t="n"/>
      <c r="M16" s="32" t="n"/>
      <c r="N16" s="32" t="n"/>
      <c r="O16" s="32" t="n"/>
      <c r="P16" s="32" t="n"/>
      <c r="Q16" s="32" t="n"/>
      <c r="R16" s="32" t="n"/>
      <c r="S16" s="12">
        <f>IFERROR(IFS(OR(E16="B-1",E16="B-2"),F16*(L16/12*M16+N16/12*O16)+(F16+G16)/2*(K16/12),OR(E16="G-1",E16="G-2"),F16*(L16*M16+Q16*R16)/12,OR(E16="P-1",E16="P-2",E16="P-3"),F16*(N16/12*O16),E16="R-1",P16/7.48,E16="ISD",0,E16="T-P",F16*'6-Parameters'!$B$63+G16*'6-Parameters'!$B$64,E16="T-V",F16*'6-Parameters'!$B$65+G16*'6-Parameters'!$B$66+K16*'6-Parameters'!$B$67+L16*'6-Parameters'!$B$68,TRUE,0),0)</f>
        <v/>
      </c>
      <c r="T16" s="12">
        <f>IFERROR(('6-Parameters'!$B$7/12)*(0.25*I16+0.95*(H16+J16))*43560,0)</f>
        <v/>
      </c>
      <c r="U16" s="12">
        <f>IFERROR(IFS(E16="B-1",0.6,E16="B-2",1.0,E16="G-1",0.6,E16="G-2",1.0,E16="P-1",1.0,E16="P-2",0.6,E16="P-3",0.6,E16="R-1",1.0,E16="ISD",0.5,E16="T-P",1.0,E16="T-V",1.0,TRUE,0),0)</f>
        <v/>
      </c>
      <c r="V16" s="12">
        <f>IFERROR(IF(E16="","",MIN(T16,S16*U16)),0)</f>
        <v/>
      </c>
      <c r="W16" s="12">
        <f>IFERROR(IF(V16=0,"",V16*7.48),"")</f>
        <v/>
      </c>
    </row>
    <row r="17">
      <c r="A17" s="32" t="n"/>
      <c r="B17" s="32" t="n"/>
      <c r="C17" s="32" t="n"/>
      <c r="D17" s="32" t="n"/>
      <c r="E17" s="32" t="n"/>
      <c r="F17" s="32" t="n"/>
      <c r="G17" s="32" t="n"/>
      <c r="H17" s="12">
        <f>IFERROR(VLOOKUP(C17,'3-CDA LandUse'!$A$4:$I$53,3,0),0)</f>
        <v/>
      </c>
      <c r="I17" s="12">
        <f>IFERROR(VLOOKUP(C17,'3-CDA LandUse'!$A$4:$I$53,4,0),0)</f>
        <v/>
      </c>
      <c r="J17" s="12">
        <f>IFERROR(VLOOKUP(C17,'3-CDA LandUse'!$A$4:$I$53,5,0),0)</f>
        <v/>
      </c>
      <c r="K17" s="32" t="n"/>
      <c r="L17" s="32" t="n"/>
      <c r="M17" s="32" t="n"/>
      <c r="N17" s="32" t="n"/>
      <c r="O17" s="32" t="n"/>
      <c r="P17" s="32" t="n"/>
      <c r="Q17" s="32" t="n"/>
      <c r="R17" s="32" t="n"/>
      <c r="S17" s="12">
        <f>IFERROR(IFS(OR(E17="B-1",E17="B-2"),F17*(L17/12*M17+N17/12*O17)+(F17+G17)/2*(K17/12),OR(E17="G-1",E17="G-2"),F17*(L17*M17+Q17*R17)/12,OR(E17="P-1",E17="P-2",E17="P-3"),F17*(N17/12*O17),E17="R-1",P17/7.48,E17="ISD",0,E17="T-P",F17*'6-Parameters'!$B$63+G17*'6-Parameters'!$B$64,E17="T-V",F17*'6-Parameters'!$B$65+G17*'6-Parameters'!$B$66+K17*'6-Parameters'!$B$67+L17*'6-Parameters'!$B$68,TRUE,0),0)</f>
        <v/>
      </c>
      <c r="T17" s="12">
        <f>IFERROR(('6-Parameters'!$B$7/12)*(0.25*I17+0.95*(H17+J17))*43560,0)</f>
        <v/>
      </c>
      <c r="U17" s="12">
        <f>IFERROR(IFS(E17="B-1",0.6,E17="B-2",1.0,E17="G-1",0.6,E17="G-2",1.0,E17="P-1",1.0,E17="P-2",0.6,E17="P-3",0.6,E17="R-1",1.0,E17="ISD",0.5,E17="T-P",1.0,E17="T-V",1.0,TRUE,0),0)</f>
        <v/>
      </c>
      <c r="V17" s="12">
        <f>IFERROR(IF(E17="","",MIN(T17,S17*U17)),0)</f>
        <v/>
      </c>
      <c r="W17" s="12">
        <f>IFERROR(IF(V17=0,"",V17*7.48),"")</f>
        <v/>
      </c>
    </row>
    <row r="18">
      <c r="A18" s="32" t="n"/>
      <c r="B18" s="32" t="n"/>
      <c r="C18" s="32" t="n"/>
      <c r="D18" s="32" t="n"/>
      <c r="E18" s="32" t="n"/>
      <c r="F18" s="32" t="n"/>
      <c r="G18" s="32" t="n"/>
      <c r="H18" s="12">
        <f>IFERROR(VLOOKUP(C18,'3-CDA LandUse'!$A$4:$I$53,3,0),0)</f>
        <v/>
      </c>
      <c r="I18" s="12">
        <f>IFERROR(VLOOKUP(C18,'3-CDA LandUse'!$A$4:$I$53,4,0),0)</f>
        <v/>
      </c>
      <c r="J18" s="12">
        <f>IFERROR(VLOOKUP(C18,'3-CDA LandUse'!$A$4:$I$53,5,0),0)</f>
        <v/>
      </c>
      <c r="K18" s="32" t="n"/>
      <c r="L18" s="32" t="n"/>
      <c r="M18" s="32" t="n"/>
      <c r="N18" s="32" t="n"/>
      <c r="O18" s="32" t="n"/>
      <c r="P18" s="32" t="n"/>
      <c r="Q18" s="32" t="n"/>
      <c r="R18" s="32" t="n"/>
      <c r="S18" s="12">
        <f>IFERROR(IFS(OR(E18="B-1",E18="B-2"),F18*(L18/12*M18+N18/12*O18)+(F18+G18)/2*(K18/12),OR(E18="G-1",E18="G-2"),F18*(L18*M18+Q18*R18)/12,OR(E18="P-1",E18="P-2",E18="P-3"),F18*(N18/12*O18),E18="R-1",P18/7.48,E18="ISD",0,E18="T-P",F18*'6-Parameters'!$B$63+G18*'6-Parameters'!$B$64,E18="T-V",F18*'6-Parameters'!$B$65+G18*'6-Parameters'!$B$66+K18*'6-Parameters'!$B$67+L18*'6-Parameters'!$B$68,TRUE,0),0)</f>
        <v/>
      </c>
      <c r="T18" s="12">
        <f>IFERROR(('6-Parameters'!$B$7/12)*(0.25*I18+0.95*(H18+J18))*43560,0)</f>
        <v/>
      </c>
      <c r="U18" s="12">
        <f>IFERROR(IFS(E18="B-1",0.6,E18="B-2",1.0,E18="G-1",0.6,E18="G-2",1.0,E18="P-1",1.0,E18="P-2",0.6,E18="P-3",0.6,E18="R-1",1.0,E18="ISD",0.5,E18="T-P",1.0,E18="T-V",1.0,TRUE,0),0)</f>
        <v/>
      </c>
      <c r="V18" s="12">
        <f>IFERROR(IF(E18="","",MIN(T18,S18*U18)),0)</f>
        <v/>
      </c>
      <c r="W18" s="12">
        <f>IFERROR(IF(V18=0,"",V18*7.48),"")</f>
        <v/>
      </c>
    </row>
    <row r="19">
      <c r="A19" s="32" t="n"/>
      <c r="B19" s="32" t="n"/>
      <c r="C19" s="32" t="n"/>
      <c r="D19" s="32" t="n"/>
      <c r="E19" s="32" t="n"/>
      <c r="F19" s="32" t="n"/>
      <c r="G19" s="32" t="n"/>
      <c r="H19" s="12">
        <f>IFERROR(VLOOKUP(C19,'3-CDA LandUse'!$A$4:$I$53,3,0),0)</f>
        <v/>
      </c>
      <c r="I19" s="12">
        <f>IFERROR(VLOOKUP(C19,'3-CDA LandUse'!$A$4:$I$53,4,0),0)</f>
        <v/>
      </c>
      <c r="J19" s="12">
        <f>IFERROR(VLOOKUP(C19,'3-CDA LandUse'!$A$4:$I$53,5,0),0)</f>
        <v/>
      </c>
      <c r="K19" s="32" t="n"/>
      <c r="L19" s="32" t="n"/>
      <c r="M19" s="32" t="n"/>
      <c r="N19" s="32" t="n"/>
      <c r="O19" s="32" t="n"/>
      <c r="P19" s="32" t="n"/>
      <c r="Q19" s="32" t="n"/>
      <c r="R19" s="32" t="n"/>
      <c r="S19" s="12">
        <f>IFERROR(IFS(OR(E19="B-1",E19="B-2"),F19*(L19/12*M19+N19/12*O19)+(F19+G19)/2*(K19/12),OR(E19="G-1",E19="G-2"),F19*(L19*M19+Q19*R19)/12,OR(E19="P-1",E19="P-2",E19="P-3"),F19*(N19/12*O19),E19="R-1",P19/7.48,E19="ISD",0,E19="T-P",F19*'6-Parameters'!$B$63+G19*'6-Parameters'!$B$64,E19="T-V",F19*'6-Parameters'!$B$65+G19*'6-Parameters'!$B$66+K19*'6-Parameters'!$B$67+L19*'6-Parameters'!$B$68,TRUE,0),0)</f>
        <v/>
      </c>
      <c r="T19" s="12">
        <f>IFERROR(('6-Parameters'!$B$7/12)*(0.25*I19+0.95*(H19+J19))*43560,0)</f>
        <v/>
      </c>
      <c r="U19" s="12">
        <f>IFERROR(IFS(E19="B-1",0.6,E19="B-2",1.0,E19="G-1",0.6,E19="G-2",1.0,E19="P-1",1.0,E19="P-2",0.6,E19="P-3",0.6,E19="R-1",1.0,E19="ISD",0.5,E19="T-P",1.0,E19="T-V",1.0,TRUE,0),0)</f>
        <v/>
      </c>
      <c r="V19" s="12">
        <f>IFERROR(IF(E19="","",MIN(T19,S19*U19)),0)</f>
        <v/>
      </c>
      <c r="W19" s="12">
        <f>IFERROR(IF(V19=0,"",V19*7.48),"")</f>
        <v/>
      </c>
    </row>
    <row r="20">
      <c r="A20" s="32" t="n"/>
      <c r="B20" s="32" t="n"/>
      <c r="C20" s="32" t="n"/>
      <c r="D20" s="32" t="n"/>
      <c r="E20" s="32" t="n"/>
      <c r="F20" s="32" t="n"/>
      <c r="G20" s="32" t="n"/>
      <c r="H20" s="12">
        <f>IFERROR(VLOOKUP(C20,'3-CDA LandUse'!$A$4:$I$53,3,0),0)</f>
        <v/>
      </c>
      <c r="I20" s="12">
        <f>IFERROR(VLOOKUP(C20,'3-CDA LandUse'!$A$4:$I$53,4,0),0)</f>
        <v/>
      </c>
      <c r="J20" s="12">
        <f>IFERROR(VLOOKUP(C20,'3-CDA LandUse'!$A$4:$I$53,5,0),0)</f>
        <v/>
      </c>
      <c r="K20" s="32" t="n"/>
      <c r="L20" s="32" t="n"/>
      <c r="M20" s="32" t="n"/>
      <c r="N20" s="32" t="n"/>
      <c r="O20" s="32" t="n"/>
      <c r="P20" s="32" t="n"/>
      <c r="Q20" s="32" t="n"/>
      <c r="R20" s="32" t="n"/>
      <c r="S20" s="12">
        <f>IFERROR(IFS(OR(E20="B-1",E20="B-2"),F20*(L20/12*M20+N20/12*O20)+(F20+G20)/2*(K20/12),OR(E20="G-1",E20="G-2"),F20*(L20*M20+Q20*R20)/12,OR(E20="P-1",E20="P-2",E20="P-3"),F20*(N20/12*O20),E20="R-1",P20/7.48,E20="ISD",0,E20="T-P",F20*'6-Parameters'!$B$63+G20*'6-Parameters'!$B$64,E20="T-V",F20*'6-Parameters'!$B$65+G20*'6-Parameters'!$B$66+K20*'6-Parameters'!$B$67+L20*'6-Parameters'!$B$68,TRUE,0),0)</f>
        <v/>
      </c>
      <c r="T20" s="12">
        <f>IFERROR(('6-Parameters'!$B$7/12)*(0.25*I20+0.95*(H20+J20))*43560,0)</f>
        <v/>
      </c>
      <c r="U20" s="12">
        <f>IFERROR(IFS(E20="B-1",0.6,E20="B-2",1.0,E20="G-1",0.6,E20="G-2",1.0,E20="P-1",1.0,E20="P-2",0.6,E20="P-3",0.6,E20="R-1",1.0,E20="ISD",0.5,E20="T-P",1.0,E20="T-V",1.0,TRUE,0),0)</f>
        <v/>
      </c>
      <c r="V20" s="12">
        <f>IFERROR(IF(E20="","",MIN(T20,S20*U20)),0)</f>
        <v/>
      </c>
      <c r="W20" s="12">
        <f>IFERROR(IF(V20=0,"",V20*7.48),"")</f>
        <v/>
      </c>
    </row>
    <row r="21">
      <c r="A21" s="32" t="n"/>
      <c r="B21" s="32" t="n"/>
      <c r="C21" s="32" t="n"/>
      <c r="D21" s="32" t="n"/>
      <c r="E21" s="32" t="n"/>
      <c r="F21" s="32" t="n"/>
      <c r="G21" s="32" t="n"/>
      <c r="H21" s="12">
        <f>IFERROR(VLOOKUP(C21,'3-CDA LandUse'!$A$4:$I$53,3,0),0)</f>
        <v/>
      </c>
      <c r="I21" s="12">
        <f>IFERROR(VLOOKUP(C21,'3-CDA LandUse'!$A$4:$I$53,4,0),0)</f>
        <v/>
      </c>
      <c r="J21" s="12">
        <f>IFERROR(VLOOKUP(C21,'3-CDA LandUse'!$A$4:$I$53,5,0),0)</f>
        <v/>
      </c>
      <c r="K21" s="32" t="n"/>
      <c r="L21" s="32" t="n"/>
      <c r="M21" s="32" t="n"/>
      <c r="N21" s="32" t="n"/>
      <c r="O21" s="32" t="n"/>
      <c r="P21" s="32" t="n"/>
      <c r="Q21" s="32" t="n"/>
      <c r="R21" s="32" t="n"/>
      <c r="S21" s="12">
        <f>IFERROR(IFS(OR(E21="B-1",E21="B-2"),F21*(L21/12*M21+N21/12*O21)+(F21+G21)/2*(K21/12),OR(E21="G-1",E21="G-2"),F21*(L21*M21+Q21*R21)/12,OR(E21="P-1",E21="P-2",E21="P-3"),F21*(N21/12*O21),E21="R-1",P21/7.48,E21="ISD",0,E21="T-P",F21*'6-Parameters'!$B$63+G21*'6-Parameters'!$B$64,E21="T-V",F21*'6-Parameters'!$B$65+G21*'6-Parameters'!$B$66+K21*'6-Parameters'!$B$67+L21*'6-Parameters'!$B$68,TRUE,0),0)</f>
        <v/>
      </c>
      <c r="T21" s="12">
        <f>IFERROR(('6-Parameters'!$B$7/12)*(0.25*I21+0.95*(H21+J21))*43560,0)</f>
        <v/>
      </c>
      <c r="U21" s="12">
        <f>IFERROR(IFS(E21="B-1",0.6,E21="B-2",1.0,E21="G-1",0.6,E21="G-2",1.0,E21="P-1",1.0,E21="P-2",0.6,E21="P-3",0.6,E21="R-1",1.0,E21="ISD",0.5,E21="T-P",1.0,E21="T-V",1.0,TRUE,0),0)</f>
        <v/>
      </c>
      <c r="V21" s="12">
        <f>IFERROR(IF(E21="","",MIN(T21,S21*U21)),0)</f>
        <v/>
      </c>
      <c r="W21" s="12">
        <f>IFERROR(IF(V21=0,"",V21*7.48),"")</f>
        <v/>
      </c>
    </row>
    <row r="22">
      <c r="A22" s="32" t="n"/>
      <c r="B22" s="32" t="n"/>
      <c r="C22" s="32" t="n"/>
      <c r="D22" s="32" t="n"/>
      <c r="E22" s="32" t="n"/>
      <c r="F22" s="32" t="n"/>
      <c r="G22" s="32" t="n"/>
      <c r="H22" s="12">
        <f>IFERROR(VLOOKUP(C22,'3-CDA LandUse'!$A$4:$I$53,3,0),0)</f>
        <v/>
      </c>
      <c r="I22" s="12">
        <f>IFERROR(VLOOKUP(C22,'3-CDA LandUse'!$A$4:$I$53,4,0),0)</f>
        <v/>
      </c>
      <c r="J22" s="12">
        <f>IFERROR(VLOOKUP(C22,'3-CDA LandUse'!$A$4:$I$53,5,0),0)</f>
        <v/>
      </c>
      <c r="K22" s="32" t="n"/>
      <c r="L22" s="32" t="n"/>
      <c r="M22" s="32" t="n"/>
      <c r="N22" s="32" t="n"/>
      <c r="O22" s="32" t="n"/>
      <c r="P22" s="32" t="n"/>
      <c r="Q22" s="32" t="n"/>
      <c r="R22" s="32" t="n"/>
      <c r="S22" s="12">
        <f>IFERROR(IFS(OR(E22="B-1",E22="B-2"),F22*(L22/12*M22+N22/12*O22)+(F22+G22)/2*(K22/12),OR(E22="G-1",E22="G-2"),F22*(L22*M22+Q22*R22)/12,OR(E22="P-1",E22="P-2",E22="P-3"),F22*(N22/12*O22),E22="R-1",P22/7.48,E22="ISD",0,E22="T-P",F22*'6-Parameters'!$B$63+G22*'6-Parameters'!$B$64,E22="T-V",F22*'6-Parameters'!$B$65+G22*'6-Parameters'!$B$66+K22*'6-Parameters'!$B$67+L22*'6-Parameters'!$B$68,TRUE,0),0)</f>
        <v/>
      </c>
      <c r="T22" s="12">
        <f>IFERROR(('6-Parameters'!$B$7/12)*(0.25*I22+0.95*(H22+J22))*43560,0)</f>
        <v/>
      </c>
      <c r="U22" s="12">
        <f>IFERROR(IFS(E22="B-1",0.6,E22="B-2",1.0,E22="G-1",0.6,E22="G-2",1.0,E22="P-1",1.0,E22="P-2",0.6,E22="P-3",0.6,E22="R-1",1.0,E22="ISD",0.5,E22="T-P",1.0,E22="T-V",1.0,TRUE,0),0)</f>
        <v/>
      </c>
      <c r="V22" s="12">
        <f>IFERROR(IF(E22="","",MIN(T22,S22*U22)),0)</f>
        <v/>
      </c>
      <c r="W22" s="12">
        <f>IFERROR(IF(V22=0,"",V22*7.48),"")</f>
        <v/>
      </c>
    </row>
    <row r="23">
      <c r="A23" s="32" t="n"/>
      <c r="B23" s="32" t="n"/>
      <c r="C23" s="32" t="n"/>
      <c r="D23" s="32" t="n"/>
      <c r="E23" s="32" t="n"/>
      <c r="F23" s="32" t="n"/>
      <c r="G23" s="32" t="n"/>
      <c r="H23" s="12">
        <f>IFERROR(VLOOKUP(C23,'3-CDA LandUse'!$A$4:$I$53,3,0),0)</f>
        <v/>
      </c>
      <c r="I23" s="12">
        <f>IFERROR(VLOOKUP(C23,'3-CDA LandUse'!$A$4:$I$53,4,0),0)</f>
        <v/>
      </c>
      <c r="J23" s="12">
        <f>IFERROR(VLOOKUP(C23,'3-CDA LandUse'!$A$4:$I$53,5,0),0)</f>
        <v/>
      </c>
      <c r="K23" s="32" t="n"/>
      <c r="L23" s="32" t="n"/>
      <c r="M23" s="32" t="n"/>
      <c r="N23" s="32" t="n"/>
      <c r="O23" s="32" t="n"/>
      <c r="P23" s="32" t="n"/>
      <c r="Q23" s="32" t="n"/>
      <c r="R23" s="32" t="n"/>
      <c r="S23" s="12">
        <f>IFERROR(IFS(OR(E23="B-1",E23="B-2"),F23*(L23/12*M23+N23/12*O23)+(F23+G23)/2*(K23/12),OR(E23="G-1",E23="G-2"),F23*(L23*M23+Q23*R23)/12,OR(E23="P-1",E23="P-2",E23="P-3"),F23*(N23/12*O23),E23="R-1",P23/7.48,E23="ISD",0,E23="T-P",F23*'6-Parameters'!$B$63+G23*'6-Parameters'!$B$64,E23="T-V",F23*'6-Parameters'!$B$65+G23*'6-Parameters'!$B$66+K23*'6-Parameters'!$B$67+L23*'6-Parameters'!$B$68,TRUE,0),0)</f>
        <v/>
      </c>
      <c r="T23" s="12">
        <f>IFERROR(('6-Parameters'!$B$7/12)*(0.25*I23+0.95*(H23+J23))*43560,0)</f>
        <v/>
      </c>
      <c r="U23" s="12">
        <f>IFERROR(IFS(E23="B-1",0.6,E23="B-2",1.0,E23="G-1",0.6,E23="G-2",1.0,E23="P-1",1.0,E23="P-2",0.6,E23="P-3",0.6,E23="R-1",1.0,E23="ISD",0.5,E23="T-P",1.0,E23="T-V",1.0,TRUE,0),0)</f>
        <v/>
      </c>
      <c r="V23" s="12">
        <f>IFERROR(IF(E23="","",MIN(T23,S23*U23)),0)</f>
        <v/>
      </c>
      <c r="W23" s="12">
        <f>IFERROR(IF(V23=0,"",V23*7.48),"")</f>
        <v/>
      </c>
    </row>
    <row r="24">
      <c r="A24" s="32" t="n"/>
      <c r="B24" s="32" t="n"/>
      <c r="C24" s="32" t="n"/>
      <c r="D24" s="32" t="n"/>
      <c r="E24" s="32" t="n"/>
      <c r="F24" s="32" t="n"/>
      <c r="G24" s="32" t="n"/>
      <c r="H24" s="12">
        <f>IFERROR(VLOOKUP(C24,'3-CDA LandUse'!$A$4:$I$53,3,0),0)</f>
        <v/>
      </c>
      <c r="I24" s="12">
        <f>IFERROR(VLOOKUP(C24,'3-CDA LandUse'!$A$4:$I$53,4,0),0)</f>
        <v/>
      </c>
      <c r="J24" s="12">
        <f>IFERROR(VLOOKUP(C24,'3-CDA LandUse'!$A$4:$I$53,5,0),0)</f>
        <v/>
      </c>
      <c r="K24" s="32" t="n"/>
      <c r="L24" s="32" t="n"/>
      <c r="M24" s="32" t="n"/>
      <c r="N24" s="32" t="n"/>
      <c r="O24" s="32" t="n"/>
      <c r="P24" s="32" t="n"/>
      <c r="Q24" s="32" t="n"/>
      <c r="R24" s="32" t="n"/>
      <c r="S24" s="12">
        <f>IFERROR(IFS(OR(E24="B-1",E24="B-2"),F24*(L24/12*M24+N24/12*O24)+(F24+G24)/2*(K24/12),OR(E24="G-1",E24="G-2"),F24*(L24*M24+Q24*R24)/12,OR(E24="P-1",E24="P-2",E24="P-3"),F24*(N24/12*O24),E24="R-1",P24/7.48,E24="ISD",0,E24="T-P",F24*'6-Parameters'!$B$63+G24*'6-Parameters'!$B$64,E24="T-V",F24*'6-Parameters'!$B$65+G24*'6-Parameters'!$B$66+K24*'6-Parameters'!$B$67+L24*'6-Parameters'!$B$68,TRUE,0),0)</f>
        <v/>
      </c>
      <c r="T24" s="12">
        <f>IFERROR(('6-Parameters'!$B$7/12)*(0.25*I24+0.95*(H24+J24))*43560,0)</f>
        <v/>
      </c>
      <c r="U24" s="12">
        <f>IFERROR(IFS(E24="B-1",0.6,E24="B-2",1.0,E24="G-1",0.6,E24="G-2",1.0,E24="P-1",1.0,E24="P-2",0.6,E24="P-3",0.6,E24="R-1",1.0,E24="ISD",0.5,E24="T-P",1.0,E24="T-V",1.0,TRUE,0),0)</f>
        <v/>
      </c>
      <c r="V24" s="12">
        <f>IFERROR(IF(E24="","",MIN(T24,S24*U24)),0)</f>
        <v/>
      </c>
      <c r="W24" s="12">
        <f>IFERROR(IF(V24=0,"",V24*7.48),"")</f>
        <v/>
      </c>
    </row>
    <row r="25">
      <c r="A25" s="32" t="n"/>
      <c r="B25" s="32" t="n"/>
      <c r="C25" s="32" t="n"/>
      <c r="D25" s="32" t="n"/>
      <c r="E25" s="32" t="n"/>
      <c r="F25" s="32" t="n"/>
      <c r="G25" s="32" t="n"/>
      <c r="H25" s="12">
        <f>IFERROR(VLOOKUP(C25,'3-CDA LandUse'!$A$4:$I$53,3,0),0)</f>
        <v/>
      </c>
      <c r="I25" s="12">
        <f>IFERROR(VLOOKUP(C25,'3-CDA LandUse'!$A$4:$I$53,4,0),0)</f>
        <v/>
      </c>
      <c r="J25" s="12">
        <f>IFERROR(VLOOKUP(C25,'3-CDA LandUse'!$A$4:$I$53,5,0),0)</f>
        <v/>
      </c>
      <c r="K25" s="32" t="n"/>
      <c r="L25" s="32" t="n"/>
      <c r="M25" s="32" t="n"/>
      <c r="N25" s="32" t="n"/>
      <c r="O25" s="32" t="n"/>
      <c r="P25" s="32" t="n"/>
      <c r="Q25" s="32" t="n"/>
      <c r="R25" s="32" t="n"/>
      <c r="S25" s="12">
        <f>IFERROR(IFS(OR(E25="B-1",E25="B-2"),F25*(L25/12*M25+N25/12*O25)+(F25+G25)/2*(K25/12),OR(E25="G-1",E25="G-2"),F25*(L25*M25+Q25*R25)/12,OR(E25="P-1",E25="P-2",E25="P-3"),F25*(N25/12*O25),E25="R-1",P25/7.48,E25="ISD",0,E25="T-P",F25*'6-Parameters'!$B$63+G25*'6-Parameters'!$B$64,E25="T-V",F25*'6-Parameters'!$B$65+G25*'6-Parameters'!$B$66+K25*'6-Parameters'!$B$67+L25*'6-Parameters'!$B$68,TRUE,0),0)</f>
        <v/>
      </c>
      <c r="T25" s="12">
        <f>IFERROR(('6-Parameters'!$B$7/12)*(0.25*I25+0.95*(H25+J25))*43560,0)</f>
        <v/>
      </c>
      <c r="U25" s="12">
        <f>IFERROR(IFS(E25="B-1",0.6,E25="B-2",1.0,E25="G-1",0.6,E25="G-2",1.0,E25="P-1",1.0,E25="P-2",0.6,E25="P-3",0.6,E25="R-1",1.0,E25="ISD",0.5,E25="T-P",1.0,E25="T-V",1.0,TRUE,0),0)</f>
        <v/>
      </c>
      <c r="V25" s="12">
        <f>IFERROR(IF(E25="","",MIN(T25,S25*U25)),0)</f>
        <v/>
      </c>
      <c r="W25" s="12">
        <f>IFERROR(IF(V25=0,"",V25*7.48),"")</f>
        <v/>
      </c>
    </row>
    <row r="26">
      <c r="A26" s="32" t="n"/>
      <c r="B26" s="32" t="n"/>
      <c r="C26" s="32" t="n"/>
      <c r="D26" s="32" t="n"/>
      <c r="E26" s="32" t="n"/>
      <c r="F26" s="32" t="n"/>
      <c r="G26" s="32" t="n"/>
      <c r="H26" s="12">
        <f>IFERROR(VLOOKUP(C26,'3-CDA LandUse'!$A$4:$I$53,3,0),0)</f>
        <v/>
      </c>
      <c r="I26" s="12">
        <f>IFERROR(VLOOKUP(C26,'3-CDA LandUse'!$A$4:$I$53,4,0),0)</f>
        <v/>
      </c>
      <c r="J26" s="12">
        <f>IFERROR(VLOOKUP(C26,'3-CDA LandUse'!$A$4:$I$53,5,0),0)</f>
        <v/>
      </c>
      <c r="K26" s="32" t="n"/>
      <c r="L26" s="32" t="n"/>
      <c r="M26" s="32" t="n"/>
      <c r="N26" s="32" t="n"/>
      <c r="O26" s="32" t="n"/>
      <c r="P26" s="32" t="n"/>
      <c r="Q26" s="32" t="n"/>
      <c r="R26" s="32" t="n"/>
      <c r="S26" s="12">
        <f>IFERROR(IFS(OR(E26="B-1",E26="B-2"),F26*(L26/12*M26+N26/12*O26)+(F26+G26)/2*(K26/12),OR(E26="G-1",E26="G-2"),F26*(L26*M26+Q26*R26)/12,OR(E26="P-1",E26="P-2",E26="P-3"),F26*(N26/12*O26),E26="R-1",P26/7.48,E26="ISD",0,E26="T-P",F26*'6-Parameters'!$B$63+G26*'6-Parameters'!$B$64,E26="T-V",F26*'6-Parameters'!$B$65+G26*'6-Parameters'!$B$66+K26*'6-Parameters'!$B$67+L26*'6-Parameters'!$B$68,TRUE,0),0)</f>
        <v/>
      </c>
      <c r="T26" s="12">
        <f>IFERROR(('6-Parameters'!$B$7/12)*(0.25*I26+0.95*(H26+J26))*43560,0)</f>
        <v/>
      </c>
      <c r="U26" s="12">
        <f>IFERROR(IFS(E26="B-1",0.6,E26="B-2",1.0,E26="G-1",0.6,E26="G-2",1.0,E26="P-1",1.0,E26="P-2",0.6,E26="P-3",0.6,E26="R-1",1.0,E26="ISD",0.5,E26="T-P",1.0,E26="T-V",1.0,TRUE,0),0)</f>
        <v/>
      </c>
      <c r="V26" s="12">
        <f>IFERROR(IF(E26="","",MIN(T26,S26*U26)),0)</f>
        <v/>
      </c>
      <c r="W26" s="12">
        <f>IFERROR(IF(V26=0,"",V26*7.48),"")</f>
        <v/>
      </c>
    </row>
    <row r="27">
      <c r="A27" s="32" t="n"/>
      <c r="B27" s="32" t="n"/>
      <c r="C27" s="32" t="n"/>
      <c r="D27" s="32" t="n"/>
      <c r="E27" s="32" t="n"/>
      <c r="F27" s="32" t="n"/>
      <c r="G27" s="32" t="n"/>
      <c r="H27" s="12">
        <f>IFERROR(VLOOKUP(C27,'3-CDA LandUse'!$A$4:$I$53,3,0),0)</f>
        <v/>
      </c>
      <c r="I27" s="12">
        <f>IFERROR(VLOOKUP(C27,'3-CDA LandUse'!$A$4:$I$53,4,0),0)</f>
        <v/>
      </c>
      <c r="J27" s="12">
        <f>IFERROR(VLOOKUP(C27,'3-CDA LandUse'!$A$4:$I$53,5,0),0)</f>
        <v/>
      </c>
      <c r="K27" s="32" t="n"/>
      <c r="L27" s="32" t="n"/>
      <c r="M27" s="32" t="n"/>
      <c r="N27" s="32" t="n"/>
      <c r="O27" s="32" t="n"/>
      <c r="P27" s="32" t="n"/>
      <c r="Q27" s="32" t="n"/>
      <c r="R27" s="32" t="n"/>
      <c r="S27" s="12">
        <f>IFERROR(IFS(OR(E27="B-1",E27="B-2"),F27*(L27/12*M27+N27/12*O27)+(F27+G27)/2*(K27/12),OR(E27="G-1",E27="G-2"),F27*(L27*M27+Q27*R27)/12,OR(E27="P-1",E27="P-2",E27="P-3"),F27*(N27/12*O27),E27="R-1",P27/7.48,E27="ISD",0,E27="T-P",F27*'6-Parameters'!$B$63+G27*'6-Parameters'!$B$64,E27="T-V",F27*'6-Parameters'!$B$65+G27*'6-Parameters'!$B$66+K27*'6-Parameters'!$B$67+L27*'6-Parameters'!$B$68,TRUE,0),0)</f>
        <v/>
      </c>
      <c r="T27" s="12">
        <f>IFERROR(('6-Parameters'!$B$7/12)*(0.25*I27+0.95*(H27+J27))*43560,0)</f>
        <v/>
      </c>
      <c r="U27" s="12">
        <f>IFERROR(IFS(E27="B-1",0.6,E27="B-2",1.0,E27="G-1",0.6,E27="G-2",1.0,E27="P-1",1.0,E27="P-2",0.6,E27="P-3",0.6,E27="R-1",1.0,E27="ISD",0.5,E27="T-P",1.0,E27="T-V",1.0,TRUE,0),0)</f>
        <v/>
      </c>
      <c r="V27" s="12">
        <f>IFERROR(IF(E27="","",MIN(T27,S27*U27)),0)</f>
        <v/>
      </c>
      <c r="W27" s="12">
        <f>IFERROR(IF(V27=0,"",V27*7.48),"")</f>
        <v/>
      </c>
    </row>
    <row r="28">
      <c r="A28" s="32" t="n"/>
      <c r="B28" s="32" t="n"/>
      <c r="C28" s="32" t="n"/>
      <c r="D28" s="32" t="n"/>
      <c r="E28" s="32" t="n"/>
      <c r="F28" s="32" t="n"/>
      <c r="G28" s="32" t="n"/>
      <c r="H28" s="12">
        <f>IFERROR(VLOOKUP(C28,'3-CDA LandUse'!$A$4:$I$53,3,0),0)</f>
        <v/>
      </c>
      <c r="I28" s="12">
        <f>IFERROR(VLOOKUP(C28,'3-CDA LandUse'!$A$4:$I$53,4,0),0)</f>
        <v/>
      </c>
      <c r="J28" s="12">
        <f>IFERROR(VLOOKUP(C28,'3-CDA LandUse'!$A$4:$I$53,5,0),0)</f>
        <v/>
      </c>
      <c r="K28" s="32" t="n"/>
      <c r="L28" s="32" t="n"/>
      <c r="M28" s="32" t="n"/>
      <c r="N28" s="32" t="n"/>
      <c r="O28" s="32" t="n"/>
      <c r="P28" s="32" t="n"/>
      <c r="Q28" s="32" t="n"/>
      <c r="R28" s="32" t="n"/>
      <c r="S28" s="12">
        <f>IFERROR(IFS(OR(E28="B-1",E28="B-2"),F28*(L28/12*M28+N28/12*O28)+(F28+G28)/2*(K28/12),OR(E28="G-1",E28="G-2"),F28*(L28*M28+Q28*R28)/12,OR(E28="P-1",E28="P-2",E28="P-3"),F28*(N28/12*O28),E28="R-1",P28/7.48,E28="ISD",0,E28="T-P",F28*'6-Parameters'!$B$63+G28*'6-Parameters'!$B$64,E28="T-V",F28*'6-Parameters'!$B$65+G28*'6-Parameters'!$B$66+K28*'6-Parameters'!$B$67+L28*'6-Parameters'!$B$68,TRUE,0),0)</f>
        <v/>
      </c>
      <c r="T28" s="12">
        <f>IFERROR(('6-Parameters'!$B$7/12)*(0.25*I28+0.95*(H28+J28))*43560,0)</f>
        <v/>
      </c>
      <c r="U28" s="12">
        <f>IFERROR(IFS(E28="B-1",0.6,E28="B-2",1.0,E28="G-1",0.6,E28="G-2",1.0,E28="P-1",1.0,E28="P-2",0.6,E28="P-3",0.6,E28="R-1",1.0,E28="ISD",0.5,E28="T-P",1.0,E28="T-V",1.0,TRUE,0),0)</f>
        <v/>
      </c>
      <c r="V28" s="12">
        <f>IFERROR(IF(E28="","",MIN(T28,S28*U28)),0)</f>
        <v/>
      </c>
      <c r="W28" s="12">
        <f>IFERROR(IF(V28=0,"",V28*7.48),"")</f>
        <v/>
      </c>
    </row>
    <row r="29">
      <c r="A29" s="32" t="n"/>
      <c r="B29" s="32" t="n"/>
      <c r="C29" s="32" t="n"/>
      <c r="D29" s="32" t="n"/>
      <c r="E29" s="32" t="n"/>
      <c r="F29" s="32" t="n"/>
      <c r="G29" s="32" t="n"/>
      <c r="H29" s="12">
        <f>IFERROR(VLOOKUP(C29,'3-CDA LandUse'!$A$4:$I$53,3,0),0)</f>
        <v/>
      </c>
      <c r="I29" s="12">
        <f>IFERROR(VLOOKUP(C29,'3-CDA LandUse'!$A$4:$I$53,4,0),0)</f>
        <v/>
      </c>
      <c r="J29" s="12">
        <f>IFERROR(VLOOKUP(C29,'3-CDA LandUse'!$A$4:$I$53,5,0),0)</f>
        <v/>
      </c>
      <c r="K29" s="32" t="n"/>
      <c r="L29" s="32" t="n"/>
      <c r="M29" s="32" t="n"/>
      <c r="N29" s="32" t="n"/>
      <c r="O29" s="32" t="n"/>
      <c r="P29" s="32" t="n"/>
      <c r="Q29" s="32" t="n"/>
      <c r="R29" s="32" t="n"/>
      <c r="S29" s="12">
        <f>IFERROR(IFS(OR(E29="B-1",E29="B-2"),F29*(L29/12*M29+N29/12*O29)+(F29+G29)/2*(K29/12),OR(E29="G-1",E29="G-2"),F29*(L29*M29+Q29*R29)/12,OR(E29="P-1",E29="P-2",E29="P-3"),F29*(N29/12*O29),E29="R-1",P29/7.48,E29="ISD",0,E29="T-P",F29*'6-Parameters'!$B$63+G29*'6-Parameters'!$B$64,E29="T-V",F29*'6-Parameters'!$B$65+G29*'6-Parameters'!$B$66+K29*'6-Parameters'!$B$67+L29*'6-Parameters'!$B$68,TRUE,0),0)</f>
        <v/>
      </c>
      <c r="T29" s="12">
        <f>IFERROR(('6-Parameters'!$B$7/12)*(0.25*I29+0.95*(H29+J29))*43560,0)</f>
        <v/>
      </c>
      <c r="U29" s="12">
        <f>IFERROR(IFS(E29="B-1",0.6,E29="B-2",1.0,E29="G-1",0.6,E29="G-2",1.0,E29="P-1",1.0,E29="P-2",0.6,E29="P-3",0.6,E29="R-1",1.0,E29="ISD",0.5,E29="T-P",1.0,E29="T-V",1.0,TRUE,0),0)</f>
        <v/>
      </c>
      <c r="V29" s="12">
        <f>IFERROR(IF(E29="","",MIN(T29,S29*U29)),0)</f>
        <v/>
      </c>
      <c r="W29" s="12">
        <f>IFERROR(IF(V29=0,"",V29*7.48),"")</f>
        <v/>
      </c>
    </row>
    <row r="30">
      <c r="A30" s="32" t="n"/>
      <c r="B30" s="32" t="n"/>
      <c r="C30" s="32" t="n"/>
      <c r="D30" s="32" t="n"/>
      <c r="E30" s="32" t="n"/>
      <c r="F30" s="32" t="n"/>
      <c r="G30" s="32" t="n"/>
      <c r="H30" s="12">
        <f>IFERROR(VLOOKUP(C30,'3-CDA LandUse'!$A$4:$I$53,3,0),0)</f>
        <v/>
      </c>
      <c r="I30" s="12">
        <f>IFERROR(VLOOKUP(C30,'3-CDA LandUse'!$A$4:$I$53,4,0),0)</f>
        <v/>
      </c>
      <c r="J30" s="12">
        <f>IFERROR(VLOOKUP(C30,'3-CDA LandUse'!$A$4:$I$53,5,0),0)</f>
        <v/>
      </c>
      <c r="K30" s="32" t="n"/>
      <c r="L30" s="32" t="n"/>
      <c r="M30" s="32" t="n"/>
      <c r="N30" s="32" t="n"/>
      <c r="O30" s="32" t="n"/>
      <c r="P30" s="32" t="n"/>
      <c r="Q30" s="32" t="n"/>
      <c r="R30" s="32" t="n"/>
      <c r="S30" s="12">
        <f>IFERROR(IFS(OR(E30="B-1",E30="B-2"),F30*(L30/12*M30+N30/12*O30)+(F30+G30)/2*(K30/12),OR(E30="G-1",E30="G-2"),F30*(L30*M30+Q30*R30)/12,OR(E30="P-1",E30="P-2",E30="P-3"),F30*(N30/12*O30),E30="R-1",P30/7.48,E30="ISD",0,E30="T-P",F30*'6-Parameters'!$B$63+G30*'6-Parameters'!$B$64,E30="T-V",F30*'6-Parameters'!$B$65+G30*'6-Parameters'!$B$66+K30*'6-Parameters'!$B$67+L30*'6-Parameters'!$B$68,TRUE,0),0)</f>
        <v/>
      </c>
      <c r="T30" s="12">
        <f>IFERROR(('6-Parameters'!$B$7/12)*(0.25*I30+0.95*(H30+J30))*43560,0)</f>
        <v/>
      </c>
      <c r="U30" s="12">
        <f>IFERROR(IFS(E30="B-1",0.6,E30="B-2",1.0,E30="G-1",0.6,E30="G-2",1.0,E30="P-1",1.0,E30="P-2",0.6,E30="P-3",0.6,E30="R-1",1.0,E30="ISD",0.5,E30="T-P",1.0,E30="T-V",1.0,TRUE,0),0)</f>
        <v/>
      </c>
      <c r="V30" s="12">
        <f>IFERROR(IF(E30="","",MIN(T30,S30*U30)),0)</f>
        <v/>
      </c>
      <c r="W30" s="12">
        <f>IFERROR(IF(V30=0,"",V30*7.48),"")</f>
        <v/>
      </c>
    </row>
    <row r="31">
      <c r="A31" s="32" t="n"/>
      <c r="B31" s="32" t="n"/>
      <c r="C31" s="32" t="n"/>
      <c r="D31" s="32" t="n"/>
      <c r="E31" s="32" t="n"/>
      <c r="F31" s="32" t="n"/>
      <c r="G31" s="32" t="n"/>
      <c r="H31" s="12">
        <f>IFERROR(VLOOKUP(C31,'3-CDA LandUse'!$A$4:$I$53,3,0),0)</f>
        <v/>
      </c>
      <c r="I31" s="12">
        <f>IFERROR(VLOOKUP(C31,'3-CDA LandUse'!$A$4:$I$53,4,0),0)</f>
        <v/>
      </c>
      <c r="J31" s="12">
        <f>IFERROR(VLOOKUP(C31,'3-CDA LandUse'!$A$4:$I$53,5,0),0)</f>
        <v/>
      </c>
      <c r="K31" s="32" t="n"/>
      <c r="L31" s="32" t="n"/>
      <c r="M31" s="32" t="n"/>
      <c r="N31" s="32" t="n"/>
      <c r="O31" s="32" t="n"/>
      <c r="P31" s="32" t="n"/>
      <c r="Q31" s="32" t="n"/>
      <c r="R31" s="32" t="n"/>
      <c r="S31" s="12">
        <f>IFERROR(IFS(OR(E31="B-1",E31="B-2"),F31*(L31/12*M31+N31/12*O31)+(F31+G31)/2*(K31/12),OR(E31="G-1",E31="G-2"),F31*(L31*M31+Q31*R31)/12,OR(E31="P-1",E31="P-2",E31="P-3"),F31*(N31/12*O31),E31="R-1",P31/7.48,E31="ISD",0,E31="T-P",F31*'6-Parameters'!$B$63+G31*'6-Parameters'!$B$64,E31="T-V",F31*'6-Parameters'!$B$65+G31*'6-Parameters'!$B$66+K31*'6-Parameters'!$B$67+L31*'6-Parameters'!$B$68,TRUE,0),0)</f>
        <v/>
      </c>
      <c r="T31" s="12">
        <f>IFERROR(('6-Parameters'!$B$7/12)*(0.25*I31+0.95*(H31+J31))*43560,0)</f>
        <v/>
      </c>
      <c r="U31" s="12">
        <f>IFERROR(IFS(E31="B-1",0.6,E31="B-2",1.0,E31="G-1",0.6,E31="G-2",1.0,E31="P-1",1.0,E31="P-2",0.6,E31="P-3",0.6,E31="R-1",1.0,E31="ISD",0.5,E31="T-P",1.0,E31="T-V",1.0,TRUE,0),0)</f>
        <v/>
      </c>
      <c r="V31" s="12">
        <f>IFERROR(IF(E31="","",MIN(T31,S31*U31)),0)</f>
        <v/>
      </c>
      <c r="W31" s="12">
        <f>IFERROR(IF(V31=0,"",V31*7.48),"")</f>
        <v/>
      </c>
    </row>
    <row r="32">
      <c r="A32" s="32" t="n"/>
      <c r="B32" s="32" t="n"/>
      <c r="C32" s="32" t="n"/>
      <c r="D32" s="32" t="n"/>
      <c r="E32" s="32" t="n"/>
      <c r="F32" s="32" t="n"/>
      <c r="G32" s="32" t="n"/>
      <c r="H32" s="12">
        <f>IFERROR(VLOOKUP(C32,'3-CDA LandUse'!$A$4:$I$53,3,0),0)</f>
        <v/>
      </c>
      <c r="I32" s="12">
        <f>IFERROR(VLOOKUP(C32,'3-CDA LandUse'!$A$4:$I$53,4,0),0)</f>
        <v/>
      </c>
      <c r="J32" s="12">
        <f>IFERROR(VLOOKUP(C32,'3-CDA LandUse'!$A$4:$I$53,5,0),0)</f>
        <v/>
      </c>
      <c r="K32" s="32" t="n"/>
      <c r="L32" s="32" t="n"/>
      <c r="M32" s="32" t="n"/>
      <c r="N32" s="32" t="n"/>
      <c r="O32" s="32" t="n"/>
      <c r="P32" s="32" t="n"/>
      <c r="Q32" s="32" t="n"/>
      <c r="R32" s="32" t="n"/>
      <c r="S32" s="12">
        <f>IFERROR(IFS(OR(E32="B-1",E32="B-2"),F32*(L32/12*M32+N32/12*O32)+(F32+G32)/2*(K32/12),OR(E32="G-1",E32="G-2"),F32*(L32*M32+Q32*R32)/12,OR(E32="P-1",E32="P-2",E32="P-3"),F32*(N32/12*O32),E32="R-1",P32/7.48,E32="ISD",0,E32="T-P",F32*'6-Parameters'!$B$63+G32*'6-Parameters'!$B$64,E32="T-V",F32*'6-Parameters'!$B$65+G32*'6-Parameters'!$B$66+K32*'6-Parameters'!$B$67+L32*'6-Parameters'!$B$68,TRUE,0),0)</f>
        <v/>
      </c>
      <c r="T32" s="12">
        <f>IFERROR(('6-Parameters'!$B$7/12)*(0.25*I32+0.95*(H32+J32))*43560,0)</f>
        <v/>
      </c>
      <c r="U32" s="12">
        <f>IFERROR(IFS(E32="B-1",0.6,E32="B-2",1.0,E32="G-1",0.6,E32="G-2",1.0,E32="P-1",1.0,E32="P-2",0.6,E32="P-3",0.6,E32="R-1",1.0,E32="ISD",0.5,E32="T-P",1.0,E32="T-V",1.0,TRUE,0),0)</f>
        <v/>
      </c>
      <c r="V32" s="12">
        <f>IFERROR(IF(E32="","",MIN(T32,S32*U32)),0)</f>
        <v/>
      </c>
      <c r="W32" s="12">
        <f>IFERROR(IF(V32=0,"",V32*7.48),"")</f>
        <v/>
      </c>
    </row>
    <row r="33">
      <c r="A33" s="32" t="n"/>
      <c r="B33" s="32" t="n"/>
      <c r="C33" s="32" t="n"/>
      <c r="D33" s="32" t="n"/>
      <c r="E33" s="32" t="n"/>
      <c r="F33" s="32" t="n"/>
      <c r="G33" s="32" t="n"/>
      <c r="H33" s="12">
        <f>IFERROR(VLOOKUP(C33,'3-CDA LandUse'!$A$4:$I$53,3,0),0)</f>
        <v/>
      </c>
      <c r="I33" s="12">
        <f>IFERROR(VLOOKUP(C33,'3-CDA LandUse'!$A$4:$I$53,4,0),0)</f>
        <v/>
      </c>
      <c r="J33" s="12">
        <f>IFERROR(VLOOKUP(C33,'3-CDA LandUse'!$A$4:$I$53,5,0),0)</f>
        <v/>
      </c>
      <c r="K33" s="32" t="n"/>
      <c r="L33" s="32" t="n"/>
      <c r="M33" s="32" t="n"/>
      <c r="N33" s="32" t="n"/>
      <c r="O33" s="32" t="n"/>
      <c r="P33" s="32" t="n"/>
      <c r="Q33" s="32" t="n"/>
      <c r="R33" s="32" t="n"/>
      <c r="S33" s="12">
        <f>IFERROR(IFS(OR(E33="B-1",E33="B-2"),F33*(L33/12*M33+N33/12*O33)+(F33+G33)/2*(K33/12),OR(E33="G-1",E33="G-2"),F33*(L33*M33+Q33*R33)/12,OR(E33="P-1",E33="P-2",E33="P-3"),F33*(N33/12*O33),E33="R-1",P33/7.48,E33="ISD",0,E33="T-P",F33*'6-Parameters'!$B$63+G33*'6-Parameters'!$B$64,E33="T-V",F33*'6-Parameters'!$B$65+G33*'6-Parameters'!$B$66+K33*'6-Parameters'!$B$67+L33*'6-Parameters'!$B$68,TRUE,0),0)</f>
        <v/>
      </c>
      <c r="T33" s="12">
        <f>IFERROR(('6-Parameters'!$B$7/12)*(0.25*I33+0.95*(H33+J33))*43560,0)</f>
        <v/>
      </c>
      <c r="U33" s="12">
        <f>IFERROR(IFS(E33="B-1",0.6,E33="B-2",1.0,E33="G-1",0.6,E33="G-2",1.0,E33="P-1",1.0,E33="P-2",0.6,E33="P-3",0.6,E33="R-1",1.0,E33="ISD",0.5,E33="T-P",1.0,E33="T-V",1.0,TRUE,0),0)</f>
        <v/>
      </c>
      <c r="V33" s="12">
        <f>IFERROR(IF(E33="","",MIN(T33,S33*U33)),0)</f>
        <v/>
      </c>
      <c r="W33" s="12">
        <f>IFERROR(IF(V33=0,"",V33*7.48),"")</f>
        <v/>
      </c>
    </row>
    <row r="34">
      <c r="A34" s="32" t="n"/>
      <c r="B34" s="32" t="n"/>
      <c r="C34" s="32" t="n"/>
      <c r="D34" s="32" t="n"/>
      <c r="E34" s="32" t="n"/>
      <c r="F34" s="32" t="n"/>
      <c r="G34" s="32" t="n"/>
      <c r="H34" s="12">
        <f>IFERROR(VLOOKUP(C34,'3-CDA LandUse'!$A$4:$I$53,3,0),0)</f>
        <v/>
      </c>
      <c r="I34" s="12">
        <f>IFERROR(VLOOKUP(C34,'3-CDA LandUse'!$A$4:$I$53,4,0),0)</f>
        <v/>
      </c>
      <c r="J34" s="12">
        <f>IFERROR(VLOOKUP(C34,'3-CDA LandUse'!$A$4:$I$53,5,0),0)</f>
        <v/>
      </c>
      <c r="K34" s="32" t="n"/>
      <c r="L34" s="32" t="n"/>
      <c r="M34" s="32" t="n"/>
      <c r="N34" s="32" t="n"/>
      <c r="O34" s="32" t="n"/>
      <c r="P34" s="32" t="n"/>
      <c r="Q34" s="32" t="n"/>
      <c r="R34" s="32" t="n"/>
      <c r="S34" s="12">
        <f>IFERROR(IFS(OR(E34="B-1",E34="B-2"),F34*(L34/12*M34+N34/12*O34)+(F34+G34)/2*(K34/12),OR(E34="G-1",E34="G-2"),F34*(L34*M34+Q34*R34)/12,OR(E34="P-1",E34="P-2",E34="P-3"),F34*(N34/12*O34),E34="R-1",P34/7.48,E34="ISD",0,E34="T-P",F34*'6-Parameters'!$B$63+G34*'6-Parameters'!$B$64,E34="T-V",F34*'6-Parameters'!$B$65+G34*'6-Parameters'!$B$66+K34*'6-Parameters'!$B$67+L34*'6-Parameters'!$B$68,TRUE,0),0)</f>
        <v/>
      </c>
      <c r="T34" s="12">
        <f>IFERROR(('6-Parameters'!$B$7/12)*(0.25*I34+0.95*(H34+J34))*43560,0)</f>
        <v/>
      </c>
      <c r="U34" s="12">
        <f>IFERROR(IFS(E34="B-1",0.6,E34="B-2",1.0,E34="G-1",0.6,E34="G-2",1.0,E34="P-1",1.0,E34="P-2",0.6,E34="P-3",0.6,E34="R-1",1.0,E34="ISD",0.5,E34="T-P",1.0,E34="T-V",1.0,TRUE,0),0)</f>
        <v/>
      </c>
      <c r="V34" s="12">
        <f>IFERROR(IF(E34="","",MIN(T34,S34*U34)),0)</f>
        <v/>
      </c>
      <c r="W34" s="12">
        <f>IFERROR(IF(V34=0,"",V34*7.48),"")</f>
        <v/>
      </c>
    </row>
    <row r="35">
      <c r="A35" s="32" t="n"/>
      <c r="B35" s="32" t="n"/>
      <c r="C35" s="32" t="n"/>
      <c r="D35" s="32" t="n"/>
      <c r="E35" s="32" t="n"/>
      <c r="F35" s="32" t="n"/>
      <c r="G35" s="32" t="n"/>
      <c r="H35" s="12">
        <f>IFERROR(VLOOKUP(C35,'3-CDA LandUse'!$A$4:$I$53,3,0),0)</f>
        <v/>
      </c>
      <c r="I35" s="12">
        <f>IFERROR(VLOOKUP(C35,'3-CDA LandUse'!$A$4:$I$53,4,0),0)</f>
        <v/>
      </c>
      <c r="J35" s="12">
        <f>IFERROR(VLOOKUP(C35,'3-CDA LandUse'!$A$4:$I$53,5,0),0)</f>
        <v/>
      </c>
      <c r="K35" s="32" t="n"/>
      <c r="L35" s="32" t="n"/>
      <c r="M35" s="32" t="n"/>
      <c r="N35" s="32" t="n"/>
      <c r="O35" s="32" t="n"/>
      <c r="P35" s="32" t="n"/>
      <c r="Q35" s="32" t="n"/>
      <c r="R35" s="32" t="n"/>
      <c r="S35" s="12">
        <f>IFERROR(IFS(OR(E35="B-1",E35="B-2"),F35*(L35/12*M35+N35/12*O35)+(F35+G35)/2*(K35/12),OR(E35="G-1",E35="G-2"),F35*(L35*M35+Q35*R35)/12,OR(E35="P-1",E35="P-2",E35="P-3"),F35*(N35/12*O35),E35="R-1",P35/7.48,E35="ISD",0,E35="T-P",F35*'6-Parameters'!$B$63+G35*'6-Parameters'!$B$64,E35="T-V",F35*'6-Parameters'!$B$65+G35*'6-Parameters'!$B$66+K35*'6-Parameters'!$B$67+L35*'6-Parameters'!$B$68,TRUE,0),0)</f>
        <v/>
      </c>
      <c r="T35" s="12">
        <f>IFERROR(('6-Parameters'!$B$7/12)*(0.25*I35+0.95*(H35+J35))*43560,0)</f>
        <v/>
      </c>
      <c r="U35" s="12">
        <f>IFERROR(IFS(E35="B-1",0.6,E35="B-2",1.0,E35="G-1",0.6,E35="G-2",1.0,E35="P-1",1.0,E35="P-2",0.6,E35="P-3",0.6,E35="R-1",1.0,E35="ISD",0.5,E35="T-P",1.0,E35="T-V",1.0,TRUE,0),0)</f>
        <v/>
      </c>
      <c r="V35" s="12">
        <f>IFERROR(IF(E35="","",MIN(T35,S35*U35)),0)</f>
        <v/>
      </c>
      <c r="W35" s="12">
        <f>IFERROR(IF(V35=0,"",V35*7.48),"")</f>
        <v/>
      </c>
    </row>
    <row r="36">
      <c r="A36" s="32" t="n"/>
      <c r="B36" s="32" t="n"/>
      <c r="C36" s="32" t="n"/>
      <c r="D36" s="32" t="n"/>
      <c r="E36" s="32" t="n"/>
      <c r="F36" s="32" t="n"/>
      <c r="G36" s="32" t="n"/>
      <c r="H36" s="12">
        <f>IFERROR(VLOOKUP(C36,'3-CDA LandUse'!$A$4:$I$53,3,0),0)</f>
        <v/>
      </c>
      <c r="I36" s="12">
        <f>IFERROR(VLOOKUP(C36,'3-CDA LandUse'!$A$4:$I$53,4,0),0)</f>
        <v/>
      </c>
      <c r="J36" s="12">
        <f>IFERROR(VLOOKUP(C36,'3-CDA LandUse'!$A$4:$I$53,5,0),0)</f>
        <v/>
      </c>
      <c r="K36" s="32" t="n"/>
      <c r="L36" s="32" t="n"/>
      <c r="M36" s="32" t="n"/>
      <c r="N36" s="32" t="n"/>
      <c r="O36" s="32" t="n"/>
      <c r="P36" s="32" t="n"/>
      <c r="Q36" s="32" t="n"/>
      <c r="R36" s="32" t="n"/>
      <c r="S36" s="12">
        <f>IFERROR(IFS(OR(E36="B-1",E36="B-2"),F36*(L36/12*M36+N36/12*O36)+(F36+G36)/2*(K36/12),OR(E36="G-1",E36="G-2"),F36*(L36*M36+Q36*R36)/12,OR(E36="P-1",E36="P-2",E36="P-3"),F36*(N36/12*O36),E36="R-1",P36/7.48,E36="ISD",0,E36="T-P",F36*'6-Parameters'!$B$63+G36*'6-Parameters'!$B$64,E36="T-V",F36*'6-Parameters'!$B$65+G36*'6-Parameters'!$B$66+K36*'6-Parameters'!$B$67+L36*'6-Parameters'!$B$68,TRUE,0),0)</f>
        <v/>
      </c>
      <c r="T36" s="12">
        <f>IFERROR(('6-Parameters'!$B$7/12)*(0.25*I36+0.95*(H36+J36))*43560,0)</f>
        <v/>
      </c>
      <c r="U36" s="12">
        <f>IFERROR(IFS(E36="B-1",0.6,E36="B-2",1.0,E36="G-1",0.6,E36="G-2",1.0,E36="P-1",1.0,E36="P-2",0.6,E36="P-3",0.6,E36="R-1",1.0,E36="ISD",0.5,E36="T-P",1.0,E36="T-V",1.0,TRUE,0),0)</f>
        <v/>
      </c>
      <c r="V36" s="12">
        <f>IFERROR(IF(E36="","",MIN(T36,S36*U36)),0)</f>
        <v/>
      </c>
      <c r="W36" s="12">
        <f>IFERROR(IF(V36=0,"",V36*7.48),"")</f>
        <v/>
      </c>
    </row>
    <row r="37">
      <c r="A37" s="32" t="n"/>
      <c r="B37" s="32" t="n"/>
      <c r="C37" s="32" t="n"/>
      <c r="D37" s="32" t="n"/>
      <c r="E37" s="32" t="n"/>
      <c r="F37" s="32" t="n"/>
      <c r="G37" s="32" t="n"/>
      <c r="H37" s="12">
        <f>IFERROR(VLOOKUP(C37,'3-CDA LandUse'!$A$4:$I$53,3,0),0)</f>
        <v/>
      </c>
      <c r="I37" s="12">
        <f>IFERROR(VLOOKUP(C37,'3-CDA LandUse'!$A$4:$I$53,4,0),0)</f>
        <v/>
      </c>
      <c r="J37" s="12">
        <f>IFERROR(VLOOKUP(C37,'3-CDA LandUse'!$A$4:$I$53,5,0),0)</f>
        <v/>
      </c>
      <c r="K37" s="32" t="n"/>
      <c r="L37" s="32" t="n"/>
      <c r="M37" s="32" t="n"/>
      <c r="N37" s="32" t="n"/>
      <c r="O37" s="32" t="n"/>
      <c r="P37" s="32" t="n"/>
      <c r="Q37" s="32" t="n"/>
      <c r="R37" s="32" t="n"/>
      <c r="S37" s="12">
        <f>IFERROR(IFS(OR(E37="B-1",E37="B-2"),F37*(L37/12*M37+N37/12*O37)+(F37+G37)/2*(K37/12),OR(E37="G-1",E37="G-2"),F37*(L37*M37+Q37*R37)/12,OR(E37="P-1",E37="P-2",E37="P-3"),F37*(N37/12*O37),E37="R-1",P37/7.48,E37="ISD",0,E37="T-P",F37*'6-Parameters'!$B$63+G37*'6-Parameters'!$B$64,E37="T-V",F37*'6-Parameters'!$B$65+G37*'6-Parameters'!$B$66+K37*'6-Parameters'!$B$67+L37*'6-Parameters'!$B$68,TRUE,0),0)</f>
        <v/>
      </c>
      <c r="T37" s="12">
        <f>IFERROR(('6-Parameters'!$B$7/12)*(0.25*I37+0.95*(H37+J37))*43560,0)</f>
        <v/>
      </c>
      <c r="U37" s="12">
        <f>IFERROR(IFS(E37="B-1",0.6,E37="B-2",1.0,E37="G-1",0.6,E37="G-2",1.0,E37="P-1",1.0,E37="P-2",0.6,E37="P-3",0.6,E37="R-1",1.0,E37="ISD",0.5,E37="T-P",1.0,E37="T-V",1.0,TRUE,0),0)</f>
        <v/>
      </c>
      <c r="V37" s="12">
        <f>IFERROR(IF(E37="","",MIN(T37,S37*U37)),0)</f>
        <v/>
      </c>
      <c r="W37" s="12">
        <f>IFERROR(IF(V37=0,"",V37*7.48),"")</f>
        <v/>
      </c>
    </row>
    <row r="38">
      <c r="A38" s="32" t="n"/>
      <c r="B38" s="32" t="n"/>
      <c r="C38" s="32" t="n"/>
      <c r="D38" s="32" t="n"/>
      <c r="E38" s="32" t="n"/>
      <c r="F38" s="32" t="n"/>
      <c r="G38" s="32" t="n"/>
      <c r="H38" s="12">
        <f>IFERROR(VLOOKUP(C38,'3-CDA LandUse'!$A$4:$I$53,3,0),0)</f>
        <v/>
      </c>
      <c r="I38" s="12">
        <f>IFERROR(VLOOKUP(C38,'3-CDA LandUse'!$A$4:$I$53,4,0),0)</f>
        <v/>
      </c>
      <c r="J38" s="12">
        <f>IFERROR(VLOOKUP(C38,'3-CDA LandUse'!$A$4:$I$53,5,0),0)</f>
        <v/>
      </c>
      <c r="K38" s="32" t="n"/>
      <c r="L38" s="32" t="n"/>
      <c r="M38" s="32" t="n"/>
      <c r="N38" s="32" t="n"/>
      <c r="O38" s="32" t="n"/>
      <c r="P38" s="32" t="n"/>
      <c r="Q38" s="32" t="n"/>
      <c r="R38" s="32" t="n"/>
      <c r="S38" s="12">
        <f>IFERROR(IFS(OR(E38="B-1",E38="B-2"),F38*(L38/12*M38+N38/12*O38)+(F38+G38)/2*(K38/12),OR(E38="G-1",E38="G-2"),F38*(L38*M38+Q38*R38)/12,OR(E38="P-1",E38="P-2",E38="P-3"),F38*(N38/12*O38),E38="R-1",P38/7.48,E38="ISD",0,E38="T-P",F38*'6-Parameters'!$B$63+G38*'6-Parameters'!$B$64,E38="T-V",F38*'6-Parameters'!$B$65+G38*'6-Parameters'!$B$66+K38*'6-Parameters'!$B$67+L38*'6-Parameters'!$B$68,TRUE,0),0)</f>
        <v/>
      </c>
      <c r="T38" s="12">
        <f>IFERROR(('6-Parameters'!$B$7/12)*(0.25*I38+0.95*(H38+J38))*43560,0)</f>
        <v/>
      </c>
      <c r="U38" s="12">
        <f>IFERROR(IFS(E38="B-1",0.6,E38="B-2",1.0,E38="G-1",0.6,E38="G-2",1.0,E38="P-1",1.0,E38="P-2",0.6,E38="P-3",0.6,E38="R-1",1.0,E38="ISD",0.5,E38="T-P",1.0,E38="T-V",1.0,TRUE,0),0)</f>
        <v/>
      </c>
      <c r="V38" s="12">
        <f>IFERROR(IF(E38="","",MIN(T38,S38*U38)),0)</f>
        <v/>
      </c>
      <c r="W38" s="12">
        <f>IFERROR(IF(V38=0,"",V38*7.48),"")</f>
        <v/>
      </c>
    </row>
    <row r="39">
      <c r="A39" s="32" t="n"/>
      <c r="B39" s="32" t="n"/>
      <c r="C39" s="32" t="n"/>
      <c r="D39" s="32" t="n"/>
      <c r="E39" s="32" t="n"/>
      <c r="F39" s="32" t="n"/>
      <c r="G39" s="32" t="n"/>
      <c r="H39" s="12">
        <f>IFERROR(VLOOKUP(C39,'3-CDA LandUse'!$A$4:$I$53,3,0),0)</f>
        <v/>
      </c>
      <c r="I39" s="12">
        <f>IFERROR(VLOOKUP(C39,'3-CDA LandUse'!$A$4:$I$53,4,0),0)</f>
        <v/>
      </c>
      <c r="J39" s="12">
        <f>IFERROR(VLOOKUP(C39,'3-CDA LandUse'!$A$4:$I$53,5,0),0)</f>
        <v/>
      </c>
      <c r="K39" s="32" t="n"/>
      <c r="L39" s="32" t="n"/>
      <c r="M39" s="32" t="n"/>
      <c r="N39" s="32" t="n"/>
      <c r="O39" s="32" t="n"/>
      <c r="P39" s="32" t="n"/>
      <c r="Q39" s="32" t="n"/>
      <c r="R39" s="32" t="n"/>
      <c r="S39" s="12">
        <f>IFERROR(IFS(OR(E39="B-1",E39="B-2"),F39*(L39/12*M39+N39/12*O39)+(F39+G39)/2*(K39/12),OR(E39="G-1",E39="G-2"),F39*(L39*M39+Q39*R39)/12,OR(E39="P-1",E39="P-2",E39="P-3"),F39*(N39/12*O39),E39="R-1",P39/7.48,E39="ISD",0,E39="T-P",F39*'6-Parameters'!$B$63+G39*'6-Parameters'!$B$64,E39="T-V",F39*'6-Parameters'!$B$65+G39*'6-Parameters'!$B$66+K39*'6-Parameters'!$B$67+L39*'6-Parameters'!$B$68,TRUE,0),0)</f>
        <v/>
      </c>
      <c r="T39" s="12">
        <f>IFERROR(('6-Parameters'!$B$7/12)*(0.25*I39+0.95*(H39+J39))*43560,0)</f>
        <v/>
      </c>
      <c r="U39" s="12">
        <f>IFERROR(IFS(E39="B-1",0.6,E39="B-2",1.0,E39="G-1",0.6,E39="G-2",1.0,E39="P-1",1.0,E39="P-2",0.6,E39="P-3",0.6,E39="R-1",1.0,E39="ISD",0.5,E39="T-P",1.0,E39="T-V",1.0,TRUE,0),0)</f>
        <v/>
      </c>
      <c r="V39" s="12">
        <f>IFERROR(IF(E39="","",MIN(T39,S39*U39)),0)</f>
        <v/>
      </c>
      <c r="W39" s="12">
        <f>IFERROR(IF(V39=0,"",V39*7.48),"")</f>
        <v/>
      </c>
    </row>
    <row r="40">
      <c r="A40" s="32" t="n"/>
      <c r="B40" s="32" t="n"/>
      <c r="C40" s="32" t="n"/>
      <c r="D40" s="32" t="n"/>
      <c r="E40" s="32" t="n"/>
      <c r="F40" s="32" t="n"/>
      <c r="G40" s="32" t="n"/>
      <c r="H40" s="12">
        <f>IFERROR(VLOOKUP(C40,'3-CDA LandUse'!$A$4:$I$53,3,0),0)</f>
        <v/>
      </c>
      <c r="I40" s="12">
        <f>IFERROR(VLOOKUP(C40,'3-CDA LandUse'!$A$4:$I$53,4,0),0)</f>
        <v/>
      </c>
      <c r="J40" s="12">
        <f>IFERROR(VLOOKUP(C40,'3-CDA LandUse'!$A$4:$I$53,5,0),0)</f>
        <v/>
      </c>
      <c r="K40" s="32" t="n"/>
      <c r="L40" s="32" t="n"/>
      <c r="M40" s="32" t="n"/>
      <c r="N40" s="32" t="n"/>
      <c r="O40" s="32" t="n"/>
      <c r="P40" s="32" t="n"/>
      <c r="Q40" s="32" t="n"/>
      <c r="R40" s="32" t="n"/>
      <c r="S40" s="12">
        <f>IFERROR(IFS(OR(E40="B-1",E40="B-2"),F40*(L40/12*M40+N40/12*O40)+(F40+G40)/2*(K40/12),OR(E40="G-1",E40="G-2"),F40*(L40*M40+Q40*R40)/12,OR(E40="P-1",E40="P-2",E40="P-3"),F40*(N40/12*O40),E40="R-1",P40/7.48,E40="ISD",0,E40="T-P",F40*'6-Parameters'!$B$63+G40*'6-Parameters'!$B$64,E40="T-V",F40*'6-Parameters'!$B$65+G40*'6-Parameters'!$B$66+K40*'6-Parameters'!$B$67+L40*'6-Parameters'!$B$68,TRUE,0),0)</f>
        <v/>
      </c>
      <c r="T40" s="12">
        <f>IFERROR(('6-Parameters'!$B$7/12)*(0.25*I40+0.95*(H40+J40))*43560,0)</f>
        <v/>
      </c>
      <c r="U40" s="12">
        <f>IFERROR(IFS(E40="B-1",0.6,E40="B-2",1.0,E40="G-1",0.6,E40="G-2",1.0,E40="P-1",1.0,E40="P-2",0.6,E40="P-3",0.6,E40="R-1",1.0,E40="ISD",0.5,E40="T-P",1.0,E40="T-V",1.0,TRUE,0),0)</f>
        <v/>
      </c>
      <c r="V40" s="12">
        <f>IFERROR(IF(E40="","",MIN(T40,S40*U40)),0)</f>
        <v/>
      </c>
      <c r="W40" s="12">
        <f>IFERROR(IF(V40=0,"",V40*7.48),"")</f>
        <v/>
      </c>
    </row>
    <row r="41">
      <c r="A41" s="32" t="n"/>
      <c r="B41" s="32" t="n"/>
      <c r="C41" s="32" t="n"/>
      <c r="D41" s="32" t="n"/>
      <c r="E41" s="32" t="n"/>
      <c r="F41" s="32" t="n"/>
      <c r="G41" s="32" t="n"/>
      <c r="H41" s="12">
        <f>IFERROR(VLOOKUP(C41,'3-CDA LandUse'!$A$4:$I$53,3,0),0)</f>
        <v/>
      </c>
      <c r="I41" s="12">
        <f>IFERROR(VLOOKUP(C41,'3-CDA LandUse'!$A$4:$I$53,4,0),0)</f>
        <v/>
      </c>
      <c r="J41" s="12">
        <f>IFERROR(VLOOKUP(C41,'3-CDA LandUse'!$A$4:$I$53,5,0),0)</f>
        <v/>
      </c>
      <c r="K41" s="32" t="n"/>
      <c r="L41" s="32" t="n"/>
      <c r="M41" s="32" t="n"/>
      <c r="N41" s="32" t="n"/>
      <c r="O41" s="32" t="n"/>
      <c r="P41" s="32" t="n"/>
      <c r="Q41" s="32" t="n"/>
      <c r="R41" s="32" t="n"/>
      <c r="S41" s="12">
        <f>IFERROR(IFS(OR(E41="B-1",E41="B-2"),F41*(L41/12*M41+N41/12*O41)+(F41+G41)/2*(K41/12),OR(E41="G-1",E41="G-2"),F41*(L41*M41+Q41*R41)/12,OR(E41="P-1",E41="P-2",E41="P-3"),F41*(N41/12*O41),E41="R-1",P41/7.48,E41="ISD",0,E41="T-P",F41*'6-Parameters'!$B$63+G41*'6-Parameters'!$B$64,E41="T-V",F41*'6-Parameters'!$B$65+G41*'6-Parameters'!$B$66+K41*'6-Parameters'!$B$67+L41*'6-Parameters'!$B$68,TRUE,0),0)</f>
        <v/>
      </c>
      <c r="T41" s="12">
        <f>IFERROR(('6-Parameters'!$B$7/12)*(0.25*I41+0.95*(H41+J41))*43560,0)</f>
        <v/>
      </c>
      <c r="U41" s="12">
        <f>IFERROR(IFS(E41="B-1",0.6,E41="B-2",1.0,E41="G-1",0.6,E41="G-2",1.0,E41="P-1",1.0,E41="P-2",0.6,E41="P-3",0.6,E41="R-1",1.0,E41="ISD",0.5,E41="T-P",1.0,E41="T-V",1.0,TRUE,0),0)</f>
        <v/>
      </c>
      <c r="V41" s="12">
        <f>IFERROR(IF(E41="","",MIN(T41,S41*U41)),0)</f>
        <v/>
      </c>
      <c r="W41" s="12">
        <f>IFERROR(IF(V41=0,"",V41*7.48),"")</f>
        <v/>
      </c>
    </row>
    <row r="42">
      <c r="A42" s="32" t="n"/>
      <c r="B42" s="32" t="n"/>
      <c r="C42" s="32" t="n"/>
      <c r="D42" s="32" t="n"/>
      <c r="E42" s="32" t="n"/>
      <c r="F42" s="32" t="n"/>
      <c r="G42" s="32" t="n"/>
      <c r="H42" s="12">
        <f>IFERROR(VLOOKUP(C42,'3-CDA LandUse'!$A$4:$I$53,3,0),0)</f>
        <v/>
      </c>
      <c r="I42" s="12">
        <f>IFERROR(VLOOKUP(C42,'3-CDA LandUse'!$A$4:$I$53,4,0),0)</f>
        <v/>
      </c>
      <c r="J42" s="12">
        <f>IFERROR(VLOOKUP(C42,'3-CDA LandUse'!$A$4:$I$53,5,0),0)</f>
        <v/>
      </c>
      <c r="K42" s="32" t="n"/>
      <c r="L42" s="32" t="n"/>
      <c r="M42" s="32" t="n"/>
      <c r="N42" s="32" t="n"/>
      <c r="O42" s="32" t="n"/>
      <c r="P42" s="32" t="n"/>
      <c r="Q42" s="32" t="n"/>
      <c r="R42" s="32" t="n"/>
      <c r="S42" s="12">
        <f>IFERROR(IFS(OR(E42="B-1",E42="B-2"),F42*(L42/12*M42+N42/12*O42)+(F42+G42)/2*(K42/12),OR(E42="G-1",E42="G-2"),F42*(L42*M42+Q42*R42)/12,OR(E42="P-1",E42="P-2",E42="P-3"),F42*(N42/12*O42),E42="R-1",P42/7.48,E42="ISD",0,E42="T-P",F42*'6-Parameters'!$B$63+G42*'6-Parameters'!$B$64,E42="T-V",F42*'6-Parameters'!$B$65+G42*'6-Parameters'!$B$66+K42*'6-Parameters'!$B$67+L42*'6-Parameters'!$B$68,TRUE,0),0)</f>
        <v/>
      </c>
      <c r="T42" s="12">
        <f>IFERROR(('6-Parameters'!$B$7/12)*(0.25*I42+0.95*(H42+J42))*43560,0)</f>
        <v/>
      </c>
      <c r="U42" s="12">
        <f>IFERROR(IFS(E42="B-1",0.6,E42="B-2",1.0,E42="G-1",0.6,E42="G-2",1.0,E42="P-1",1.0,E42="P-2",0.6,E42="P-3",0.6,E42="R-1",1.0,E42="ISD",0.5,E42="T-P",1.0,E42="T-V",1.0,TRUE,0),0)</f>
        <v/>
      </c>
      <c r="V42" s="12">
        <f>IFERROR(IF(E42="","",MIN(T42,S42*U42)),0)</f>
        <v/>
      </c>
      <c r="W42" s="12">
        <f>IFERROR(IF(V42=0,"",V42*7.48),"")</f>
        <v/>
      </c>
    </row>
    <row r="43">
      <c r="A43" s="32" t="n"/>
      <c r="B43" s="32" t="n"/>
      <c r="C43" s="32" t="n"/>
      <c r="D43" s="32" t="n"/>
      <c r="E43" s="32" t="n"/>
      <c r="F43" s="32" t="n"/>
      <c r="G43" s="32" t="n"/>
      <c r="H43" s="12">
        <f>IFERROR(VLOOKUP(C43,'3-CDA LandUse'!$A$4:$I$53,3,0),0)</f>
        <v/>
      </c>
      <c r="I43" s="12">
        <f>IFERROR(VLOOKUP(C43,'3-CDA LandUse'!$A$4:$I$53,4,0),0)</f>
        <v/>
      </c>
      <c r="J43" s="12">
        <f>IFERROR(VLOOKUP(C43,'3-CDA LandUse'!$A$4:$I$53,5,0),0)</f>
        <v/>
      </c>
      <c r="K43" s="32" t="n"/>
      <c r="L43" s="32" t="n"/>
      <c r="M43" s="32" t="n"/>
      <c r="N43" s="32" t="n"/>
      <c r="O43" s="32" t="n"/>
      <c r="P43" s="32" t="n"/>
      <c r="Q43" s="32" t="n"/>
      <c r="R43" s="32" t="n"/>
      <c r="S43" s="12">
        <f>IFERROR(IFS(OR(E43="B-1",E43="B-2"),F43*(L43/12*M43+N43/12*O43)+(F43+G43)/2*(K43/12),OR(E43="G-1",E43="G-2"),F43*(L43*M43+Q43*R43)/12,OR(E43="P-1",E43="P-2",E43="P-3"),F43*(N43/12*O43),E43="R-1",P43/7.48,E43="ISD",0,E43="T-P",F43*'6-Parameters'!$B$63+G43*'6-Parameters'!$B$64,E43="T-V",F43*'6-Parameters'!$B$65+G43*'6-Parameters'!$B$66+K43*'6-Parameters'!$B$67+L43*'6-Parameters'!$B$68,TRUE,0),0)</f>
        <v/>
      </c>
      <c r="T43" s="12">
        <f>IFERROR(('6-Parameters'!$B$7/12)*(0.25*I43+0.95*(H43+J43))*43560,0)</f>
        <v/>
      </c>
      <c r="U43" s="12">
        <f>IFERROR(IFS(E43="B-1",0.6,E43="B-2",1.0,E43="G-1",0.6,E43="G-2",1.0,E43="P-1",1.0,E43="P-2",0.6,E43="P-3",0.6,E43="R-1",1.0,E43="ISD",0.5,E43="T-P",1.0,E43="T-V",1.0,TRUE,0),0)</f>
        <v/>
      </c>
      <c r="V43" s="12">
        <f>IFERROR(IF(E43="","",MIN(T43,S43*U43)),0)</f>
        <v/>
      </c>
      <c r="W43" s="12">
        <f>IFERROR(IF(V43=0,"",V43*7.48),"")</f>
        <v/>
      </c>
    </row>
    <row r="44">
      <c r="A44" s="32" t="n"/>
      <c r="B44" s="32" t="n"/>
      <c r="C44" s="32" t="n"/>
      <c r="D44" s="32" t="n"/>
      <c r="E44" s="32" t="n"/>
      <c r="F44" s="32" t="n"/>
      <c r="G44" s="32" t="n"/>
      <c r="H44" s="12">
        <f>IFERROR(VLOOKUP(C44,'3-CDA LandUse'!$A$4:$I$53,3,0),0)</f>
        <v/>
      </c>
      <c r="I44" s="12">
        <f>IFERROR(VLOOKUP(C44,'3-CDA LandUse'!$A$4:$I$53,4,0),0)</f>
        <v/>
      </c>
      <c r="J44" s="12">
        <f>IFERROR(VLOOKUP(C44,'3-CDA LandUse'!$A$4:$I$53,5,0),0)</f>
        <v/>
      </c>
      <c r="K44" s="32" t="n"/>
      <c r="L44" s="32" t="n"/>
      <c r="M44" s="32" t="n"/>
      <c r="N44" s="32" t="n"/>
      <c r="O44" s="32" t="n"/>
      <c r="P44" s="32" t="n"/>
      <c r="Q44" s="32" t="n"/>
      <c r="R44" s="32" t="n"/>
      <c r="S44" s="12">
        <f>IFERROR(IFS(OR(E44="B-1",E44="B-2"),F44*(L44/12*M44+N44/12*O44)+(F44+G44)/2*(K44/12),OR(E44="G-1",E44="G-2"),F44*(L44*M44+Q44*R44)/12,OR(E44="P-1",E44="P-2",E44="P-3"),F44*(N44/12*O44),E44="R-1",P44/7.48,E44="ISD",0,E44="T-P",F44*'6-Parameters'!$B$63+G44*'6-Parameters'!$B$64,E44="T-V",F44*'6-Parameters'!$B$65+G44*'6-Parameters'!$B$66+K44*'6-Parameters'!$B$67+L44*'6-Parameters'!$B$68,TRUE,0),0)</f>
        <v/>
      </c>
      <c r="T44" s="12">
        <f>IFERROR(('6-Parameters'!$B$7/12)*(0.25*I44+0.95*(H44+J44))*43560,0)</f>
        <v/>
      </c>
      <c r="U44" s="12">
        <f>IFERROR(IFS(E44="B-1",0.6,E44="B-2",1.0,E44="G-1",0.6,E44="G-2",1.0,E44="P-1",1.0,E44="P-2",0.6,E44="P-3",0.6,E44="R-1",1.0,E44="ISD",0.5,E44="T-P",1.0,E44="T-V",1.0,TRUE,0),0)</f>
        <v/>
      </c>
      <c r="V44" s="12">
        <f>IFERROR(IF(E44="","",MIN(T44,S44*U44)),0)</f>
        <v/>
      </c>
      <c r="W44" s="12">
        <f>IFERROR(IF(V44=0,"",V44*7.48),"")</f>
        <v/>
      </c>
    </row>
    <row r="45">
      <c r="A45" s="32" t="n"/>
      <c r="B45" s="32" t="n"/>
      <c r="C45" s="32" t="n"/>
      <c r="D45" s="32" t="n"/>
      <c r="E45" s="32" t="n"/>
      <c r="F45" s="32" t="n"/>
      <c r="G45" s="32" t="n"/>
      <c r="H45" s="12">
        <f>IFERROR(VLOOKUP(C45,'3-CDA LandUse'!$A$4:$I$53,3,0),0)</f>
        <v/>
      </c>
      <c r="I45" s="12">
        <f>IFERROR(VLOOKUP(C45,'3-CDA LandUse'!$A$4:$I$53,4,0),0)</f>
        <v/>
      </c>
      <c r="J45" s="12">
        <f>IFERROR(VLOOKUP(C45,'3-CDA LandUse'!$A$4:$I$53,5,0),0)</f>
        <v/>
      </c>
      <c r="K45" s="32" t="n"/>
      <c r="L45" s="32" t="n"/>
      <c r="M45" s="32" t="n"/>
      <c r="N45" s="32" t="n"/>
      <c r="O45" s="32" t="n"/>
      <c r="P45" s="32" t="n"/>
      <c r="Q45" s="32" t="n"/>
      <c r="R45" s="32" t="n"/>
      <c r="S45" s="12">
        <f>IFERROR(IFS(OR(E45="B-1",E45="B-2"),F45*(L45/12*M45+N45/12*O45)+(F45+G45)/2*(K45/12),OR(E45="G-1",E45="G-2"),F45*(L45*M45+Q45*R45)/12,OR(E45="P-1",E45="P-2",E45="P-3"),F45*(N45/12*O45),E45="R-1",P45/7.48,E45="ISD",0,E45="T-P",F45*'6-Parameters'!$B$63+G45*'6-Parameters'!$B$64,E45="T-V",F45*'6-Parameters'!$B$65+G45*'6-Parameters'!$B$66+K45*'6-Parameters'!$B$67+L45*'6-Parameters'!$B$68,TRUE,0),0)</f>
        <v/>
      </c>
      <c r="T45" s="12">
        <f>IFERROR(('6-Parameters'!$B$7/12)*(0.25*I45+0.95*(H45+J45))*43560,0)</f>
        <v/>
      </c>
      <c r="U45" s="12">
        <f>IFERROR(IFS(E45="B-1",0.6,E45="B-2",1.0,E45="G-1",0.6,E45="G-2",1.0,E45="P-1",1.0,E45="P-2",0.6,E45="P-3",0.6,E45="R-1",1.0,E45="ISD",0.5,E45="T-P",1.0,E45="T-V",1.0,TRUE,0),0)</f>
        <v/>
      </c>
      <c r="V45" s="12">
        <f>IFERROR(IF(E45="","",MIN(T45,S45*U45)),0)</f>
        <v/>
      </c>
      <c r="W45" s="12">
        <f>IFERROR(IF(V45=0,"",V45*7.48),"")</f>
        <v/>
      </c>
    </row>
    <row r="46">
      <c r="A46" s="32" t="n"/>
      <c r="B46" s="32" t="n"/>
      <c r="C46" s="32" t="n"/>
      <c r="D46" s="32" t="n"/>
      <c r="E46" s="32" t="n"/>
      <c r="F46" s="32" t="n"/>
      <c r="G46" s="32" t="n"/>
      <c r="H46" s="12">
        <f>IFERROR(VLOOKUP(C46,'3-CDA LandUse'!$A$4:$I$53,3,0),0)</f>
        <v/>
      </c>
      <c r="I46" s="12">
        <f>IFERROR(VLOOKUP(C46,'3-CDA LandUse'!$A$4:$I$53,4,0),0)</f>
        <v/>
      </c>
      <c r="J46" s="12">
        <f>IFERROR(VLOOKUP(C46,'3-CDA LandUse'!$A$4:$I$53,5,0),0)</f>
        <v/>
      </c>
      <c r="K46" s="32" t="n"/>
      <c r="L46" s="32" t="n"/>
      <c r="M46" s="32" t="n"/>
      <c r="N46" s="32" t="n"/>
      <c r="O46" s="32" t="n"/>
      <c r="P46" s="32" t="n"/>
      <c r="Q46" s="32" t="n"/>
      <c r="R46" s="32" t="n"/>
      <c r="S46" s="12">
        <f>IFERROR(IFS(OR(E46="B-1",E46="B-2"),F46*(L46/12*M46+N46/12*O46)+(F46+G46)/2*(K46/12),OR(E46="G-1",E46="G-2"),F46*(L46*M46+Q46*R46)/12,OR(E46="P-1",E46="P-2",E46="P-3"),F46*(N46/12*O46),E46="R-1",P46/7.48,E46="ISD",0,E46="T-P",F46*'6-Parameters'!$B$63+G46*'6-Parameters'!$B$64,E46="T-V",F46*'6-Parameters'!$B$65+G46*'6-Parameters'!$B$66+K46*'6-Parameters'!$B$67+L46*'6-Parameters'!$B$68,TRUE,0),0)</f>
        <v/>
      </c>
      <c r="T46" s="12">
        <f>IFERROR(('6-Parameters'!$B$7/12)*(0.25*I46+0.95*(H46+J46))*43560,0)</f>
        <v/>
      </c>
      <c r="U46" s="12">
        <f>IFERROR(IFS(E46="B-1",0.6,E46="B-2",1.0,E46="G-1",0.6,E46="G-2",1.0,E46="P-1",1.0,E46="P-2",0.6,E46="P-3",0.6,E46="R-1",1.0,E46="ISD",0.5,E46="T-P",1.0,E46="T-V",1.0,TRUE,0),0)</f>
        <v/>
      </c>
      <c r="V46" s="12">
        <f>IFERROR(IF(E46="","",MIN(T46,S46*U46)),0)</f>
        <v/>
      </c>
      <c r="W46" s="12">
        <f>IFERROR(IF(V46=0,"",V46*7.48),"")</f>
        <v/>
      </c>
    </row>
    <row r="47">
      <c r="A47" s="32" t="n"/>
      <c r="B47" s="32" t="n"/>
      <c r="C47" s="32" t="n"/>
      <c r="D47" s="32" t="n"/>
      <c r="E47" s="32" t="n"/>
      <c r="F47" s="32" t="n"/>
      <c r="G47" s="32" t="n"/>
      <c r="H47" s="12">
        <f>IFERROR(VLOOKUP(C47,'3-CDA LandUse'!$A$4:$I$53,3,0),0)</f>
        <v/>
      </c>
      <c r="I47" s="12">
        <f>IFERROR(VLOOKUP(C47,'3-CDA LandUse'!$A$4:$I$53,4,0),0)</f>
        <v/>
      </c>
      <c r="J47" s="12">
        <f>IFERROR(VLOOKUP(C47,'3-CDA LandUse'!$A$4:$I$53,5,0),0)</f>
        <v/>
      </c>
      <c r="K47" s="32" t="n"/>
      <c r="L47" s="32" t="n"/>
      <c r="M47" s="32" t="n"/>
      <c r="N47" s="32" t="n"/>
      <c r="O47" s="32" t="n"/>
      <c r="P47" s="32" t="n"/>
      <c r="Q47" s="32" t="n"/>
      <c r="R47" s="32" t="n"/>
      <c r="S47" s="12">
        <f>IFERROR(IFS(OR(E47="B-1",E47="B-2"),F47*(L47/12*M47+N47/12*O47)+(F47+G47)/2*(K47/12),OR(E47="G-1",E47="G-2"),F47*(L47*M47+Q47*R47)/12,OR(E47="P-1",E47="P-2",E47="P-3"),F47*(N47/12*O47),E47="R-1",P47/7.48,E47="ISD",0,E47="T-P",F47*'6-Parameters'!$B$63+G47*'6-Parameters'!$B$64,E47="T-V",F47*'6-Parameters'!$B$65+G47*'6-Parameters'!$B$66+K47*'6-Parameters'!$B$67+L47*'6-Parameters'!$B$68,TRUE,0),0)</f>
        <v/>
      </c>
      <c r="T47" s="12">
        <f>IFERROR(('6-Parameters'!$B$7/12)*(0.25*I47+0.95*(H47+J47))*43560,0)</f>
        <v/>
      </c>
      <c r="U47" s="12">
        <f>IFERROR(IFS(E47="B-1",0.6,E47="B-2",1.0,E47="G-1",0.6,E47="G-2",1.0,E47="P-1",1.0,E47="P-2",0.6,E47="P-3",0.6,E47="R-1",1.0,E47="ISD",0.5,E47="T-P",1.0,E47="T-V",1.0,TRUE,0),0)</f>
        <v/>
      </c>
      <c r="V47" s="12">
        <f>IFERROR(IF(E47="","",MIN(T47,S47*U47)),0)</f>
        <v/>
      </c>
      <c r="W47" s="12">
        <f>IFERROR(IF(V47=0,"",V47*7.48),"")</f>
        <v/>
      </c>
    </row>
    <row r="48">
      <c r="A48" s="32" t="n"/>
      <c r="B48" s="32" t="n"/>
      <c r="C48" s="32" t="n"/>
      <c r="D48" s="32" t="n"/>
      <c r="E48" s="32" t="n"/>
      <c r="F48" s="32" t="n"/>
      <c r="G48" s="32" t="n"/>
      <c r="H48" s="12">
        <f>IFERROR(VLOOKUP(C48,'3-CDA LandUse'!$A$4:$I$53,3,0),0)</f>
        <v/>
      </c>
      <c r="I48" s="12">
        <f>IFERROR(VLOOKUP(C48,'3-CDA LandUse'!$A$4:$I$53,4,0),0)</f>
        <v/>
      </c>
      <c r="J48" s="12">
        <f>IFERROR(VLOOKUP(C48,'3-CDA LandUse'!$A$4:$I$53,5,0),0)</f>
        <v/>
      </c>
      <c r="K48" s="32" t="n"/>
      <c r="L48" s="32" t="n"/>
      <c r="M48" s="32" t="n"/>
      <c r="N48" s="32" t="n"/>
      <c r="O48" s="32" t="n"/>
      <c r="P48" s="32" t="n"/>
      <c r="Q48" s="32" t="n"/>
      <c r="R48" s="32" t="n"/>
      <c r="S48" s="12">
        <f>IFERROR(IFS(OR(E48="B-1",E48="B-2"),F48*(L48/12*M48+N48/12*O48)+(F48+G48)/2*(K48/12),OR(E48="G-1",E48="G-2"),F48*(L48*M48+Q48*R48)/12,OR(E48="P-1",E48="P-2",E48="P-3"),F48*(N48/12*O48),E48="R-1",P48/7.48,E48="ISD",0,E48="T-P",F48*'6-Parameters'!$B$63+G48*'6-Parameters'!$B$64,E48="T-V",F48*'6-Parameters'!$B$65+G48*'6-Parameters'!$B$66+K48*'6-Parameters'!$B$67+L48*'6-Parameters'!$B$68,TRUE,0),0)</f>
        <v/>
      </c>
      <c r="T48" s="12">
        <f>IFERROR(('6-Parameters'!$B$7/12)*(0.25*I48+0.95*(H48+J48))*43560,0)</f>
        <v/>
      </c>
      <c r="U48" s="12">
        <f>IFERROR(IFS(E48="B-1",0.6,E48="B-2",1.0,E48="G-1",0.6,E48="G-2",1.0,E48="P-1",1.0,E48="P-2",0.6,E48="P-3",0.6,E48="R-1",1.0,E48="ISD",0.5,E48="T-P",1.0,E48="T-V",1.0,TRUE,0),0)</f>
        <v/>
      </c>
      <c r="V48" s="12">
        <f>IFERROR(IF(E48="","",MIN(T48,S48*U48)),0)</f>
        <v/>
      </c>
      <c r="W48" s="12">
        <f>IFERROR(IF(V48=0,"",V48*7.48),"")</f>
        <v/>
      </c>
    </row>
    <row r="49">
      <c r="A49" s="32" t="n"/>
      <c r="B49" s="32" t="n"/>
      <c r="C49" s="32" t="n"/>
      <c r="D49" s="32" t="n"/>
      <c r="E49" s="32" t="n"/>
      <c r="F49" s="32" t="n"/>
      <c r="G49" s="32" t="n"/>
      <c r="H49" s="12">
        <f>IFERROR(VLOOKUP(C49,'3-CDA LandUse'!$A$4:$I$53,3,0),0)</f>
        <v/>
      </c>
      <c r="I49" s="12">
        <f>IFERROR(VLOOKUP(C49,'3-CDA LandUse'!$A$4:$I$53,4,0),0)</f>
        <v/>
      </c>
      <c r="J49" s="12">
        <f>IFERROR(VLOOKUP(C49,'3-CDA LandUse'!$A$4:$I$53,5,0),0)</f>
        <v/>
      </c>
      <c r="K49" s="32" t="n"/>
      <c r="L49" s="32" t="n"/>
      <c r="M49" s="32" t="n"/>
      <c r="N49" s="32" t="n"/>
      <c r="O49" s="32" t="n"/>
      <c r="P49" s="32" t="n"/>
      <c r="Q49" s="32" t="n"/>
      <c r="R49" s="32" t="n"/>
      <c r="S49" s="12">
        <f>IFERROR(IFS(OR(E49="B-1",E49="B-2"),F49*(L49/12*M49+N49/12*O49)+(F49+G49)/2*(K49/12),OR(E49="G-1",E49="G-2"),F49*(L49*M49+Q49*R49)/12,OR(E49="P-1",E49="P-2",E49="P-3"),F49*(N49/12*O49),E49="R-1",P49/7.48,E49="ISD",0,E49="T-P",F49*'6-Parameters'!$B$63+G49*'6-Parameters'!$B$64,E49="T-V",F49*'6-Parameters'!$B$65+G49*'6-Parameters'!$B$66+K49*'6-Parameters'!$B$67+L49*'6-Parameters'!$B$68,TRUE,0),0)</f>
        <v/>
      </c>
      <c r="T49" s="12">
        <f>IFERROR(('6-Parameters'!$B$7/12)*(0.25*I49+0.95*(H49+J49))*43560,0)</f>
        <v/>
      </c>
      <c r="U49" s="12">
        <f>IFERROR(IFS(E49="B-1",0.6,E49="B-2",1.0,E49="G-1",0.6,E49="G-2",1.0,E49="P-1",1.0,E49="P-2",0.6,E49="P-3",0.6,E49="R-1",1.0,E49="ISD",0.5,E49="T-P",1.0,E49="T-V",1.0,TRUE,0),0)</f>
        <v/>
      </c>
      <c r="V49" s="12">
        <f>IFERROR(IF(E49="","",MIN(T49,S49*U49)),0)</f>
        <v/>
      </c>
      <c r="W49" s="12">
        <f>IFERROR(IF(V49=0,"",V49*7.48),"")</f>
        <v/>
      </c>
    </row>
    <row r="50">
      <c r="A50" s="32" t="n"/>
      <c r="B50" s="32" t="n"/>
      <c r="C50" s="32" t="n"/>
      <c r="D50" s="32" t="n"/>
      <c r="E50" s="32" t="n"/>
      <c r="F50" s="32" t="n"/>
      <c r="G50" s="32" t="n"/>
      <c r="H50" s="12">
        <f>IFERROR(VLOOKUP(C50,'3-CDA LandUse'!$A$4:$I$53,3,0),0)</f>
        <v/>
      </c>
      <c r="I50" s="12">
        <f>IFERROR(VLOOKUP(C50,'3-CDA LandUse'!$A$4:$I$53,4,0),0)</f>
        <v/>
      </c>
      <c r="J50" s="12">
        <f>IFERROR(VLOOKUP(C50,'3-CDA LandUse'!$A$4:$I$53,5,0),0)</f>
        <v/>
      </c>
      <c r="K50" s="32" t="n"/>
      <c r="L50" s="32" t="n"/>
      <c r="M50" s="32" t="n"/>
      <c r="N50" s="32" t="n"/>
      <c r="O50" s="32" t="n"/>
      <c r="P50" s="32" t="n"/>
      <c r="Q50" s="32" t="n"/>
      <c r="R50" s="32" t="n"/>
      <c r="S50" s="12">
        <f>IFERROR(IFS(OR(E50="B-1",E50="B-2"),F50*(L50/12*M50+N50/12*O50)+(F50+G50)/2*(K50/12),OR(E50="G-1",E50="G-2"),F50*(L50*M50+Q50*R50)/12,OR(E50="P-1",E50="P-2",E50="P-3"),F50*(N50/12*O50),E50="R-1",P50/7.48,E50="ISD",0,E50="T-P",F50*'6-Parameters'!$B$63+G50*'6-Parameters'!$B$64,E50="T-V",F50*'6-Parameters'!$B$65+G50*'6-Parameters'!$B$66+K50*'6-Parameters'!$B$67+L50*'6-Parameters'!$B$68,TRUE,0),0)</f>
        <v/>
      </c>
      <c r="T50" s="12">
        <f>IFERROR(('6-Parameters'!$B$7/12)*(0.25*I50+0.95*(H50+J50))*43560,0)</f>
        <v/>
      </c>
      <c r="U50" s="12">
        <f>IFERROR(IFS(E50="B-1",0.6,E50="B-2",1.0,E50="G-1",0.6,E50="G-2",1.0,E50="P-1",1.0,E50="P-2",0.6,E50="P-3",0.6,E50="R-1",1.0,E50="ISD",0.5,E50="T-P",1.0,E50="T-V",1.0,TRUE,0),0)</f>
        <v/>
      </c>
      <c r="V50" s="12">
        <f>IFERROR(IF(E50="","",MIN(T50,S50*U50)),0)</f>
        <v/>
      </c>
      <c r="W50" s="12">
        <f>IFERROR(IF(V50=0,"",V50*7.48),"")</f>
        <v/>
      </c>
    </row>
    <row r="51">
      <c r="A51" s="32" t="n"/>
      <c r="B51" s="32" t="n"/>
      <c r="C51" s="32" t="n"/>
      <c r="D51" s="32" t="n"/>
      <c r="E51" s="32" t="n"/>
      <c r="F51" s="32" t="n"/>
      <c r="G51" s="32" t="n"/>
      <c r="H51" s="12">
        <f>IFERROR(VLOOKUP(C51,'3-CDA LandUse'!$A$4:$I$53,3,0),0)</f>
        <v/>
      </c>
      <c r="I51" s="12">
        <f>IFERROR(VLOOKUP(C51,'3-CDA LandUse'!$A$4:$I$53,4,0),0)</f>
        <v/>
      </c>
      <c r="J51" s="12">
        <f>IFERROR(VLOOKUP(C51,'3-CDA LandUse'!$A$4:$I$53,5,0),0)</f>
        <v/>
      </c>
      <c r="K51" s="32" t="n"/>
      <c r="L51" s="32" t="n"/>
      <c r="M51" s="32" t="n"/>
      <c r="N51" s="32" t="n"/>
      <c r="O51" s="32" t="n"/>
      <c r="P51" s="32" t="n"/>
      <c r="Q51" s="32" t="n"/>
      <c r="R51" s="32" t="n"/>
      <c r="S51" s="12">
        <f>IFERROR(IFS(OR(E51="B-1",E51="B-2"),F51*(L51/12*M51+N51/12*O51)+(F51+G51)/2*(K51/12),OR(E51="G-1",E51="G-2"),F51*(L51*M51+Q51*R51)/12,OR(E51="P-1",E51="P-2",E51="P-3"),F51*(N51/12*O51),E51="R-1",P51/7.48,E51="ISD",0,E51="T-P",F51*'6-Parameters'!$B$63+G51*'6-Parameters'!$B$64,E51="T-V",F51*'6-Parameters'!$B$65+G51*'6-Parameters'!$B$66+K51*'6-Parameters'!$B$67+L51*'6-Parameters'!$B$68,TRUE,0),0)</f>
        <v/>
      </c>
      <c r="T51" s="12">
        <f>IFERROR(('6-Parameters'!$B$7/12)*(0.25*I51+0.95*(H51+J51))*43560,0)</f>
        <v/>
      </c>
      <c r="U51" s="12">
        <f>IFERROR(IFS(E51="B-1",0.6,E51="B-2",1.0,E51="G-1",0.6,E51="G-2",1.0,E51="P-1",1.0,E51="P-2",0.6,E51="P-3",0.6,E51="R-1",1.0,E51="ISD",0.5,E51="T-P",1.0,E51="T-V",1.0,TRUE,0),0)</f>
        <v/>
      </c>
      <c r="V51" s="12">
        <f>IFERROR(IF(E51="","",MIN(T51,S51*U51)),0)</f>
        <v/>
      </c>
      <c r="W51" s="12">
        <f>IFERROR(IF(V51=0,"",V51*7.48),"")</f>
        <v/>
      </c>
    </row>
    <row r="52">
      <c r="A52" s="32" t="n"/>
      <c r="B52" s="32" t="n"/>
      <c r="C52" s="32" t="n"/>
      <c r="D52" s="32" t="n"/>
      <c r="E52" s="32" t="n"/>
      <c r="F52" s="32" t="n"/>
      <c r="G52" s="32" t="n"/>
      <c r="H52" s="12">
        <f>IFERROR(VLOOKUP(C52,'3-CDA LandUse'!$A$4:$I$53,3,0),0)</f>
        <v/>
      </c>
      <c r="I52" s="12">
        <f>IFERROR(VLOOKUP(C52,'3-CDA LandUse'!$A$4:$I$53,4,0),0)</f>
        <v/>
      </c>
      <c r="J52" s="12">
        <f>IFERROR(VLOOKUP(C52,'3-CDA LandUse'!$A$4:$I$53,5,0),0)</f>
        <v/>
      </c>
      <c r="K52" s="32" t="n"/>
      <c r="L52" s="32" t="n"/>
      <c r="M52" s="32" t="n"/>
      <c r="N52" s="32" t="n"/>
      <c r="O52" s="32" t="n"/>
      <c r="P52" s="32" t="n"/>
      <c r="Q52" s="32" t="n"/>
      <c r="R52" s="32" t="n"/>
      <c r="S52" s="12">
        <f>IFERROR(IFS(OR(E52="B-1",E52="B-2"),F52*(L52/12*M52+N52/12*O52)+(F52+G52)/2*(K52/12),OR(E52="G-1",E52="G-2"),F52*(L52*M52+Q52*R52)/12,OR(E52="P-1",E52="P-2",E52="P-3"),F52*(N52/12*O52),E52="R-1",P52/7.48,E52="ISD",0,E52="T-P",F52*'6-Parameters'!$B$63+G52*'6-Parameters'!$B$64,E52="T-V",F52*'6-Parameters'!$B$65+G52*'6-Parameters'!$B$66+K52*'6-Parameters'!$B$67+L52*'6-Parameters'!$B$68,TRUE,0),0)</f>
        <v/>
      </c>
      <c r="T52" s="12">
        <f>IFERROR(('6-Parameters'!$B$7/12)*(0.25*I52+0.95*(H52+J52))*43560,0)</f>
        <v/>
      </c>
      <c r="U52" s="12">
        <f>IFERROR(IFS(E52="B-1",0.6,E52="B-2",1.0,E52="G-1",0.6,E52="G-2",1.0,E52="P-1",1.0,E52="P-2",0.6,E52="P-3",0.6,E52="R-1",1.0,E52="ISD",0.5,E52="T-P",1.0,E52="T-V",1.0,TRUE,0),0)</f>
        <v/>
      </c>
      <c r="V52" s="12">
        <f>IFERROR(IF(E52="","",MIN(T52,S52*U52)),0)</f>
        <v/>
      </c>
      <c r="W52" s="12">
        <f>IFERROR(IF(V52=0,"",V52*7.48),"")</f>
        <v/>
      </c>
    </row>
    <row r="53">
      <c r="A53" s="9" t="inlineStr">
        <is>
          <t>TOTALS</t>
        </is>
      </c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1" t="n"/>
      <c r="S53" s="3">
        <f>SUM(S3:S52)</f>
        <v/>
      </c>
      <c r="T53" s="3">
        <f>SUM(T3:T52)</f>
        <v/>
      </c>
      <c r="U53" s="35" t="n"/>
      <c r="V53" s="3">
        <f>SUM(V3:V52)</f>
        <v/>
      </c>
      <c r="W53" s="3">
        <f>SUM(W3:W52)</f>
        <v/>
      </c>
    </row>
    <row r="54" ht="14" customHeight="1">
      <c r="A54" s="21" t="inlineStr">
        <is>
          <t>BMP CODES: B-1=Bioret no underdrain (0.6), B-2=Bioret full infil (1.0), G-1=GrRoof ext (0.6), G-2=GrRoof int (1.0)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</row>
    <row r="55" ht="14" customHeight="1">
      <c r="A55" s="21" t="inlineStr">
        <is>
          <t>P-1=PermPave full (1.0), P-2=PermPave partial (0.6), P-3=PermPave detained (0.6), R-1=RWH (1.0), ISD=ImpDisconn (0.5)</t>
        </is>
      </c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</row>
    <row r="56" ht="14" customHeight="1">
      <c r="A56" s="21" t="inlineStr">
        <is>
          <t>T-P=Tree Planting (F=#small planted, G=#large planted, Ret=1.0). T-V=Tree Preservation (F=#small, G=#large, K=#special, L=#heritage preserved). Credits from 6-Parameters B63-B68.</t>
        </is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</row>
    <row r="57" ht="14" customHeight="1">
      <c r="A57" s="21" t="inlineStr">
        <is>
          <t>CDA cols H/I/J auto-fill from Sheet 3 (3-CDA LandUse) via CDA ID in col C. Enter CDA ID exactly as in the CDA sheet.</t>
        </is>
      </c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</row>
    <row r="58" ht="14" customHeight="1">
      <c r="A58" s="21" t="inlineStr">
        <is>
          <t>Sv(Bioret) = SA_bot*(d_media/12*eta + d_stone/12*eta_s) + avg(SA_bot,SA_top)*(d_pond/12)</t>
        </is>
      </c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</row>
    <row r="59" ht="14" customHeight="1">
      <c r="A59" s="21" t="inlineStr">
        <is>
          <t>Vmax = (1.7/12)*[0.25*CDA_comp(ac)+0.95*(CDA_imp(ac)+BMP_ac)]*43,560  |  Vol Ret = MIN(Vmax, Sv*RetVal)</t>
        </is>
      </c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</row>
  </sheetData>
  <mergeCells count="8">
    <mergeCell ref="A53:R53"/>
    <mergeCell ref="A1:W1"/>
    <mergeCell ref="A56:W56"/>
    <mergeCell ref="A58:W58"/>
    <mergeCell ref="A54:W54"/>
    <mergeCell ref="A55:W55"/>
    <mergeCell ref="A59:W59"/>
    <mergeCell ref="A57:W57"/>
  </mergeCells>
  <dataValidations count="1">
    <dataValidation sqref="E3:E52" showDropDown="0" showInputMessage="0" showErrorMessage="0" allowBlank="1" type="list">
      <formula1>"B-1,B-2,G-1,G-2,P-1,P-2,P-3,R-1,ISD,T-P,T-V"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  <col width="10" customWidth="1" min="11" max="11"/>
    <col width="12" customWidth="1" min="12" max="12"/>
    <col width="10" customWidth="1" min="13" max="13"/>
    <col width="14" customWidth="1" min="14" max="14"/>
    <col width="12" customWidth="1" min="15" max="15"/>
    <col width="14" customWidth="1" min="16" max="16"/>
    <col width="14" customWidth="1" min="17" max="17"/>
    <col width="14" customWidth="1" min="18" max="18"/>
  </cols>
  <sheetData>
    <row r="1" ht="22" customHeight="1">
      <c r="A1" s="15" t="inlineStr">
        <is>
          <t>BMP STORAGE PROVIDED — EISA SECTION 438 COMPLIANCE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6" customHeight="1">
      <c r="A2" s="18" t="inlineStr">
        <is>
          <t>BMP Info</t>
        </is>
      </c>
      <c r="B2" s="22" t="n"/>
      <c r="C2" s="22" t="n"/>
      <c r="D2" s="23" t="n"/>
      <c r="E2" s="18" t="inlineStr">
        <is>
          <t>BMP Area by HSG (SF) — auto from CDA sheet</t>
        </is>
      </c>
      <c r="F2" s="22" t="n"/>
      <c r="G2" s="22" t="n"/>
      <c r="H2" s="22" t="n"/>
      <c r="I2" s="23" t="n"/>
      <c r="J2" s="15" t="inlineStr">
        <is>
          <t>Storage Design</t>
        </is>
      </c>
      <c r="K2" s="16" t="n"/>
      <c r="L2" s="16" t="n"/>
      <c r="M2" s="16" t="n"/>
      <c r="N2" s="16" t="n"/>
      <c r="O2" s="16" t="n"/>
      <c r="P2" s="17" t="n"/>
      <c r="Q2" s="15" t="inlineStr">
        <is>
          <t>Vol Infiltrated</t>
        </is>
      </c>
      <c r="R2" s="17" t="n"/>
    </row>
    <row r="3" ht="44" customHeight="1">
      <c r="A3" s="18" t="inlineStr">
        <is>
          <t>BMP Name / ID</t>
        </is>
      </c>
      <c r="B3" s="18" t="inlineStr">
        <is>
          <t>CDA ID/NAME
(key)</t>
        </is>
      </c>
      <c r="C3" s="18" t="inlineStr">
        <is>
          <t>SDA ID/NAME
(from CDA)</t>
        </is>
      </c>
      <c r="D3" s="18" t="inlineStr">
        <is>
          <t>BMP Type</t>
        </is>
      </c>
      <c r="E3" s="18" t="inlineStr">
        <is>
          <t>Area
HSG-A (SF)</t>
        </is>
      </c>
      <c r="F3" s="18" t="inlineStr">
        <is>
          <t>Area
HSG-B (SF)</t>
        </is>
      </c>
      <c r="G3" s="18" t="inlineStr">
        <is>
          <t>Area
HSG-C (SF)</t>
        </is>
      </c>
      <c r="H3" s="18" t="inlineStr">
        <is>
          <t>Area
HSG-D (SF)</t>
        </is>
      </c>
      <c r="I3" s="18" t="inlineStr">
        <is>
          <t>Total BMP
Area (SF)</t>
        </is>
      </c>
      <c r="J3" s="18" t="inlineStr">
        <is>
          <t>Media/Filter
Depth (ft)</t>
        </is>
      </c>
      <c r="K3" s="18" t="inlineStr">
        <is>
          <t>Media
Void Ratio</t>
        </is>
      </c>
      <c r="L3" s="18" t="inlineStr">
        <is>
          <t>Gravel/Stone
Depth (ft)</t>
        </is>
      </c>
      <c r="M3" s="18" t="inlineStr">
        <is>
          <t>Gravel
Void Ratio</t>
        </is>
      </c>
      <c r="N3" s="15" t="inlineStr">
        <is>
          <t>Avail. Storage
Depth (ft)</t>
        </is>
      </c>
      <c r="O3" s="15" t="inlineStr">
        <is>
          <t>P 95th Pct
Depth (ft)</t>
        </is>
      </c>
      <c r="P3" s="15" t="inlineStr">
        <is>
          <t>Design Depth
(ft) = MIN(N,O)</t>
        </is>
      </c>
      <c r="Q3" s="15" t="inlineStr">
        <is>
          <t>Vol Inf
(ft3) = I×P</t>
        </is>
      </c>
      <c r="R3" s="15" t="inlineStr">
        <is>
          <t>Vol Inf
(gal)</t>
        </is>
      </c>
    </row>
    <row r="4">
      <c r="A4" s="32" t="n"/>
      <c r="B4" s="32" t="n"/>
      <c r="C4" s="12">
        <f>IFERROR(VLOOKUP(B4,'3-CDA LandUse'!$A$4:$I$53,2,0),"")</f>
        <v/>
      </c>
      <c r="D4" s="32" t="n"/>
      <c r="E4" s="12">
        <f>IFERROR(VLOOKUP(B4,'3-CDA LandUse'!$A$4:$I$53,6,0),0)</f>
        <v/>
      </c>
      <c r="F4" s="12">
        <f>IFERROR(VLOOKUP(B4,'3-CDA LandUse'!$A$4:$I$53,7,0),0)</f>
        <v/>
      </c>
      <c r="G4" s="12">
        <f>IFERROR(VLOOKUP(B4,'3-CDA LandUse'!$A$4:$I$53,8,0),0)</f>
        <v/>
      </c>
      <c r="H4" s="12">
        <f>IFERROR(VLOOKUP(B4,'3-CDA LandUse'!$A$4:$I$53,9,0),0)</f>
        <v/>
      </c>
      <c r="I4" s="12">
        <f>IFERROR(IF(SUM(E4:H4)=0,"",SUM(E4:H4)),"")</f>
        <v/>
      </c>
      <c r="J4" s="32" t="n"/>
      <c r="K4" s="12">
        <f>IFERROR(IF(D4="","",IFS(OR(D4="Bioretention",D4="Bioswale"),'6-Parameters'!$B$34,D4="Green Roof",'6-Parameters'!$B$39,TRUE,0)),"" )</f>
        <v/>
      </c>
      <c r="L4" s="32" t="n"/>
      <c r="M4" s="12">
        <f>IFERROR(IF(D4="","",IFS(OR(D4="Porous Asphalt",D4="Porous Concrete"),'6-Parameters'!$B$37,D4="Permeable Paver",'6-Parameters'!$B$36,OR(D4="Bioretention",D4="Bioswale"),'6-Parameters'!$B$35,D4="Green Roof",'6-Parameters'!$B$38,TRUE,0)),"" )</f>
        <v/>
      </c>
      <c r="N4" s="12">
        <f>IFERROR(IF(D4="","",J4*K4+L4*M4),"")</f>
        <v/>
      </c>
      <c r="O4" s="12">
        <f>'6-Parameters'!$B$8/12</f>
        <v/>
      </c>
      <c r="P4" s="12">
        <f>IFERROR(IF(N4="","",MIN(N4,O4)),"")</f>
        <v/>
      </c>
      <c r="Q4" s="12">
        <f>IFERROR(IF(I4="","",I4*P4),"")</f>
        <v/>
      </c>
      <c r="R4" s="12">
        <f>IFERROR(IF(Q4="","",Q4*7.48),"")</f>
        <v/>
      </c>
    </row>
    <row r="5">
      <c r="A5" s="32" t="n"/>
      <c r="B5" s="32" t="n"/>
      <c r="C5" s="12">
        <f>IFERROR(VLOOKUP(B5,'3-CDA LandUse'!$A$4:$I$53,2,0),"")</f>
        <v/>
      </c>
      <c r="D5" s="32" t="n"/>
      <c r="E5" s="12">
        <f>IFERROR(VLOOKUP(B5,'3-CDA LandUse'!$A$4:$I$53,6,0),0)</f>
        <v/>
      </c>
      <c r="F5" s="12">
        <f>IFERROR(VLOOKUP(B5,'3-CDA LandUse'!$A$4:$I$53,7,0),0)</f>
        <v/>
      </c>
      <c r="G5" s="12">
        <f>IFERROR(VLOOKUP(B5,'3-CDA LandUse'!$A$4:$I$53,8,0),0)</f>
        <v/>
      </c>
      <c r="H5" s="12">
        <f>IFERROR(VLOOKUP(B5,'3-CDA LandUse'!$A$4:$I$53,9,0),0)</f>
        <v/>
      </c>
      <c r="I5" s="12">
        <f>IFERROR(IF(SUM(E5:H5)=0,"",SUM(E5:H5)),"")</f>
        <v/>
      </c>
      <c r="J5" s="32" t="n"/>
      <c r="K5" s="12">
        <f>IFERROR(IF(D5="","",IFS(OR(D5="Bioretention",D5="Bioswale"),'6-Parameters'!$B$34,D5="Green Roof",'6-Parameters'!$B$39,TRUE,0)),"" )</f>
        <v/>
      </c>
      <c r="L5" s="32" t="n"/>
      <c r="M5" s="12">
        <f>IFERROR(IF(D5="","",IFS(OR(D5="Porous Asphalt",D5="Porous Concrete"),'6-Parameters'!$B$37,D5="Permeable Paver",'6-Parameters'!$B$36,OR(D5="Bioretention",D5="Bioswale"),'6-Parameters'!$B$35,D5="Green Roof",'6-Parameters'!$B$38,TRUE,0)),"" )</f>
        <v/>
      </c>
      <c r="N5" s="12">
        <f>IFERROR(IF(D5="","",J5*K5+L5*M5),"")</f>
        <v/>
      </c>
      <c r="O5" s="12">
        <f>'6-Parameters'!$B$8/12</f>
        <v/>
      </c>
      <c r="P5" s="12">
        <f>IFERROR(IF(N5="","",MIN(N5,O5)),"")</f>
        <v/>
      </c>
      <c r="Q5" s="12">
        <f>IFERROR(IF(I5="","",I5*P5),"")</f>
        <v/>
      </c>
      <c r="R5" s="12">
        <f>IFERROR(IF(Q5="","",Q5*7.48),"")</f>
        <v/>
      </c>
    </row>
    <row r="6">
      <c r="A6" s="32" t="n"/>
      <c r="B6" s="32" t="n"/>
      <c r="C6" s="12">
        <f>IFERROR(VLOOKUP(B6,'3-CDA LandUse'!$A$4:$I$53,2,0),"")</f>
        <v/>
      </c>
      <c r="D6" s="32" t="n"/>
      <c r="E6" s="12">
        <f>IFERROR(VLOOKUP(B6,'3-CDA LandUse'!$A$4:$I$53,6,0),0)</f>
        <v/>
      </c>
      <c r="F6" s="12">
        <f>IFERROR(VLOOKUP(B6,'3-CDA LandUse'!$A$4:$I$53,7,0),0)</f>
        <v/>
      </c>
      <c r="G6" s="12">
        <f>IFERROR(VLOOKUP(B6,'3-CDA LandUse'!$A$4:$I$53,8,0),0)</f>
        <v/>
      </c>
      <c r="H6" s="12">
        <f>IFERROR(VLOOKUP(B6,'3-CDA LandUse'!$A$4:$I$53,9,0),0)</f>
        <v/>
      </c>
      <c r="I6" s="12">
        <f>IFERROR(IF(SUM(E6:H6)=0,"",SUM(E6:H6)),"")</f>
        <v/>
      </c>
      <c r="J6" s="32" t="n"/>
      <c r="K6" s="12">
        <f>IFERROR(IF(D6="","",IFS(OR(D6="Bioretention",D6="Bioswale"),'6-Parameters'!$B$34,D6="Green Roof",'6-Parameters'!$B$39,TRUE,0)),"" )</f>
        <v/>
      </c>
      <c r="L6" s="32" t="n"/>
      <c r="M6" s="12">
        <f>IFERROR(IF(D6="","",IFS(OR(D6="Porous Asphalt",D6="Porous Concrete"),'6-Parameters'!$B$37,D6="Permeable Paver",'6-Parameters'!$B$36,OR(D6="Bioretention",D6="Bioswale"),'6-Parameters'!$B$35,D6="Green Roof",'6-Parameters'!$B$38,TRUE,0)),"" )</f>
        <v/>
      </c>
      <c r="N6" s="12">
        <f>IFERROR(IF(D6="","",J6*K6+L6*M6),"")</f>
        <v/>
      </c>
      <c r="O6" s="12">
        <f>'6-Parameters'!$B$8/12</f>
        <v/>
      </c>
      <c r="P6" s="12">
        <f>IFERROR(IF(N6="","",MIN(N6,O6)),"")</f>
        <v/>
      </c>
      <c r="Q6" s="12">
        <f>IFERROR(IF(I6="","",I6*P6),"")</f>
        <v/>
      </c>
      <c r="R6" s="12">
        <f>IFERROR(IF(Q6="","",Q6*7.48),"")</f>
        <v/>
      </c>
    </row>
    <row r="7">
      <c r="A7" s="32" t="n"/>
      <c r="B7" s="32" t="n"/>
      <c r="C7" s="12">
        <f>IFERROR(VLOOKUP(B7,'3-CDA LandUse'!$A$4:$I$53,2,0),"")</f>
        <v/>
      </c>
      <c r="D7" s="32" t="n"/>
      <c r="E7" s="12">
        <f>IFERROR(VLOOKUP(B7,'3-CDA LandUse'!$A$4:$I$53,6,0),0)</f>
        <v/>
      </c>
      <c r="F7" s="12">
        <f>IFERROR(VLOOKUP(B7,'3-CDA LandUse'!$A$4:$I$53,7,0),0)</f>
        <v/>
      </c>
      <c r="G7" s="12">
        <f>IFERROR(VLOOKUP(B7,'3-CDA LandUse'!$A$4:$I$53,8,0),0)</f>
        <v/>
      </c>
      <c r="H7" s="12">
        <f>IFERROR(VLOOKUP(B7,'3-CDA LandUse'!$A$4:$I$53,9,0),0)</f>
        <v/>
      </c>
      <c r="I7" s="12">
        <f>IFERROR(IF(SUM(E7:H7)=0,"",SUM(E7:H7)),"")</f>
        <v/>
      </c>
      <c r="J7" s="32" t="n"/>
      <c r="K7" s="12">
        <f>IFERROR(IF(D7="","",IFS(OR(D7="Bioretention",D7="Bioswale"),'6-Parameters'!$B$34,D7="Green Roof",'6-Parameters'!$B$39,TRUE,0)),"" )</f>
        <v/>
      </c>
      <c r="L7" s="32" t="n"/>
      <c r="M7" s="12">
        <f>IFERROR(IF(D7="","",IFS(OR(D7="Porous Asphalt",D7="Porous Concrete"),'6-Parameters'!$B$37,D7="Permeable Paver",'6-Parameters'!$B$36,OR(D7="Bioretention",D7="Bioswale"),'6-Parameters'!$B$35,D7="Green Roof",'6-Parameters'!$B$38,TRUE,0)),"" )</f>
        <v/>
      </c>
      <c r="N7" s="12">
        <f>IFERROR(IF(D7="","",J7*K7+L7*M7),"")</f>
        <v/>
      </c>
      <c r="O7" s="12">
        <f>'6-Parameters'!$B$8/12</f>
        <v/>
      </c>
      <c r="P7" s="12">
        <f>IFERROR(IF(N7="","",MIN(N7,O7)),"")</f>
        <v/>
      </c>
      <c r="Q7" s="12">
        <f>IFERROR(IF(I7="","",I7*P7),"")</f>
        <v/>
      </c>
      <c r="R7" s="12">
        <f>IFERROR(IF(Q7="","",Q7*7.48),"")</f>
        <v/>
      </c>
    </row>
    <row r="8">
      <c r="A8" s="32" t="n"/>
      <c r="B8" s="32" t="n"/>
      <c r="C8" s="12">
        <f>IFERROR(VLOOKUP(B8,'3-CDA LandUse'!$A$4:$I$53,2,0),"")</f>
        <v/>
      </c>
      <c r="D8" s="32" t="n"/>
      <c r="E8" s="12">
        <f>IFERROR(VLOOKUP(B8,'3-CDA LandUse'!$A$4:$I$53,6,0),0)</f>
        <v/>
      </c>
      <c r="F8" s="12">
        <f>IFERROR(VLOOKUP(B8,'3-CDA LandUse'!$A$4:$I$53,7,0),0)</f>
        <v/>
      </c>
      <c r="G8" s="12">
        <f>IFERROR(VLOOKUP(B8,'3-CDA LandUse'!$A$4:$I$53,8,0),0)</f>
        <v/>
      </c>
      <c r="H8" s="12">
        <f>IFERROR(VLOOKUP(B8,'3-CDA LandUse'!$A$4:$I$53,9,0),0)</f>
        <v/>
      </c>
      <c r="I8" s="12">
        <f>IFERROR(IF(SUM(E8:H8)=0,"",SUM(E8:H8)),"")</f>
        <v/>
      </c>
      <c r="J8" s="32" t="n"/>
      <c r="K8" s="12">
        <f>IFERROR(IF(D8="","",IFS(OR(D8="Bioretention",D8="Bioswale"),'6-Parameters'!$B$34,D8="Green Roof",'6-Parameters'!$B$39,TRUE,0)),"" )</f>
        <v/>
      </c>
      <c r="L8" s="32" t="n"/>
      <c r="M8" s="12">
        <f>IFERROR(IF(D8="","",IFS(OR(D8="Porous Asphalt",D8="Porous Concrete"),'6-Parameters'!$B$37,D8="Permeable Paver",'6-Parameters'!$B$36,OR(D8="Bioretention",D8="Bioswale"),'6-Parameters'!$B$35,D8="Green Roof",'6-Parameters'!$B$38,TRUE,0)),"" )</f>
        <v/>
      </c>
      <c r="N8" s="12">
        <f>IFERROR(IF(D8="","",J8*K8+L8*M8),"")</f>
        <v/>
      </c>
      <c r="O8" s="12">
        <f>'6-Parameters'!$B$8/12</f>
        <v/>
      </c>
      <c r="P8" s="12">
        <f>IFERROR(IF(N8="","",MIN(N8,O8)),"")</f>
        <v/>
      </c>
      <c r="Q8" s="12">
        <f>IFERROR(IF(I8="","",I8*P8),"")</f>
        <v/>
      </c>
      <c r="R8" s="12">
        <f>IFERROR(IF(Q8="","",Q8*7.48),"")</f>
        <v/>
      </c>
    </row>
    <row r="9">
      <c r="A9" s="32" t="n"/>
      <c r="B9" s="32" t="n"/>
      <c r="C9" s="12">
        <f>IFERROR(VLOOKUP(B9,'3-CDA LandUse'!$A$4:$I$53,2,0),"")</f>
        <v/>
      </c>
      <c r="D9" s="32" t="n"/>
      <c r="E9" s="12">
        <f>IFERROR(VLOOKUP(B9,'3-CDA LandUse'!$A$4:$I$53,6,0),0)</f>
        <v/>
      </c>
      <c r="F9" s="12">
        <f>IFERROR(VLOOKUP(B9,'3-CDA LandUse'!$A$4:$I$53,7,0),0)</f>
        <v/>
      </c>
      <c r="G9" s="12">
        <f>IFERROR(VLOOKUP(B9,'3-CDA LandUse'!$A$4:$I$53,8,0),0)</f>
        <v/>
      </c>
      <c r="H9" s="12">
        <f>IFERROR(VLOOKUP(B9,'3-CDA LandUse'!$A$4:$I$53,9,0),0)</f>
        <v/>
      </c>
      <c r="I9" s="12">
        <f>IFERROR(IF(SUM(E9:H9)=0,"",SUM(E9:H9)),"")</f>
        <v/>
      </c>
      <c r="J9" s="32" t="n"/>
      <c r="K9" s="12">
        <f>IFERROR(IF(D9="","",IFS(OR(D9="Bioretention",D9="Bioswale"),'6-Parameters'!$B$34,D9="Green Roof",'6-Parameters'!$B$39,TRUE,0)),"" )</f>
        <v/>
      </c>
      <c r="L9" s="32" t="n"/>
      <c r="M9" s="12">
        <f>IFERROR(IF(D9="","",IFS(OR(D9="Porous Asphalt",D9="Porous Concrete"),'6-Parameters'!$B$37,D9="Permeable Paver",'6-Parameters'!$B$36,OR(D9="Bioretention",D9="Bioswale"),'6-Parameters'!$B$35,D9="Green Roof",'6-Parameters'!$B$38,TRUE,0)),"" )</f>
        <v/>
      </c>
      <c r="N9" s="12">
        <f>IFERROR(IF(D9="","",J9*K9+L9*M9),"")</f>
        <v/>
      </c>
      <c r="O9" s="12">
        <f>'6-Parameters'!$B$8/12</f>
        <v/>
      </c>
      <c r="P9" s="12">
        <f>IFERROR(IF(N9="","",MIN(N9,O9)),"")</f>
        <v/>
      </c>
      <c r="Q9" s="12">
        <f>IFERROR(IF(I9="","",I9*P9),"")</f>
        <v/>
      </c>
      <c r="R9" s="12">
        <f>IFERROR(IF(Q9="","",Q9*7.48),"")</f>
        <v/>
      </c>
    </row>
    <row r="10">
      <c r="A10" s="32" t="n"/>
      <c r="B10" s="32" t="n"/>
      <c r="C10" s="12">
        <f>IFERROR(VLOOKUP(B10,'3-CDA LandUse'!$A$4:$I$53,2,0),"")</f>
        <v/>
      </c>
      <c r="D10" s="32" t="n"/>
      <c r="E10" s="12">
        <f>IFERROR(VLOOKUP(B10,'3-CDA LandUse'!$A$4:$I$53,6,0),0)</f>
        <v/>
      </c>
      <c r="F10" s="12">
        <f>IFERROR(VLOOKUP(B10,'3-CDA LandUse'!$A$4:$I$53,7,0),0)</f>
        <v/>
      </c>
      <c r="G10" s="12">
        <f>IFERROR(VLOOKUP(B10,'3-CDA LandUse'!$A$4:$I$53,8,0),0)</f>
        <v/>
      </c>
      <c r="H10" s="12">
        <f>IFERROR(VLOOKUP(B10,'3-CDA LandUse'!$A$4:$I$53,9,0),0)</f>
        <v/>
      </c>
      <c r="I10" s="12">
        <f>IFERROR(IF(SUM(E10:H10)=0,"",SUM(E10:H10)),"")</f>
        <v/>
      </c>
      <c r="J10" s="32" t="n"/>
      <c r="K10" s="12">
        <f>IFERROR(IF(D10="","",IFS(OR(D10="Bioretention",D10="Bioswale"),'6-Parameters'!$B$34,D10="Green Roof",'6-Parameters'!$B$39,TRUE,0)),"" )</f>
        <v/>
      </c>
      <c r="L10" s="32" t="n"/>
      <c r="M10" s="12">
        <f>IFERROR(IF(D10="","",IFS(OR(D10="Porous Asphalt",D10="Porous Concrete"),'6-Parameters'!$B$37,D10="Permeable Paver",'6-Parameters'!$B$36,OR(D10="Bioretention",D10="Bioswale"),'6-Parameters'!$B$35,D10="Green Roof",'6-Parameters'!$B$38,TRUE,0)),"" )</f>
        <v/>
      </c>
      <c r="N10" s="12">
        <f>IFERROR(IF(D10="","",J10*K10+L10*M10),"")</f>
        <v/>
      </c>
      <c r="O10" s="12">
        <f>'6-Parameters'!$B$8/12</f>
        <v/>
      </c>
      <c r="P10" s="12">
        <f>IFERROR(IF(N10="","",MIN(N10,O10)),"")</f>
        <v/>
      </c>
      <c r="Q10" s="12">
        <f>IFERROR(IF(I10="","",I10*P10),"")</f>
        <v/>
      </c>
      <c r="R10" s="12">
        <f>IFERROR(IF(Q10="","",Q10*7.48),"")</f>
        <v/>
      </c>
    </row>
    <row r="11">
      <c r="A11" s="32" t="n"/>
      <c r="B11" s="32" t="n"/>
      <c r="C11" s="12">
        <f>IFERROR(VLOOKUP(B11,'3-CDA LandUse'!$A$4:$I$53,2,0),"")</f>
        <v/>
      </c>
      <c r="D11" s="32" t="n"/>
      <c r="E11" s="12">
        <f>IFERROR(VLOOKUP(B11,'3-CDA LandUse'!$A$4:$I$53,6,0),0)</f>
        <v/>
      </c>
      <c r="F11" s="12">
        <f>IFERROR(VLOOKUP(B11,'3-CDA LandUse'!$A$4:$I$53,7,0),0)</f>
        <v/>
      </c>
      <c r="G11" s="12">
        <f>IFERROR(VLOOKUP(B11,'3-CDA LandUse'!$A$4:$I$53,8,0),0)</f>
        <v/>
      </c>
      <c r="H11" s="12">
        <f>IFERROR(VLOOKUP(B11,'3-CDA LandUse'!$A$4:$I$53,9,0),0)</f>
        <v/>
      </c>
      <c r="I11" s="12">
        <f>IFERROR(IF(SUM(E11:H11)=0,"",SUM(E11:H11)),"")</f>
        <v/>
      </c>
      <c r="J11" s="32" t="n"/>
      <c r="K11" s="12">
        <f>IFERROR(IF(D11="","",IFS(OR(D11="Bioretention",D11="Bioswale"),'6-Parameters'!$B$34,D11="Green Roof",'6-Parameters'!$B$39,TRUE,0)),"" )</f>
        <v/>
      </c>
      <c r="L11" s="32" t="n"/>
      <c r="M11" s="12">
        <f>IFERROR(IF(D11="","",IFS(OR(D11="Porous Asphalt",D11="Porous Concrete"),'6-Parameters'!$B$37,D11="Permeable Paver",'6-Parameters'!$B$36,OR(D11="Bioretention",D11="Bioswale"),'6-Parameters'!$B$35,D11="Green Roof",'6-Parameters'!$B$38,TRUE,0)),"" )</f>
        <v/>
      </c>
      <c r="N11" s="12">
        <f>IFERROR(IF(D11="","",J11*K11+L11*M11),"")</f>
        <v/>
      </c>
      <c r="O11" s="12">
        <f>'6-Parameters'!$B$8/12</f>
        <v/>
      </c>
      <c r="P11" s="12">
        <f>IFERROR(IF(N11="","",MIN(N11,O11)),"")</f>
        <v/>
      </c>
      <c r="Q11" s="12">
        <f>IFERROR(IF(I11="","",I11*P11),"")</f>
        <v/>
      </c>
      <c r="R11" s="12">
        <f>IFERROR(IF(Q11="","",Q11*7.48),"")</f>
        <v/>
      </c>
    </row>
    <row r="12">
      <c r="A12" s="32" t="n"/>
      <c r="B12" s="32" t="n"/>
      <c r="C12" s="12">
        <f>IFERROR(VLOOKUP(B12,'3-CDA LandUse'!$A$4:$I$53,2,0),"")</f>
        <v/>
      </c>
      <c r="D12" s="32" t="n"/>
      <c r="E12" s="12">
        <f>IFERROR(VLOOKUP(B12,'3-CDA LandUse'!$A$4:$I$53,6,0),0)</f>
        <v/>
      </c>
      <c r="F12" s="12">
        <f>IFERROR(VLOOKUP(B12,'3-CDA LandUse'!$A$4:$I$53,7,0),0)</f>
        <v/>
      </c>
      <c r="G12" s="12">
        <f>IFERROR(VLOOKUP(B12,'3-CDA LandUse'!$A$4:$I$53,8,0),0)</f>
        <v/>
      </c>
      <c r="H12" s="12">
        <f>IFERROR(VLOOKUP(B12,'3-CDA LandUse'!$A$4:$I$53,9,0),0)</f>
        <v/>
      </c>
      <c r="I12" s="12">
        <f>IFERROR(IF(SUM(E12:H12)=0,"",SUM(E12:H12)),"")</f>
        <v/>
      </c>
      <c r="J12" s="32" t="n"/>
      <c r="K12" s="12">
        <f>IFERROR(IF(D12="","",IFS(OR(D12="Bioretention",D12="Bioswale"),'6-Parameters'!$B$34,D12="Green Roof",'6-Parameters'!$B$39,TRUE,0)),"" )</f>
        <v/>
      </c>
      <c r="L12" s="32" t="n"/>
      <c r="M12" s="12">
        <f>IFERROR(IF(D12="","",IFS(OR(D12="Porous Asphalt",D12="Porous Concrete"),'6-Parameters'!$B$37,D12="Permeable Paver",'6-Parameters'!$B$36,OR(D12="Bioretention",D12="Bioswale"),'6-Parameters'!$B$35,D12="Green Roof",'6-Parameters'!$B$38,TRUE,0)),"" )</f>
        <v/>
      </c>
      <c r="N12" s="12">
        <f>IFERROR(IF(D12="","",J12*K12+L12*M12),"")</f>
        <v/>
      </c>
      <c r="O12" s="12">
        <f>'6-Parameters'!$B$8/12</f>
        <v/>
      </c>
      <c r="P12" s="12">
        <f>IFERROR(IF(N12="","",MIN(N12,O12)),"")</f>
        <v/>
      </c>
      <c r="Q12" s="12">
        <f>IFERROR(IF(I12="","",I12*P12),"")</f>
        <v/>
      </c>
      <c r="R12" s="12">
        <f>IFERROR(IF(Q12="","",Q12*7.48),"")</f>
        <v/>
      </c>
    </row>
    <row r="13">
      <c r="A13" s="32" t="n"/>
      <c r="B13" s="32" t="n"/>
      <c r="C13" s="12">
        <f>IFERROR(VLOOKUP(B13,'3-CDA LandUse'!$A$4:$I$53,2,0),"")</f>
        <v/>
      </c>
      <c r="D13" s="32" t="n"/>
      <c r="E13" s="12">
        <f>IFERROR(VLOOKUP(B13,'3-CDA LandUse'!$A$4:$I$53,6,0),0)</f>
        <v/>
      </c>
      <c r="F13" s="12">
        <f>IFERROR(VLOOKUP(B13,'3-CDA LandUse'!$A$4:$I$53,7,0),0)</f>
        <v/>
      </c>
      <c r="G13" s="12">
        <f>IFERROR(VLOOKUP(B13,'3-CDA LandUse'!$A$4:$I$53,8,0),0)</f>
        <v/>
      </c>
      <c r="H13" s="12">
        <f>IFERROR(VLOOKUP(B13,'3-CDA LandUse'!$A$4:$I$53,9,0),0)</f>
        <v/>
      </c>
      <c r="I13" s="12">
        <f>IFERROR(IF(SUM(E13:H13)=0,"",SUM(E13:H13)),"")</f>
        <v/>
      </c>
      <c r="J13" s="32" t="n"/>
      <c r="K13" s="12">
        <f>IFERROR(IF(D13="","",IFS(OR(D13="Bioretention",D13="Bioswale"),'6-Parameters'!$B$34,D13="Green Roof",'6-Parameters'!$B$39,TRUE,0)),"" )</f>
        <v/>
      </c>
      <c r="L13" s="32" t="n"/>
      <c r="M13" s="12">
        <f>IFERROR(IF(D13="","",IFS(OR(D13="Porous Asphalt",D13="Porous Concrete"),'6-Parameters'!$B$37,D13="Permeable Paver",'6-Parameters'!$B$36,OR(D13="Bioretention",D13="Bioswale"),'6-Parameters'!$B$35,D13="Green Roof",'6-Parameters'!$B$38,TRUE,0)),"" )</f>
        <v/>
      </c>
      <c r="N13" s="12">
        <f>IFERROR(IF(D13="","",J13*K13+L13*M13),"")</f>
        <v/>
      </c>
      <c r="O13" s="12">
        <f>'6-Parameters'!$B$8/12</f>
        <v/>
      </c>
      <c r="P13" s="12">
        <f>IFERROR(IF(N13="","",MIN(N13,O13)),"")</f>
        <v/>
      </c>
      <c r="Q13" s="12">
        <f>IFERROR(IF(I13="","",I13*P13),"")</f>
        <v/>
      </c>
      <c r="R13" s="12">
        <f>IFERROR(IF(Q13="","",Q13*7.48),"")</f>
        <v/>
      </c>
    </row>
    <row r="14">
      <c r="A14" s="32" t="n"/>
      <c r="B14" s="32" t="n"/>
      <c r="C14" s="12">
        <f>IFERROR(VLOOKUP(B14,'3-CDA LandUse'!$A$4:$I$53,2,0),"")</f>
        <v/>
      </c>
      <c r="D14" s="32" t="n"/>
      <c r="E14" s="12">
        <f>IFERROR(VLOOKUP(B14,'3-CDA LandUse'!$A$4:$I$53,6,0),0)</f>
        <v/>
      </c>
      <c r="F14" s="12">
        <f>IFERROR(VLOOKUP(B14,'3-CDA LandUse'!$A$4:$I$53,7,0),0)</f>
        <v/>
      </c>
      <c r="G14" s="12">
        <f>IFERROR(VLOOKUP(B14,'3-CDA LandUse'!$A$4:$I$53,8,0),0)</f>
        <v/>
      </c>
      <c r="H14" s="12">
        <f>IFERROR(VLOOKUP(B14,'3-CDA LandUse'!$A$4:$I$53,9,0),0)</f>
        <v/>
      </c>
      <c r="I14" s="12">
        <f>IFERROR(IF(SUM(E14:H14)=0,"",SUM(E14:H14)),"")</f>
        <v/>
      </c>
      <c r="J14" s="32" t="n"/>
      <c r="K14" s="12">
        <f>IFERROR(IF(D14="","",IFS(OR(D14="Bioretention",D14="Bioswale"),'6-Parameters'!$B$34,D14="Green Roof",'6-Parameters'!$B$39,TRUE,0)),"" )</f>
        <v/>
      </c>
      <c r="L14" s="32" t="n"/>
      <c r="M14" s="12">
        <f>IFERROR(IF(D14="","",IFS(OR(D14="Porous Asphalt",D14="Porous Concrete"),'6-Parameters'!$B$37,D14="Permeable Paver",'6-Parameters'!$B$36,OR(D14="Bioretention",D14="Bioswale"),'6-Parameters'!$B$35,D14="Green Roof",'6-Parameters'!$B$38,TRUE,0)),"" )</f>
        <v/>
      </c>
      <c r="N14" s="12">
        <f>IFERROR(IF(D14="","",J14*K14+L14*M14),"")</f>
        <v/>
      </c>
      <c r="O14" s="12">
        <f>'6-Parameters'!$B$8/12</f>
        <v/>
      </c>
      <c r="P14" s="12">
        <f>IFERROR(IF(N14="","",MIN(N14,O14)),"")</f>
        <v/>
      </c>
      <c r="Q14" s="12">
        <f>IFERROR(IF(I14="","",I14*P14),"")</f>
        <v/>
      </c>
      <c r="R14" s="12">
        <f>IFERROR(IF(Q14="","",Q14*7.48),"")</f>
        <v/>
      </c>
    </row>
    <row r="15">
      <c r="A15" s="32" t="n"/>
      <c r="B15" s="32" t="n"/>
      <c r="C15" s="12">
        <f>IFERROR(VLOOKUP(B15,'3-CDA LandUse'!$A$4:$I$53,2,0),"")</f>
        <v/>
      </c>
      <c r="D15" s="32" t="n"/>
      <c r="E15" s="12">
        <f>IFERROR(VLOOKUP(B15,'3-CDA LandUse'!$A$4:$I$53,6,0),0)</f>
        <v/>
      </c>
      <c r="F15" s="12">
        <f>IFERROR(VLOOKUP(B15,'3-CDA LandUse'!$A$4:$I$53,7,0),0)</f>
        <v/>
      </c>
      <c r="G15" s="12">
        <f>IFERROR(VLOOKUP(B15,'3-CDA LandUse'!$A$4:$I$53,8,0),0)</f>
        <v/>
      </c>
      <c r="H15" s="12">
        <f>IFERROR(VLOOKUP(B15,'3-CDA LandUse'!$A$4:$I$53,9,0),0)</f>
        <v/>
      </c>
      <c r="I15" s="12">
        <f>IFERROR(IF(SUM(E15:H15)=0,"",SUM(E15:H15)),"")</f>
        <v/>
      </c>
      <c r="J15" s="32" t="n"/>
      <c r="K15" s="12">
        <f>IFERROR(IF(D15="","",IFS(OR(D15="Bioretention",D15="Bioswale"),'6-Parameters'!$B$34,D15="Green Roof",'6-Parameters'!$B$39,TRUE,0)),"" )</f>
        <v/>
      </c>
      <c r="L15" s="32" t="n"/>
      <c r="M15" s="12">
        <f>IFERROR(IF(D15="","",IFS(OR(D15="Porous Asphalt",D15="Porous Concrete"),'6-Parameters'!$B$37,D15="Permeable Paver",'6-Parameters'!$B$36,OR(D15="Bioretention",D15="Bioswale"),'6-Parameters'!$B$35,D15="Green Roof",'6-Parameters'!$B$38,TRUE,0)),"" )</f>
        <v/>
      </c>
      <c r="N15" s="12">
        <f>IFERROR(IF(D15="","",J15*K15+L15*M15),"")</f>
        <v/>
      </c>
      <c r="O15" s="12">
        <f>'6-Parameters'!$B$8/12</f>
        <v/>
      </c>
      <c r="P15" s="12">
        <f>IFERROR(IF(N15="","",MIN(N15,O15)),"")</f>
        <v/>
      </c>
      <c r="Q15" s="12">
        <f>IFERROR(IF(I15="","",I15*P15),"")</f>
        <v/>
      </c>
      <c r="R15" s="12">
        <f>IFERROR(IF(Q15="","",Q15*7.48),"")</f>
        <v/>
      </c>
    </row>
    <row r="16">
      <c r="A16" s="32" t="n"/>
      <c r="B16" s="32" t="n"/>
      <c r="C16" s="12">
        <f>IFERROR(VLOOKUP(B16,'3-CDA LandUse'!$A$4:$I$53,2,0),"")</f>
        <v/>
      </c>
      <c r="D16" s="32" t="n"/>
      <c r="E16" s="12">
        <f>IFERROR(VLOOKUP(B16,'3-CDA LandUse'!$A$4:$I$53,6,0),0)</f>
        <v/>
      </c>
      <c r="F16" s="12">
        <f>IFERROR(VLOOKUP(B16,'3-CDA LandUse'!$A$4:$I$53,7,0),0)</f>
        <v/>
      </c>
      <c r="G16" s="12">
        <f>IFERROR(VLOOKUP(B16,'3-CDA LandUse'!$A$4:$I$53,8,0),0)</f>
        <v/>
      </c>
      <c r="H16" s="12">
        <f>IFERROR(VLOOKUP(B16,'3-CDA LandUse'!$A$4:$I$53,9,0),0)</f>
        <v/>
      </c>
      <c r="I16" s="12">
        <f>IFERROR(IF(SUM(E16:H16)=0,"",SUM(E16:H16)),"")</f>
        <v/>
      </c>
      <c r="J16" s="32" t="n"/>
      <c r="K16" s="12">
        <f>IFERROR(IF(D16="","",IFS(OR(D16="Bioretention",D16="Bioswale"),'6-Parameters'!$B$34,D16="Green Roof",'6-Parameters'!$B$39,TRUE,0)),"" )</f>
        <v/>
      </c>
      <c r="L16" s="32" t="n"/>
      <c r="M16" s="12">
        <f>IFERROR(IF(D16="","",IFS(OR(D16="Porous Asphalt",D16="Porous Concrete"),'6-Parameters'!$B$37,D16="Permeable Paver",'6-Parameters'!$B$36,OR(D16="Bioretention",D16="Bioswale"),'6-Parameters'!$B$35,D16="Green Roof",'6-Parameters'!$B$38,TRUE,0)),"" )</f>
        <v/>
      </c>
      <c r="N16" s="12">
        <f>IFERROR(IF(D16="","",J16*K16+L16*M16),"")</f>
        <v/>
      </c>
      <c r="O16" s="12">
        <f>'6-Parameters'!$B$8/12</f>
        <v/>
      </c>
      <c r="P16" s="12">
        <f>IFERROR(IF(N16="","",MIN(N16,O16)),"")</f>
        <v/>
      </c>
      <c r="Q16" s="12">
        <f>IFERROR(IF(I16="","",I16*P16),"")</f>
        <v/>
      </c>
      <c r="R16" s="12">
        <f>IFERROR(IF(Q16="","",Q16*7.48),"")</f>
        <v/>
      </c>
    </row>
    <row r="17">
      <c r="A17" s="32" t="n"/>
      <c r="B17" s="32" t="n"/>
      <c r="C17" s="12">
        <f>IFERROR(VLOOKUP(B17,'3-CDA LandUse'!$A$4:$I$53,2,0),"")</f>
        <v/>
      </c>
      <c r="D17" s="32" t="n"/>
      <c r="E17" s="12">
        <f>IFERROR(VLOOKUP(B17,'3-CDA LandUse'!$A$4:$I$53,6,0),0)</f>
        <v/>
      </c>
      <c r="F17" s="12">
        <f>IFERROR(VLOOKUP(B17,'3-CDA LandUse'!$A$4:$I$53,7,0),0)</f>
        <v/>
      </c>
      <c r="G17" s="12">
        <f>IFERROR(VLOOKUP(B17,'3-CDA LandUse'!$A$4:$I$53,8,0),0)</f>
        <v/>
      </c>
      <c r="H17" s="12">
        <f>IFERROR(VLOOKUP(B17,'3-CDA LandUse'!$A$4:$I$53,9,0),0)</f>
        <v/>
      </c>
      <c r="I17" s="12">
        <f>IFERROR(IF(SUM(E17:H17)=0,"",SUM(E17:H17)),"")</f>
        <v/>
      </c>
      <c r="J17" s="32" t="n"/>
      <c r="K17" s="12">
        <f>IFERROR(IF(D17="","",IFS(OR(D17="Bioretention",D17="Bioswale"),'6-Parameters'!$B$34,D17="Green Roof",'6-Parameters'!$B$39,TRUE,0)),"" )</f>
        <v/>
      </c>
      <c r="L17" s="32" t="n"/>
      <c r="M17" s="12">
        <f>IFERROR(IF(D17="","",IFS(OR(D17="Porous Asphalt",D17="Porous Concrete"),'6-Parameters'!$B$37,D17="Permeable Paver",'6-Parameters'!$B$36,OR(D17="Bioretention",D17="Bioswale"),'6-Parameters'!$B$35,D17="Green Roof",'6-Parameters'!$B$38,TRUE,0)),"" )</f>
        <v/>
      </c>
      <c r="N17" s="12">
        <f>IFERROR(IF(D17="","",J17*K17+L17*M17),"")</f>
        <v/>
      </c>
      <c r="O17" s="12">
        <f>'6-Parameters'!$B$8/12</f>
        <v/>
      </c>
      <c r="P17" s="12">
        <f>IFERROR(IF(N17="","",MIN(N17,O17)),"")</f>
        <v/>
      </c>
      <c r="Q17" s="12">
        <f>IFERROR(IF(I17="","",I17*P17),"")</f>
        <v/>
      </c>
      <c r="R17" s="12">
        <f>IFERROR(IF(Q17="","",Q17*7.48),"")</f>
        <v/>
      </c>
    </row>
    <row r="18">
      <c r="A18" s="32" t="n"/>
      <c r="B18" s="32" t="n"/>
      <c r="C18" s="12">
        <f>IFERROR(VLOOKUP(B18,'3-CDA LandUse'!$A$4:$I$53,2,0),"")</f>
        <v/>
      </c>
      <c r="D18" s="32" t="n"/>
      <c r="E18" s="12">
        <f>IFERROR(VLOOKUP(B18,'3-CDA LandUse'!$A$4:$I$53,6,0),0)</f>
        <v/>
      </c>
      <c r="F18" s="12">
        <f>IFERROR(VLOOKUP(B18,'3-CDA LandUse'!$A$4:$I$53,7,0),0)</f>
        <v/>
      </c>
      <c r="G18" s="12">
        <f>IFERROR(VLOOKUP(B18,'3-CDA LandUse'!$A$4:$I$53,8,0),0)</f>
        <v/>
      </c>
      <c r="H18" s="12">
        <f>IFERROR(VLOOKUP(B18,'3-CDA LandUse'!$A$4:$I$53,9,0),0)</f>
        <v/>
      </c>
      <c r="I18" s="12">
        <f>IFERROR(IF(SUM(E18:H18)=0,"",SUM(E18:H18)),"")</f>
        <v/>
      </c>
      <c r="J18" s="32" t="n"/>
      <c r="K18" s="12">
        <f>IFERROR(IF(D18="","",IFS(OR(D18="Bioretention",D18="Bioswale"),'6-Parameters'!$B$34,D18="Green Roof",'6-Parameters'!$B$39,TRUE,0)),"" )</f>
        <v/>
      </c>
      <c r="L18" s="32" t="n"/>
      <c r="M18" s="12">
        <f>IFERROR(IF(D18="","",IFS(OR(D18="Porous Asphalt",D18="Porous Concrete"),'6-Parameters'!$B$37,D18="Permeable Paver",'6-Parameters'!$B$36,OR(D18="Bioretention",D18="Bioswale"),'6-Parameters'!$B$35,D18="Green Roof",'6-Parameters'!$B$38,TRUE,0)),"" )</f>
        <v/>
      </c>
      <c r="N18" s="12">
        <f>IFERROR(IF(D18="","",J18*K18+L18*M18),"")</f>
        <v/>
      </c>
      <c r="O18" s="12">
        <f>'6-Parameters'!$B$8/12</f>
        <v/>
      </c>
      <c r="P18" s="12">
        <f>IFERROR(IF(N18="","",MIN(N18,O18)),"")</f>
        <v/>
      </c>
      <c r="Q18" s="12">
        <f>IFERROR(IF(I18="","",I18*P18),"")</f>
        <v/>
      </c>
      <c r="R18" s="12">
        <f>IFERROR(IF(Q18="","",Q18*7.48),"")</f>
        <v/>
      </c>
    </row>
    <row r="19">
      <c r="A19" s="32" t="n"/>
      <c r="B19" s="32" t="n"/>
      <c r="C19" s="12">
        <f>IFERROR(VLOOKUP(B19,'3-CDA LandUse'!$A$4:$I$53,2,0),"")</f>
        <v/>
      </c>
      <c r="D19" s="32" t="n"/>
      <c r="E19" s="12">
        <f>IFERROR(VLOOKUP(B19,'3-CDA LandUse'!$A$4:$I$53,6,0),0)</f>
        <v/>
      </c>
      <c r="F19" s="12">
        <f>IFERROR(VLOOKUP(B19,'3-CDA LandUse'!$A$4:$I$53,7,0),0)</f>
        <v/>
      </c>
      <c r="G19" s="12">
        <f>IFERROR(VLOOKUP(B19,'3-CDA LandUse'!$A$4:$I$53,8,0),0)</f>
        <v/>
      </c>
      <c r="H19" s="12">
        <f>IFERROR(VLOOKUP(B19,'3-CDA LandUse'!$A$4:$I$53,9,0),0)</f>
        <v/>
      </c>
      <c r="I19" s="12">
        <f>IFERROR(IF(SUM(E19:H19)=0,"",SUM(E19:H19)),"")</f>
        <v/>
      </c>
      <c r="J19" s="32" t="n"/>
      <c r="K19" s="12">
        <f>IFERROR(IF(D19="","",IFS(OR(D19="Bioretention",D19="Bioswale"),'6-Parameters'!$B$34,D19="Green Roof",'6-Parameters'!$B$39,TRUE,0)),"" )</f>
        <v/>
      </c>
      <c r="L19" s="32" t="n"/>
      <c r="M19" s="12">
        <f>IFERROR(IF(D19="","",IFS(OR(D19="Porous Asphalt",D19="Porous Concrete"),'6-Parameters'!$B$37,D19="Permeable Paver",'6-Parameters'!$B$36,OR(D19="Bioretention",D19="Bioswale"),'6-Parameters'!$B$35,D19="Green Roof",'6-Parameters'!$B$38,TRUE,0)),"" )</f>
        <v/>
      </c>
      <c r="N19" s="12">
        <f>IFERROR(IF(D19="","",J19*K19+L19*M19),"")</f>
        <v/>
      </c>
      <c r="O19" s="12">
        <f>'6-Parameters'!$B$8/12</f>
        <v/>
      </c>
      <c r="P19" s="12">
        <f>IFERROR(IF(N19="","",MIN(N19,O19)),"")</f>
        <v/>
      </c>
      <c r="Q19" s="12">
        <f>IFERROR(IF(I19="","",I19*P19),"")</f>
        <v/>
      </c>
      <c r="R19" s="12">
        <f>IFERROR(IF(Q19="","",Q19*7.48),"")</f>
        <v/>
      </c>
    </row>
    <row r="20">
      <c r="A20" s="32" t="n"/>
      <c r="B20" s="32" t="n"/>
      <c r="C20" s="12">
        <f>IFERROR(VLOOKUP(B20,'3-CDA LandUse'!$A$4:$I$53,2,0),"")</f>
        <v/>
      </c>
      <c r="D20" s="32" t="n"/>
      <c r="E20" s="12">
        <f>IFERROR(VLOOKUP(B20,'3-CDA LandUse'!$A$4:$I$53,6,0),0)</f>
        <v/>
      </c>
      <c r="F20" s="12">
        <f>IFERROR(VLOOKUP(B20,'3-CDA LandUse'!$A$4:$I$53,7,0),0)</f>
        <v/>
      </c>
      <c r="G20" s="12">
        <f>IFERROR(VLOOKUP(B20,'3-CDA LandUse'!$A$4:$I$53,8,0),0)</f>
        <v/>
      </c>
      <c r="H20" s="12">
        <f>IFERROR(VLOOKUP(B20,'3-CDA LandUse'!$A$4:$I$53,9,0),0)</f>
        <v/>
      </c>
      <c r="I20" s="12">
        <f>IFERROR(IF(SUM(E20:H20)=0,"",SUM(E20:H20)),"")</f>
        <v/>
      </c>
      <c r="J20" s="32" t="n"/>
      <c r="K20" s="12">
        <f>IFERROR(IF(D20="","",IFS(OR(D20="Bioretention",D20="Bioswale"),'6-Parameters'!$B$34,D20="Green Roof",'6-Parameters'!$B$39,TRUE,0)),"" )</f>
        <v/>
      </c>
      <c r="L20" s="32" t="n"/>
      <c r="M20" s="12">
        <f>IFERROR(IF(D20="","",IFS(OR(D20="Porous Asphalt",D20="Porous Concrete"),'6-Parameters'!$B$37,D20="Permeable Paver",'6-Parameters'!$B$36,OR(D20="Bioretention",D20="Bioswale"),'6-Parameters'!$B$35,D20="Green Roof",'6-Parameters'!$B$38,TRUE,0)),"" )</f>
        <v/>
      </c>
      <c r="N20" s="12">
        <f>IFERROR(IF(D20="","",J20*K20+L20*M20),"")</f>
        <v/>
      </c>
      <c r="O20" s="12">
        <f>'6-Parameters'!$B$8/12</f>
        <v/>
      </c>
      <c r="P20" s="12">
        <f>IFERROR(IF(N20="","",MIN(N20,O20)),"")</f>
        <v/>
      </c>
      <c r="Q20" s="12">
        <f>IFERROR(IF(I20="","",I20*P20),"")</f>
        <v/>
      </c>
      <c r="R20" s="12">
        <f>IFERROR(IF(Q20="","",Q20*7.48),"")</f>
        <v/>
      </c>
    </row>
    <row r="21">
      <c r="A21" s="32" t="n"/>
      <c r="B21" s="32" t="n"/>
      <c r="C21" s="12">
        <f>IFERROR(VLOOKUP(B21,'3-CDA LandUse'!$A$4:$I$53,2,0),"")</f>
        <v/>
      </c>
      <c r="D21" s="32" t="n"/>
      <c r="E21" s="12">
        <f>IFERROR(VLOOKUP(B21,'3-CDA LandUse'!$A$4:$I$53,6,0),0)</f>
        <v/>
      </c>
      <c r="F21" s="12">
        <f>IFERROR(VLOOKUP(B21,'3-CDA LandUse'!$A$4:$I$53,7,0),0)</f>
        <v/>
      </c>
      <c r="G21" s="12">
        <f>IFERROR(VLOOKUP(B21,'3-CDA LandUse'!$A$4:$I$53,8,0),0)</f>
        <v/>
      </c>
      <c r="H21" s="12">
        <f>IFERROR(VLOOKUP(B21,'3-CDA LandUse'!$A$4:$I$53,9,0),0)</f>
        <v/>
      </c>
      <c r="I21" s="12">
        <f>IFERROR(IF(SUM(E21:H21)=0,"",SUM(E21:H21)),"")</f>
        <v/>
      </c>
      <c r="J21" s="32" t="n"/>
      <c r="K21" s="12">
        <f>IFERROR(IF(D21="","",IFS(OR(D21="Bioretention",D21="Bioswale"),'6-Parameters'!$B$34,D21="Green Roof",'6-Parameters'!$B$39,TRUE,0)),"" )</f>
        <v/>
      </c>
      <c r="L21" s="32" t="n"/>
      <c r="M21" s="12">
        <f>IFERROR(IF(D21="","",IFS(OR(D21="Porous Asphalt",D21="Porous Concrete"),'6-Parameters'!$B$37,D21="Permeable Paver",'6-Parameters'!$B$36,OR(D21="Bioretention",D21="Bioswale"),'6-Parameters'!$B$35,D21="Green Roof",'6-Parameters'!$B$38,TRUE,0)),"" )</f>
        <v/>
      </c>
      <c r="N21" s="12">
        <f>IFERROR(IF(D21="","",J21*K21+L21*M21),"")</f>
        <v/>
      </c>
      <c r="O21" s="12">
        <f>'6-Parameters'!$B$8/12</f>
        <v/>
      </c>
      <c r="P21" s="12">
        <f>IFERROR(IF(N21="","",MIN(N21,O21)),"")</f>
        <v/>
      </c>
      <c r="Q21" s="12">
        <f>IFERROR(IF(I21="","",I21*P21),"")</f>
        <v/>
      </c>
      <c r="R21" s="12">
        <f>IFERROR(IF(Q21="","",Q21*7.48),"")</f>
        <v/>
      </c>
    </row>
    <row r="22">
      <c r="A22" s="32" t="n"/>
      <c r="B22" s="32" t="n"/>
      <c r="C22" s="12">
        <f>IFERROR(VLOOKUP(B22,'3-CDA LandUse'!$A$4:$I$53,2,0),"")</f>
        <v/>
      </c>
      <c r="D22" s="32" t="n"/>
      <c r="E22" s="12">
        <f>IFERROR(VLOOKUP(B22,'3-CDA LandUse'!$A$4:$I$53,6,0),0)</f>
        <v/>
      </c>
      <c r="F22" s="12">
        <f>IFERROR(VLOOKUP(B22,'3-CDA LandUse'!$A$4:$I$53,7,0),0)</f>
        <v/>
      </c>
      <c r="G22" s="12">
        <f>IFERROR(VLOOKUP(B22,'3-CDA LandUse'!$A$4:$I$53,8,0),0)</f>
        <v/>
      </c>
      <c r="H22" s="12">
        <f>IFERROR(VLOOKUP(B22,'3-CDA LandUse'!$A$4:$I$53,9,0),0)</f>
        <v/>
      </c>
      <c r="I22" s="12">
        <f>IFERROR(IF(SUM(E22:H22)=0,"",SUM(E22:H22)),"")</f>
        <v/>
      </c>
      <c r="J22" s="32" t="n"/>
      <c r="K22" s="12">
        <f>IFERROR(IF(D22="","",IFS(OR(D22="Bioretention",D22="Bioswale"),'6-Parameters'!$B$34,D22="Green Roof",'6-Parameters'!$B$39,TRUE,0)),"" )</f>
        <v/>
      </c>
      <c r="L22" s="32" t="n"/>
      <c r="M22" s="12">
        <f>IFERROR(IF(D22="","",IFS(OR(D22="Porous Asphalt",D22="Porous Concrete"),'6-Parameters'!$B$37,D22="Permeable Paver",'6-Parameters'!$B$36,OR(D22="Bioretention",D22="Bioswale"),'6-Parameters'!$B$35,D22="Green Roof",'6-Parameters'!$B$38,TRUE,0)),"" )</f>
        <v/>
      </c>
      <c r="N22" s="12">
        <f>IFERROR(IF(D22="","",J22*K22+L22*M22),"")</f>
        <v/>
      </c>
      <c r="O22" s="12">
        <f>'6-Parameters'!$B$8/12</f>
        <v/>
      </c>
      <c r="P22" s="12">
        <f>IFERROR(IF(N22="","",MIN(N22,O22)),"")</f>
        <v/>
      </c>
      <c r="Q22" s="12">
        <f>IFERROR(IF(I22="","",I22*P22),"")</f>
        <v/>
      </c>
      <c r="R22" s="12">
        <f>IFERROR(IF(Q22="","",Q22*7.48),"")</f>
        <v/>
      </c>
    </row>
    <row r="23">
      <c r="A23" s="32" t="n"/>
      <c r="B23" s="32" t="n"/>
      <c r="C23" s="12">
        <f>IFERROR(VLOOKUP(B23,'3-CDA LandUse'!$A$4:$I$53,2,0),"")</f>
        <v/>
      </c>
      <c r="D23" s="32" t="n"/>
      <c r="E23" s="12">
        <f>IFERROR(VLOOKUP(B23,'3-CDA LandUse'!$A$4:$I$53,6,0),0)</f>
        <v/>
      </c>
      <c r="F23" s="12">
        <f>IFERROR(VLOOKUP(B23,'3-CDA LandUse'!$A$4:$I$53,7,0),0)</f>
        <v/>
      </c>
      <c r="G23" s="12">
        <f>IFERROR(VLOOKUP(B23,'3-CDA LandUse'!$A$4:$I$53,8,0),0)</f>
        <v/>
      </c>
      <c r="H23" s="12">
        <f>IFERROR(VLOOKUP(B23,'3-CDA LandUse'!$A$4:$I$53,9,0),0)</f>
        <v/>
      </c>
      <c r="I23" s="12">
        <f>IFERROR(IF(SUM(E23:H23)=0,"",SUM(E23:H23)),"")</f>
        <v/>
      </c>
      <c r="J23" s="32" t="n"/>
      <c r="K23" s="12">
        <f>IFERROR(IF(D23="","",IFS(OR(D23="Bioretention",D23="Bioswale"),'6-Parameters'!$B$34,D23="Green Roof",'6-Parameters'!$B$39,TRUE,0)),"" )</f>
        <v/>
      </c>
      <c r="L23" s="32" t="n"/>
      <c r="M23" s="12">
        <f>IFERROR(IF(D23="","",IFS(OR(D23="Porous Asphalt",D23="Porous Concrete"),'6-Parameters'!$B$37,D23="Permeable Paver",'6-Parameters'!$B$36,OR(D23="Bioretention",D23="Bioswale"),'6-Parameters'!$B$35,D23="Green Roof",'6-Parameters'!$B$38,TRUE,0)),"" )</f>
        <v/>
      </c>
      <c r="N23" s="12">
        <f>IFERROR(IF(D23="","",J23*K23+L23*M23),"")</f>
        <v/>
      </c>
      <c r="O23" s="12">
        <f>'6-Parameters'!$B$8/12</f>
        <v/>
      </c>
      <c r="P23" s="12">
        <f>IFERROR(IF(N23="","",MIN(N23,O23)),"")</f>
        <v/>
      </c>
      <c r="Q23" s="12">
        <f>IFERROR(IF(I23="","",I23*P23),"")</f>
        <v/>
      </c>
      <c r="R23" s="12">
        <f>IFERROR(IF(Q23="","",Q23*7.48),"")</f>
        <v/>
      </c>
    </row>
    <row r="24">
      <c r="A24" s="32" t="n"/>
      <c r="B24" s="32" t="n"/>
      <c r="C24" s="12">
        <f>IFERROR(VLOOKUP(B24,'3-CDA LandUse'!$A$4:$I$53,2,0),"")</f>
        <v/>
      </c>
      <c r="D24" s="32" t="n"/>
      <c r="E24" s="12">
        <f>IFERROR(VLOOKUP(B24,'3-CDA LandUse'!$A$4:$I$53,6,0),0)</f>
        <v/>
      </c>
      <c r="F24" s="12">
        <f>IFERROR(VLOOKUP(B24,'3-CDA LandUse'!$A$4:$I$53,7,0),0)</f>
        <v/>
      </c>
      <c r="G24" s="12">
        <f>IFERROR(VLOOKUP(B24,'3-CDA LandUse'!$A$4:$I$53,8,0),0)</f>
        <v/>
      </c>
      <c r="H24" s="12">
        <f>IFERROR(VLOOKUP(B24,'3-CDA LandUse'!$A$4:$I$53,9,0),0)</f>
        <v/>
      </c>
      <c r="I24" s="12">
        <f>IFERROR(IF(SUM(E24:H24)=0,"",SUM(E24:H24)),"")</f>
        <v/>
      </c>
      <c r="J24" s="32" t="n"/>
      <c r="K24" s="12">
        <f>IFERROR(IF(D24="","",IFS(OR(D24="Bioretention",D24="Bioswale"),'6-Parameters'!$B$34,D24="Green Roof",'6-Parameters'!$B$39,TRUE,0)),"" )</f>
        <v/>
      </c>
      <c r="L24" s="32" t="n"/>
      <c r="M24" s="12">
        <f>IFERROR(IF(D24="","",IFS(OR(D24="Porous Asphalt",D24="Porous Concrete"),'6-Parameters'!$B$37,D24="Permeable Paver",'6-Parameters'!$B$36,OR(D24="Bioretention",D24="Bioswale"),'6-Parameters'!$B$35,D24="Green Roof",'6-Parameters'!$B$38,TRUE,0)),"" )</f>
        <v/>
      </c>
      <c r="N24" s="12">
        <f>IFERROR(IF(D24="","",J24*K24+L24*M24),"")</f>
        <v/>
      </c>
      <c r="O24" s="12">
        <f>'6-Parameters'!$B$8/12</f>
        <v/>
      </c>
      <c r="P24" s="12">
        <f>IFERROR(IF(N24="","",MIN(N24,O24)),"")</f>
        <v/>
      </c>
      <c r="Q24" s="12">
        <f>IFERROR(IF(I24="","",I24*P24),"")</f>
        <v/>
      </c>
      <c r="R24" s="12">
        <f>IFERROR(IF(Q24="","",Q24*7.48),"")</f>
        <v/>
      </c>
    </row>
    <row r="25">
      <c r="A25" s="32" t="n"/>
      <c r="B25" s="32" t="n"/>
      <c r="C25" s="12">
        <f>IFERROR(VLOOKUP(B25,'3-CDA LandUse'!$A$4:$I$53,2,0),"")</f>
        <v/>
      </c>
      <c r="D25" s="32" t="n"/>
      <c r="E25" s="12">
        <f>IFERROR(VLOOKUP(B25,'3-CDA LandUse'!$A$4:$I$53,6,0),0)</f>
        <v/>
      </c>
      <c r="F25" s="12">
        <f>IFERROR(VLOOKUP(B25,'3-CDA LandUse'!$A$4:$I$53,7,0),0)</f>
        <v/>
      </c>
      <c r="G25" s="12">
        <f>IFERROR(VLOOKUP(B25,'3-CDA LandUse'!$A$4:$I$53,8,0),0)</f>
        <v/>
      </c>
      <c r="H25" s="12">
        <f>IFERROR(VLOOKUP(B25,'3-CDA LandUse'!$A$4:$I$53,9,0),0)</f>
        <v/>
      </c>
      <c r="I25" s="12">
        <f>IFERROR(IF(SUM(E25:H25)=0,"",SUM(E25:H25)),"")</f>
        <v/>
      </c>
      <c r="J25" s="32" t="n"/>
      <c r="K25" s="12">
        <f>IFERROR(IF(D25="","",IFS(OR(D25="Bioretention",D25="Bioswale"),'6-Parameters'!$B$34,D25="Green Roof",'6-Parameters'!$B$39,TRUE,0)),"" )</f>
        <v/>
      </c>
      <c r="L25" s="32" t="n"/>
      <c r="M25" s="12">
        <f>IFERROR(IF(D25="","",IFS(OR(D25="Porous Asphalt",D25="Porous Concrete"),'6-Parameters'!$B$37,D25="Permeable Paver",'6-Parameters'!$B$36,OR(D25="Bioretention",D25="Bioswale"),'6-Parameters'!$B$35,D25="Green Roof",'6-Parameters'!$B$38,TRUE,0)),"" )</f>
        <v/>
      </c>
      <c r="N25" s="12">
        <f>IFERROR(IF(D25="","",J25*K25+L25*M25),"")</f>
        <v/>
      </c>
      <c r="O25" s="12">
        <f>'6-Parameters'!$B$8/12</f>
        <v/>
      </c>
      <c r="P25" s="12">
        <f>IFERROR(IF(N25="","",MIN(N25,O25)),"")</f>
        <v/>
      </c>
      <c r="Q25" s="12">
        <f>IFERROR(IF(I25="","",I25*P25),"")</f>
        <v/>
      </c>
      <c r="R25" s="12">
        <f>IFERROR(IF(Q25="","",Q25*7.48),"")</f>
        <v/>
      </c>
    </row>
    <row r="26">
      <c r="A26" s="32" t="n"/>
      <c r="B26" s="32" t="n"/>
      <c r="C26" s="12">
        <f>IFERROR(VLOOKUP(B26,'3-CDA LandUse'!$A$4:$I$53,2,0),"")</f>
        <v/>
      </c>
      <c r="D26" s="32" t="n"/>
      <c r="E26" s="12">
        <f>IFERROR(VLOOKUP(B26,'3-CDA LandUse'!$A$4:$I$53,6,0),0)</f>
        <v/>
      </c>
      <c r="F26" s="12">
        <f>IFERROR(VLOOKUP(B26,'3-CDA LandUse'!$A$4:$I$53,7,0),0)</f>
        <v/>
      </c>
      <c r="G26" s="12">
        <f>IFERROR(VLOOKUP(B26,'3-CDA LandUse'!$A$4:$I$53,8,0),0)</f>
        <v/>
      </c>
      <c r="H26" s="12">
        <f>IFERROR(VLOOKUP(B26,'3-CDA LandUse'!$A$4:$I$53,9,0),0)</f>
        <v/>
      </c>
      <c r="I26" s="12">
        <f>IFERROR(IF(SUM(E26:H26)=0,"",SUM(E26:H26)),"")</f>
        <v/>
      </c>
      <c r="J26" s="32" t="n"/>
      <c r="K26" s="12">
        <f>IFERROR(IF(D26="","",IFS(OR(D26="Bioretention",D26="Bioswale"),'6-Parameters'!$B$34,D26="Green Roof",'6-Parameters'!$B$39,TRUE,0)),"" )</f>
        <v/>
      </c>
      <c r="L26" s="32" t="n"/>
      <c r="M26" s="12">
        <f>IFERROR(IF(D26="","",IFS(OR(D26="Porous Asphalt",D26="Porous Concrete"),'6-Parameters'!$B$37,D26="Permeable Paver",'6-Parameters'!$B$36,OR(D26="Bioretention",D26="Bioswale"),'6-Parameters'!$B$35,D26="Green Roof",'6-Parameters'!$B$38,TRUE,0)),"" )</f>
        <v/>
      </c>
      <c r="N26" s="12">
        <f>IFERROR(IF(D26="","",J26*K26+L26*M26),"")</f>
        <v/>
      </c>
      <c r="O26" s="12">
        <f>'6-Parameters'!$B$8/12</f>
        <v/>
      </c>
      <c r="P26" s="12">
        <f>IFERROR(IF(N26="","",MIN(N26,O26)),"")</f>
        <v/>
      </c>
      <c r="Q26" s="12">
        <f>IFERROR(IF(I26="","",I26*P26),"")</f>
        <v/>
      </c>
      <c r="R26" s="12">
        <f>IFERROR(IF(Q26="","",Q26*7.48),"")</f>
        <v/>
      </c>
    </row>
    <row r="27">
      <c r="A27" s="32" t="n"/>
      <c r="B27" s="32" t="n"/>
      <c r="C27" s="12">
        <f>IFERROR(VLOOKUP(B27,'3-CDA LandUse'!$A$4:$I$53,2,0),"")</f>
        <v/>
      </c>
      <c r="D27" s="32" t="n"/>
      <c r="E27" s="12">
        <f>IFERROR(VLOOKUP(B27,'3-CDA LandUse'!$A$4:$I$53,6,0),0)</f>
        <v/>
      </c>
      <c r="F27" s="12">
        <f>IFERROR(VLOOKUP(B27,'3-CDA LandUse'!$A$4:$I$53,7,0),0)</f>
        <v/>
      </c>
      <c r="G27" s="12">
        <f>IFERROR(VLOOKUP(B27,'3-CDA LandUse'!$A$4:$I$53,8,0),0)</f>
        <v/>
      </c>
      <c r="H27" s="12">
        <f>IFERROR(VLOOKUP(B27,'3-CDA LandUse'!$A$4:$I$53,9,0),0)</f>
        <v/>
      </c>
      <c r="I27" s="12">
        <f>IFERROR(IF(SUM(E27:H27)=0,"",SUM(E27:H27)),"")</f>
        <v/>
      </c>
      <c r="J27" s="32" t="n"/>
      <c r="K27" s="12">
        <f>IFERROR(IF(D27="","",IFS(OR(D27="Bioretention",D27="Bioswale"),'6-Parameters'!$B$34,D27="Green Roof",'6-Parameters'!$B$39,TRUE,0)),"" )</f>
        <v/>
      </c>
      <c r="L27" s="32" t="n"/>
      <c r="M27" s="12">
        <f>IFERROR(IF(D27="","",IFS(OR(D27="Porous Asphalt",D27="Porous Concrete"),'6-Parameters'!$B$37,D27="Permeable Paver",'6-Parameters'!$B$36,OR(D27="Bioretention",D27="Bioswale"),'6-Parameters'!$B$35,D27="Green Roof",'6-Parameters'!$B$38,TRUE,0)),"" )</f>
        <v/>
      </c>
      <c r="N27" s="12">
        <f>IFERROR(IF(D27="","",J27*K27+L27*M27),"")</f>
        <v/>
      </c>
      <c r="O27" s="12">
        <f>'6-Parameters'!$B$8/12</f>
        <v/>
      </c>
      <c r="P27" s="12">
        <f>IFERROR(IF(N27="","",MIN(N27,O27)),"")</f>
        <v/>
      </c>
      <c r="Q27" s="12">
        <f>IFERROR(IF(I27="","",I27*P27),"")</f>
        <v/>
      </c>
      <c r="R27" s="12">
        <f>IFERROR(IF(Q27="","",Q27*7.48),"")</f>
        <v/>
      </c>
    </row>
    <row r="28">
      <c r="A28" s="32" t="n"/>
      <c r="B28" s="32" t="n"/>
      <c r="C28" s="12">
        <f>IFERROR(VLOOKUP(B28,'3-CDA LandUse'!$A$4:$I$53,2,0),"")</f>
        <v/>
      </c>
      <c r="D28" s="32" t="n"/>
      <c r="E28" s="12">
        <f>IFERROR(VLOOKUP(B28,'3-CDA LandUse'!$A$4:$I$53,6,0),0)</f>
        <v/>
      </c>
      <c r="F28" s="12">
        <f>IFERROR(VLOOKUP(B28,'3-CDA LandUse'!$A$4:$I$53,7,0),0)</f>
        <v/>
      </c>
      <c r="G28" s="12">
        <f>IFERROR(VLOOKUP(B28,'3-CDA LandUse'!$A$4:$I$53,8,0),0)</f>
        <v/>
      </c>
      <c r="H28" s="12">
        <f>IFERROR(VLOOKUP(B28,'3-CDA LandUse'!$A$4:$I$53,9,0),0)</f>
        <v/>
      </c>
      <c r="I28" s="12">
        <f>IFERROR(IF(SUM(E28:H28)=0,"",SUM(E28:H28)),"")</f>
        <v/>
      </c>
      <c r="J28" s="32" t="n"/>
      <c r="K28" s="12">
        <f>IFERROR(IF(D28="","",IFS(OR(D28="Bioretention",D28="Bioswale"),'6-Parameters'!$B$34,D28="Green Roof",'6-Parameters'!$B$39,TRUE,0)),"" )</f>
        <v/>
      </c>
      <c r="L28" s="32" t="n"/>
      <c r="M28" s="12">
        <f>IFERROR(IF(D28="","",IFS(OR(D28="Porous Asphalt",D28="Porous Concrete"),'6-Parameters'!$B$37,D28="Permeable Paver",'6-Parameters'!$B$36,OR(D28="Bioretention",D28="Bioswale"),'6-Parameters'!$B$35,D28="Green Roof",'6-Parameters'!$B$38,TRUE,0)),"" )</f>
        <v/>
      </c>
      <c r="N28" s="12">
        <f>IFERROR(IF(D28="","",J28*K28+L28*M28),"")</f>
        <v/>
      </c>
      <c r="O28" s="12">
        <f>'6-Parameters'!$B$8/12</f>
        <v/>
      </c>
      <c r="P28" s="12">
        <f>IFERROR(IF(N28="","",MIN(N28,O28)),"")</f>
        <v/>
      </c>
      <c r="Q28" s="12">
        <f>IFERROR(IF(I28="","",I28*P28),"")</f>
        <v/>
      </c>
      <c r="R28" s="12">
        <f>IFERROR(IF(Q28="","",Q28*7.48),"")</f>
        <v/>
      </c>
    </row>
    <row r="29">
      <c r="A29" s="32" t="n"/>
      <c r="B29" s="32" t="n"/>
      <c r="C29" s="12">
        <f>IFERROR(VLOOKUP(B29,'3-CDA LandUse'!$A$4:$I$53,2,0),"")</f>
        <v/>
      </c>
      <c r="D29" s="32" t="n"/>
      <c r="E29" s="12">
        <f>IFERROR(VLOOKUP(B29,'3-CDA LandUse'!$A$4:$I$53,6,0),0)</f>
        <v/>
      </c>
      <c r="F29" s="12">
        <f>IFERROR(VLOOKUP(B29,'3-CDA LandUse'!$A$4:$I$53,7,0),0)</f>
        <v/>
      </c>
      <c r="G29" s="12">
        <f>IFERROR(VLOOKUP(B29,'3-CDA LandUse'!$A$4:$I$53,8,0),0)</f>
        <v/>
      </c>
      <c r="H29" s="12">
        <f>IFERROR(VLOOKUP(B29,'3-CDA LandUse'!$A$4:$I$53,9,0),0)</f>
        <v/>
      </c>
      <c r="I29" s="12">
        <f>IFERROR(IF(SUM(E29:H29)=0,"",SUM(E29:H29)),"")</f>
        <v/>
      </c>
      <c r="J29" s="32" t="n"/>
      <c r="K29" s="12">
        <f>IFERROR(IF(D29="","",IFS(OR(D29="Bioretention",D29="Bioswale"),'6-Parameters'!$B$34,D29="Green Roof",'6-Parameters'!$B$39,TRUE,0)),"" )</f>
        <v/>
      </c>
      <c r="L29" s="32" t="n"/>
      <c r="M29" s="12">
        <f>IFERROR(IF(D29="","",IFS(OR(D29="Porous Asphalt",D29="Porous Concrete"),'6-Parameters'!$B$37,D29="Permeable Paver",'6-Parameters'!$B$36,OR(D29="Bioretention",D29="Bioswale"),'6-Parameters'!$B$35,D29="Green Roof",'6-Parameters'!$B$38,TRUE,0)),"" )</f>
        <v/>
      </c>
      <c r="N29" s="12">
        <f>IFERROR(IF(D29="","",J29*K29+L29*M29),"")</f>
        <v/>
      </c>
      <c r="O29" s="12">
        <f>'6-Parameters'!$B$8/12</f>
        <v/>
      </c>
      <c r="P29" s="12">
        <f>IFERROR(IF(N29="","",MIN(N29,O29)),"")</f>
        <v/>
      </c>
      <c r="Q29" s="12">
        <f>IFERROR(IF(I29="","",I29*P29),"")</f>
        <v/>
      </c>
      <c r="R29" s="12">
        <f>IFERROR(IF(Q29="","",Q29*7.48),"")</f>
        <v/>
      </c>
    </row>
    <row r="30">
      <c r="A30" s="32" t="n"/>
      <c r="B30" s="32" t="n"/>
      <c r="C30" s="12">
        <f>IFERROR(VLOOKUP(B30,'3-CDA LandUse'!$A$4:$I$53,2,0),"")</f>
        <v/>
      </c>
      <c r="D30" s="32" t="n"/>
      <c r="E30" s="12">
        <f>IFERROR(VLOOKUP(B30,'3-CDA LandUse'!$A$4:$I$53,6,0),0)</f>
        <v/>
      </c>
      <c r="F30" s="12">
        <f>IFERROR(VLOOKUP(B30,'3-CDA LandUse'!$A$4:$I$53,7,0),0)</f>
        <v/>
      </c>
      <c r="G30" s="12">
        <f>IFERROR(VLOOKUP(B30,'3-CDA LandUse'!$A$4:$I$53,8,0),0)</f>
        <v/>
      </c>
      <c r="H30" s="12">
        <f>IFERROR(VLOOKUP(B30,'3-CDA LandUse'!$A$4:$I$53,9,0),0)</f>
        <v/>
      </c>
      <c r="I30" s="12">
        <f>IFERROR(IF(SUM(E30:H30)=0,"",SUM(E30:H30)),"")</f>
        <v/>
      </c>
      <c r="J30" s="32" t="n"/>
      <c r="K30" s="12">
        <f>IFERROR(IF(D30="","",IFS(OR(D30="Bioretention",D30="Bioswale"),'6-Parameters'!$B$34,D30="Green Roof",'6-Parameters'!$B$39,TRUE,0)),"" )</f>
        <v/>
      </c>
      <c r="L30" s="32" t="n"/>
      <c r="M30" s="12">
        <f>IFERROR(IF(D30="","",IFS(OR(D30="Porous Asphalt",D30="Porous Concrete"),'6-Parameters'!$B$37,D30="Permeable Paver",'6-Parameters'!$B$36,OR(D30="Bioretention",D30="Bioswale"),'6-Parameters'!$B$35,D30="Green Roof",'6-Parameters'!$B$38,TRUE,0)),"" )</f>
        <v/>
      </c>
      <c r="N30" s="12">
        <f>IFERROR(IF(D30="","",J30*K30+L30*M30),"")</f>
        <v/>
      </c>
      <c r="O30" s="12">
        <f>'6-Parameters'!$B$8/12</f>
        <v/>
      </c>
      <c r="P30" s="12">
        <f>IFERROR(IF(N30="","",MIN(N30,O30)),"")</f>
        <v/>
      </c>
      <c r="Q30" s="12">
        <f>IFERROR(IF(I30="","",I30*P30),"")</f>
        <v/>
      </c>
      <c r="R30" s="12">
        <f>IFERROR(IF(Q30="","",Q30*7.48),"")</f>
        <v/>
      </c>
    </row>
    <row r="31">
      <c r="A31" s="32" t="n"/>
      <c r="B31" s="32" t="n"/>
      <c r="C31" s="12">
        <f>IFERROR(VLOOKUP(B31,'3-CDA LandUse'!$A$4:$I$53,2,0),"")</f>
        <v/>
      </c>
      <c r="D31" s="32" t="n"/>
      <c r="E31" s="12">
        <f>IFERROR(VLOOKUP(B31,'3-CDA LandUse'!$A$4:$I$53,6,0),0)</f>
        <v/>
      </c>
      <c r="F31" s="12">
        <f>IFERROR(VLOOKUP(B31,'3-CDA LandUse'!$A$4:$I$53,7,0),0)</f>
        <v/>
      </c>
      <c r="G31" s="12">
        <f>IFERROR(VLOOKUP(B31,'3-CDA LandUse'!$A$4:$I$53,8,0),0)</f>
        <v/>
      </c>
      <c r="H31" s="12">
        <f>IFERROR(VLOOKUP(B31,'3-CDA LandUse'!$A$4:$I$53,9,0),0)</f>
        <v/>
      </c>
      <c r="I31" s="12">
        <f>IFERROR(IF(SUM(E31:H31)=0,"",SUM(E31:H31)),"")</f>
        <v/>
      </c>
      <c r="J31" s="32" t="n"/>
      <c r="K31" s="12">
        <f>IFERROR(IF(D31="","",IFS(OR(D31="Bioretention",D31="Bioswale"),'6-Parameters'!$B$34,D31="Green Roof",'6-Parameters'!$B$39,TRUE,0)),"" )</f>
        <v/>
      </c>
      <c r="L31" s="32" t="n"/>
      <c r="M31" s="12">
        <f>IFERROR(IF(D31="","",IFS(OR(D31="Porous Asphalt",D31="Porous Concrete"),'6-Parameters'!$B$37,D31="Permeable Paver",'6-Parameters'!$B$36,OR(D31="Bioretention",D31="Bioswale"),'6-Parameters'!$B$35,D31="Green Roof",'6-Parameters'!$B$38,TRUE,0)),"" )</f>
        <v/>
      </c>
      <c r="N31" s="12">
        <f>IFERROR(IF(D31="","",J31*K31+L31*M31),"")</f>
        <v/>
      </c>
      <c r="O31" s="12">
        <f>'6-Parameters'!$B$8/12</f>
        <v/>
      </c>
      <c r="P31" s="12">
        <f>IFERROR(IF(N31="","",MIN(N31,O31)),"")</f>
        <v/>
      </c>
      <c r="Q31" s="12">
        <f>IFERROR(IF(I31="","",I31*P31),"")</f>
        <v/>
      </c>
      <c r="R31" s="12">
        <f>IFERROR(IF(Q31="","",Q31*7.48),"")</f>
        <v/>
      </c>
    </row>
    <row r="32">
      <c r="A32" s="32" t="n"/>
      <c r="B32" s="32" t="n"/>
      <c r="C32" s="12">
        <f>IFERROR(VLOOKUP(B32,'3-CDA LandUse'!$A$4:$I$53,2,0),"")</f>
        <v/>
      </c>
      <c r="D32" s="32" t="n"/>
      <c r="E32" s="12">
        <f>IFERROR(VLOOKUP(B32,'3-CDA LandUse'!$A$4:$I$53,6,0),0)</f>
        <v/>
      </c>
      <c r="F32" s="12">
        <f>IFERROR(VLOOKUP(B32,'3-CDA LandUse'!$A$4:$I$53,7,0),0)</f>
        <v/>
      </c>
      <c r="G32" s="12">
        <f>IFERROR(VLOOKUP(B32,'3-CDA LandUse'!$A$4:$I$53,8,0),0)</f>
        <v/>
      </c>
      <c r="H32" s="12">
        <f>IFERROR(VLOOKUP(B32,'3-CDA LandUse'!$A$4:$I$53,9,0),0)</f>
        <v/>
      </c>
      <c r="I32" s="12">
        <f>IFERROR(IF(SUM(E32:H32)=0,"",SUM(E32:H32)),"")</f>
        <v/>
      </c>
      <c r="J32" s="32" t="n"/>
      <c r="K32" s="12">
        <f>IFERROR(IF(D32="","",IFS(OR(D32="Bioretention",D32="Bioswale"),'6-Parameters'!$B$34,D32="Green Roof",'6-Parameters'!$B$39,TRUE,0)),"" )</f>
        <v/>
      </c>
      <c r="L32" s="32" t="n"/>
      <c r="M32" s="12">
        <f>IFERROR(IF(D32="","",IFS(OR(D32="Porous Asphalt",D32="Porous Concrete"),'6-Parameters'!$B$37,D32="Permeable Paver",'6-Parameters'!$B$36,OR(D32="Bioretention",D32="Bioswale"),'6-Parameters'!$B$35,D32="Green Roof",'6-Parameters'!$B$38,TRUE,0)),"" )</f>
        <v/>
      </c>
      <c r="N32" s="12">
        <f>IFERROR(IF(D32="","",J32*K32+L32*M32),"")</f>
        <v/>
      </c>
      <c r="O32" s="12">
        <f>'6-Parameters'!$B$8/12</f>
        <v/>
      </c>
      <c r="P32" s="12">
        <f>IFERROR(IF(N32="","",MIN(N32,O32)),"")</f>
        <v/>
      </c>
      <c r="Q32" s="12">
        <f>IFERROR(IF(I32="","",I32*P32),"")</f>
        <v/>
      </c>
      <c r="R32" s="12">
        <f>IFERROR(IF(Q32="","",Q32*7.48),"")</f>
        <v/>
      </c>
    </row>
    <row r="33">
      <c r="A33" s="32" t="n"/>
      <c r="B33" s="32" t="n"/>
      <c r="C33" s="12">
        <f>IFERROR(VLOOKUP(B33,'3-CDA LandUse'!$A$4:$I$53,2,0),"")</f>
        <v/>
      </c>
      <c r="D33" s="32" t="n"/>
      <c r="E33" s="12">
        <f>IFERROR(VLOOKUP(B33,'3-CDA LandUse'!$A$4:$I$53,6,0),0)</f>
        <v/>
      </c>
      <c r="F33" s="12">
        <f>IFERROR(VLOOKUP(B33,'3-CDA LandUse'!$A$4:$I$53,7,0),0)</f>
        <v/>
      </c>
      <c r="G33" s="12">
        <f>IFERROR(VLOOKUP(B33,'3-CDA LandUse'!$A$4:$I$53,8,0),0)</f>
        <v/>
      </c>
      <c r="H33" s="12">
        <f>IFERROR(VLOOKUP(B33,'3-CDA LandUse'!$A$4:$I$53,9,0),0)</f>
        <v/>
      </c>
      <c r="I33" s="12">
        <f>IFERROR(IF(SUM(E33:H33)=0,"",SUM(E33:H33)),"")</f>
        <v/>
      </c>
      <c r="J33" s="32" t="n"/>
      <c r="K33" s="12">
        <f>IFERROR(IF(D33="","",IFS(OR(D33="Bioretention",D33="Bioswale"),'6-Parameters'!$B$34,D33="Green Roof",'6-Parameters'!$B$39,TRUE,0)),"" )</f>
        <v/>
      </c>
      <c r="L33" s="32" t="n"/>
      <c r="M33" s="12">
        <f>IFERROR(IF(D33="","",IFS(OR(D33="Porous Asphalt",D33="Porous Concrete"),'6-Parameters'!$B$37,D33="Permeable Paver",'6-Parameters'!$B$36,OR(D33="Bioretention",D33="Bioswale"),'6-Parameters'!$B$35,D33="Green Roof",'6-Parameters'!$B$38,TRUE,0)),"" )</f>
        <v/>
      </c>
      <c r="N33" s="12">
        <f>IFERROR(IF(D33="","",J33*K33+L33*M33),"")</f>
        <v/>
      </c>
      <c r="O33" s="12">
        <f>'6-Parameters'!$B$8/12</f>
        <v/>
      </c>
      <c r="P33" s="12">
        <f>IFERROR(IF(N33="","",MIN(N33,O33)),"")</f>
        <v/>
      </c>
      <c r="Q33" s="12">
        <f>IFERROR(IF(I33="","",I33*P33),"")</f>
        <v/>
      </c>
      <c r="R33" s="12">
        <f>IFERROR(IF(Q33="","",Q33*7.48),"")</f>
        <v/>
      </c>
    </row>
    <row r="34">
      <c r="A34" s="32" t="n"/>
      <c r="B34" s="32" t="n"/>
      <c r="C34" s="12">
        <f>IFERROR(VLOOKUP(B34,'3-CDA LandUse'!$A$4:$I$53,2,0),"")</f>
        <v/>
      </c>
      <c r="D34" s="32" t="n"/>
      <c r="E34" s="12">
        <f>IFERROR(VLOOKUP(B34,'3-CDA LandUse'!$A$4:$I$53,6,0),0)</f>
        <v/>
      </c>
      <c r="F34" s="12">
        <f>IFERROR(VLOOKUP(B34,'3-CDA LandUse'!$A$4:$I$53,7,0),0)</f>
        <v/>
      </c>
      <c r="G34" s="12">
        <f>IFERROR(VLOOKUP(B34,'3-CDA LandUse'!$A$4:$I$53,8,0),0)</f>
        <v/>
      </c>
      <c r="H34" s="12">
        <f>IFERROR(VLOOKUP(B34,'3-CDA LandUse'!$A$4:$I$53,9,0),0)</f>
        <v/>
      </c>
      <c r="I34" s="12">
        <f>IFERROR(IF(SUM(E34:H34)=0,"",SUM(E34:H34)),"")</f>
        <v/>
      </c>
      <c r="J34" s="32" t="n"/>
      <c r="K34" s="12">
        <f>IFERROR(IF(D34="","",IFS(OR(D34="Bioretention",D34="Bioswale"),'6-Parameters'!$B$34,D34="Green Roof",'6-Parameters'!$B$39,TRUE,0)),"" )</f>
        <v/>
      </c>
      <c r="L34" s="32" t="n"/>
      <c r="M34" s="12">
        <f>IFERROR(IF(D34="","",IFS(OR(D34="Porous Asphalt",D34="Porous Concrete"),'6-Parameters'!$B$37,D34="Permeable Paver",'6-Parameters'!$B$36,OR(D34="Bioretention",D34="Bioswale"),'6-Parameters'!$B$35,D34="Green Roof",'6-Parameters'!$B$38,TRUE,0)),"" )</f>
        <v/>
      </c>
      <c r="N34" s="12">
        <f>IFERROR(IF(D34="","",J34*K34+L34*M34),"")</f>
        <v/>
      </c>
      <c r="O34" s="12">
        <f>'6-Parameters'!$B$8/12</f>
        <v/>
      </c>
      <c r="P34" s="12">
        <f>IFERROR(IF(N34="","",MIN(N34,O34)),"")</f>
        <v/>
      </c>
      <c r="Q34" s="12">
        <f>IFERROR(IF(I34="","",I34*P34),"")</f>
        <v/>
      </c>
      <c r="R34" s="12">
        <f>IFERROR(IF(Q34="","",Q34*7.48),"")</f>
        <v/>
      </c>
    </row>
    <row r="35">
      <c r="A35" s="32" t="n"/>
      <c r="B35" s="32" t="n"/>
      <c r="C35" s="12">
        <f>IFERROR(VLOOKUP(B35,'3-CDA LandUse'!$A$4:$I$53,2,0),"")</f>
        <v/>
      </c>
      <c r="D35" s="32" t="n"/>
      <c r="E35" s="12">
        <f>IFERROR(VLOOKUP(B35,'3-CDA LandUse'!$A$4:$I$53,6,0),0)</f>
        <v/>
      </c>
      <c r="F35" s="12">
        <f>IFERROR(VLOOKUP(B35,'3-CDA LandUse'!$A$4:$I$53,7,0),0)</f>
        <v/>
      </c>
      <c r="G35" s="12">
        <f>IFERROR(VLOOKUP(B35,'3-CDA LandUse'!$A$4:$I$53,8,0),0)</f>
        <v/>
      </c>
      <c r="H35" s="12">
        <f>IFERROR(VLOOKUP(B35,'3-CDA LandUse'!$A$4:$I$53,9,0),0)</f>
        <v/>
      </c>
      <c r="I35" s="12">
        <f>IFERROR(IF(SUM(E35:H35)=0,"",SUM(E35:H35)),"")</f>
        <v/>
      </c>
      <c r="J35" s="32" t="n"/>
      <c r="K35" s="12">
        <f>IFERROR(IF(D35="","",IFS(OR(D35="Bioretention",D35="Bioswale"),'6-Parameters'!$B$34,D35="Green Roof",'6-Parameters'!$B$39,TRUE,0)),"" )</f>
        <v/>
      </c>
      <c r="L35" s="32" t="n"/>
      <c r="M35" s="12">
        <f>IFERROR(IF(D35="","",IFS(OR(D35="Porous Asphalt",D35="Porous Concrete"),'6-Parameters'!$B$37,D35="Permeable Paver",'6-Parameters'!$B$36,OR(D35="Bioretention",D35="Bioswale"),'6-Parameters'!$B$35,D35="Green Roof",'6-Parameters'!$B$38,TRUE,0)),"" )</f>
        <v/>
      </c>
      <c r="N35" s="12">
        <f>IFERROR(IF(D35="","",J35*K35+L35*M35),"")</f>
        <v/>
      </c>
      <c r="O35" s="12">
        <f>'6-Parameters'!$B$8/12</f>
        <v/>
      </c>
      <c r="P35" s="12">
        <f>IFERROR(IF(N35="","",MIN(N35,O35)),"")</f>
        <v/>
      </c>
      <c r="Q35" s="12">
        <f>IFERROR(IF(I35="","",I35*P35),"")</f>
        <v/>
      </c>
      <c r="R35" s="12">
        <f>IFERROR(IF(Q35="","",Q35*7.48),"")</f>
        <v/>
      </c>
    </row>
    <row r="36">
      <c r="A36" s="32" t="n"/>
      <c r="B36" s="32" t="n"/>
      <c r="C36" s="12">
        <f>IFERROR(VLOOKUP(B36,'3-CDA LandUse'!$A$4:$I$53,2,0),"")</f>
        <v/>
      </c>
      <c r="D36" s="32" t="n"/>
      <c r="E36" s="12">
        <f>IFERROR(VLOOKUP(B36,'3-CDA LandUse'!$A$4:$I$53,6,0),0)</f>
        <v/>
      </c>
      <c r="F36" s="12">
        <f>IFERROR(VLOOKUP(B36,'3-CDA LandUse'!$A$4:$I$53,7,0),0)</f>
        <v/>
      </c>
      <c r="G36" s="12">
        <f>IFERROR(VLOOKUP(B36,'3-CDA LandUse'!$A$4:$I$53,8,0),0)</f>
        <v/>
      </c>
      <c r="H36" s="12">
        <f>IFERROR(VLOOKUP(B36,'3-CDA LandUse'!$A$4:$I$53,9,0),0)</f>
        <v/>
      </c>
      <c r="I36" s="12">
        <f>IFERROR(IF(SUM(E36:H36)=0,"",SUM(E36:H36)),"")</f>
        <v/>
      </c>
      <c r="J36" s="32" t="n"/>
      <c r="K36" s="12">
        <f>IFERROR(IF(D36="","",IFS(OR(D36="Bioretention",D36="Bioswale"),'6-Parameters'!$B$34,D36="Green Roof",'6-Parameters'!$B$39,TRUE,0)),"" )</f>
        <v/>
      </c>
      <c r="L36" s="32" t="n"/>
      <c r="M36" s="12">
        <f>IFERROR(IF(D36="","",IFS(OR(D36="Porous Asphalt",D36="Porous Concrete"),'6-Parameters'!$B$37,D36="Permeable Paver",'6-Parameters'!$B$36,OR(D36="Bioretention",D36="Bioswale"),'6-Parameters'!$B$35,D36="Green Roof",'6-Parameters'!$B$38,TRUE,0)),"" )</f>
        <v/>
      </c>
      <c r="N36" s="12">
        <f>IFERROR(IF(D36="","",J36*K36+L36*M36),"")</f>
        <v/>
      </c>
      <c r="O36" s="12">
        <f>'6-Parameters'!$B$8/12</f>
        <v/>
      </c>
      <c r="P36" s="12">
        <f>IFERROR(IF(N36="","",MIN(N36,O36)),"")</f>
        <v/>
      </c>
      <c r="Q36" s="12">
        <f>IFERROR(IF(I36="","",I36*P36),"")</f>
        <v/>
      </c>
      <c r="R36" s="12">
        <f>IFERROR(IF(Q36="","",Q36*7.48),"")</f>
        <v/>
      </c>
    </row>
    <row r="37">
      <c r="A37" s="32" t="n"/>
      <c r="B37" s="32" t="n"/>
      <c r="C37" s="12">
        <f>IFERROR(VLOOKUP(B37,'3-CDA LandUse'!$A$4:$I$53,2,0),"")</f>
        <v/>
      </c>
      <c r="D37" s="32" t="n"/>
      <c r="E37" s="12">
        <f>IFERROR(VLOOKUP(B37,'3-CDA LandUse'!$A$4:$I$53,6,0),0)</f>
        <v/>
      </c>
      <c r="F37" s="12">
        <f>IFERROR(VLOOKUP(B37,'3-CDA LandUse'!$A$4:$I$53,7,0),0)</f>
        <v/>
      </c>
      <c r="G37" s="12">
        <f>IFERROR(VLOOKUP(B37,'3-CDA LandUse'!$A$4:$I$53,8,0),0)</f>
        <v/>
      </c>
      <c r="H37" s="12">
        <f>IFERROR(VLOOKUP(B37,'3-CDA LandUse'!$A$4:$I$53,9,0),0)</f>
        <v/>
      </c>
      <c r="I37" s="12">
        <f>IFERROR(IF(SUM(E37:H37)=0,"",SUM(E37:H37)),"")</f>
        <v/>
      </c>
      <c r="J37" s="32" t="n"/>
      <c r="K37" s="12">
        <f>IFERROR(IF(D37="","",IFS(OR(D37="Bioretention",D37="Bioswale"),'6-Parameters'!$B$34,D37="Green Roof",'6-Parameters'!$B$39,TRUE,0)),"" )</f>
        <v/>
      </c>
      <c r="L37" s="32" t="n"/>
      <c r="M37" s="12">
        <f>IFERROR(IF(D37="","",IFS(OR(D37="Porous Asphalt",D37="Porous Concrete"),'6-Parameters'!$B$37,D37="Permeable Paver",'6-Parameters'!$B$36,OR(D37="Bioretention",D37="Bioswale"),'6-Parameters'!$B$35,D37="Green Roof",'6-Parameters'!$B$38,TRUE,0)),"" )</f>
        <v/>
      </c>
      <c r="N37" s="12">
        <f>IFERROR(IF(D37="","",J37*K37+L37*M37),"")</f>
        <v/>
      </c>
      <c r="O37" s="12">
        <f>'6-Parameters'!$B$8/12</f>
        <v/>
      </c>
      <c r="P37" s="12">
        <f>IFERROR(IF(N37="","",MIN(N37,O37)),"")</f>
        <v/>
      </c>
      <c r="Q37" s="12">
        <f>IFERROR(IF(I37="","",I37*P37),"")</f>
        <v/>
      </c>
      <c r="R37" s="12">
        <f>IFERROR(IF(Q37="","",Q37*7.48),"")</f>
        <v/>
      </c>
    </row>
    <row r="38">
      <c r="A38" s="32" t="n"/>
      <c r="B38" s="32" t="n"/>
      <c r="C38" s="12">
        <f>IFERROR(VLOOKUP(B38,'3-CDA LandUse'!$A$4:$I$53,2,0),"")</f>
        <v/>
      </c>
      <c r="D38" s="32" t="n"/>
      <c r="E38" s="12">
        <f>IFERROR(VLOOKUP(B38,'3-CDA LandUse'!$A$4:$I$53,6,0),0)</f>
        <v/>
      </c>
      <c r="F38" s="12">
        <f>IFERROR(VLOOKUP(B38,'3-CDA LandUse'!$A$4:$I$53,7,0),0)</f>
        <v/>
      </c>
      <c r="G38" s="12">
        <f>IFERROR(VLOOKUP(B38,'3-CDA LandUse'!$A$4:$I$53,8,0),0)</f>
        <v/>
      </c>
      <c r="H38" s="12">
        <f>IFERROR(VLOOKUP(B38,'3-CDA LandUse'!$A$4:$I$53,9,0),0)</f>
        <v/>
      </c>
      <c r="I38" s="12">
        <f>IFERROR(IF(SUM(E38:H38)=0,"",SUM(E38:H38)),"")</f>
        <v/>
      </c>
      <c r="J38" s="32" t="n"/>
      <c r="K38" s="12">
        <f>IFERROR(IF(D38="","",IFS(OR(D38="Bioretention",D38="Bioswale"),'6-Parameters'!$B$34,D38="Green Roof",'6-Parameters'!$B$39,TRUE,0)),"" )</f>
        <v/>
      </c>
      <c r="L38" s="32" t="n"/>
      <c r="M38" s="12">
        <f>IFERROR(IF(D38="","",IFS(OR(D38="Porous Asphalt",D38="Porous Concrete"),'6-Parameters'!$B$37,D38="Permeable Paver",'6-Parameters'!$B$36,OR(D38="Bioretention",D38="Bioswale"),'6-Parameters'!$B$35,D38="Green Roof",'6-Parameters'!$B$38,TRUE,0)),"" )</f>
        <v/>
      </c>
      <c r="N38" s="12">
        <f>IFERROR(IF(D38="","",J38*K38+L38*M38),"")</f>
        <v/>
      </c>
      <c r="O38" s="12">
        <f>'6-Parameters'!$B$8/12</f>
        <v/>
      </c>
      <c r="P38" s="12">
        <f>IFERROR(IF(N38="","",MIN(N38,O38)),"")</f>
        <v/>
      </c>
      <c r="Q38" s="12">
        <f>IFERROR(IF(I38="","",I38*P38),"")</f>
        <v/>
      </c>
      <c r="R38" s="12">
        <f>IFERROR(IF(Q38="","",Q38*7.48),"")</f>
        <v/>
      </c>
    </row>
    <row r="39">
      <c r="A39" s="32" t="n"/>
      <c r="B39" s="32" t="n"/>
      <c r="C39" s="12">
        <f>IFERROR(VLOOKUP(B39,'3-CDA LandUse'!$A$4:$I$53,2,0),"")</f>
        <v/>
      </c>
      <c r="D39" s="32" t="n"/>
      <c r="E39" s="12">
        <f>IFERROR(VLOOKUP(B39,'3-CDA LandUse'!$A$4:$I$53,6,0),0)</f>
        <v/>
      </c>
      <c r="F39" s="12">
        <f>IFERROR(VLOOKUP(B39,'3-CDA LandUse'!$A$4:$I$53,7,0),0)</f>
        <v/>
      </c>
      <c r="G39" s="12">
        <f>IFERROR(VLOOKUP(B39,'3-CDA LandUse'!$A$4:$I$53,8,0),0)</f>
        <v/>
      </c>
      <c r="H39" s="12">
        <f>IFERROR(VLOOKUP(B39,'3-CDA LandUse'!$A$4:$I$53,9,0),0)</f>
        <v/>
      </c>
      <c r="I39" s="12">
        <f>IFERROR(IF(SUM(E39:H39)=0,"",SUM(E39:H39)),"")</f>
        <v/>
      </c>
      <c r="J39" s="32" t="n"/>
      <c r="K39" s="12">
        <f>IFERROR(IF(D39="","",IFS(OR(D39="Bioretention",D39="Bioswale"),'6-Parameters'!$B$34,D39="Green Roof",'6-Parameters'!$B$39,TRUE,0)),"" )</f>
        <v/>
      </c>
      <c r="L39" s="32" t="n"/>
      <c r="M39" s="12">
        <f>IFERROR(IF(D39="","",IFS(OR(D39="Porous Asphalt",D39="Porous Concrete"),'6-Parameters'!$B$37,D39="Permeable Paver",'6-Parameters'!$B$36,OR(D39="Bioretention",D39="Bioswale"),'6-Parameters'!$B$35,D39="Green Roof",'6-Parameters'!$B$38,TRUE,0)),"" )</f>
        <v/>
      </c>
      <c r="N39" s="12">
        <f>IFERROR(IF(D39="","",J39*K39+L39*M39),"")</f>
        <v/>
      </c>
      <c r="O39" s="12">
        <f>'6-Parameters'!$B$8/12</f>
        <v/>
      </c>
      <c r="P39" s="12">
        <f>IFERROR(IF(N39="","",MIN(N39,O39)),"")</f>
        <v/>
      </c>
      <c r="Q39" s="12">
        <f>IFERROR(IF(I39="","",I39*P39),"")</f>
        <v/>
      </c>
      <c r="R39" s="12">
        <f>IFERROR(IF(Q39="","",Q39*7.48),"")</f>
        <v/>
      </c>
    </row>
    <row r="40">
      <c r="A40" s="32" t="n"/>
      <c r="B40" s="32" t="n"/>
      <c r="C40" s="12">
        <f>IFERROR(VLOOKUP(B40,'3-CDA LandUse'!$A$4:$I$53,2,0),"")</f>
        <v/>
      </c>
      <c r="D40" s="32" t="n"/>
      <c r="E40" s="12">
        <f>IFERROR(VLOOKUP(B40,'3-CDA LandUse'!$A$4:$I$53,6,0),0)</f>
        <v/>
      </c>
      <c r="F40" s="12">
        <f>IFERROR(VLOOKUP(B40,'3-CDA LandUse'!$A$4:$I$53,7,0),0)</f>
        <v/>
      </c>
      <c r="G40" s="12">
        <f>IFERROR(VLOOKUP(B40,'3-CDA LandUse'!$A$4:$I$53,8,0),0)</f>
        <v/>
      </c>
      <c r="H40" s="12">
        <f>IFERROR(VLOOKUP(B40,'3-CDA LandUse'!$A$4:$I$53,9,0),0)</f>
        <v/>
      </c>
      <c r="I40" s="12">
        <f>IFERROR(IF(SUM(E40:H40)=0,"",SUM(E40:H40)),"")</f>
        <v/>
      </c>
      <c r="J40" s="32" t="n"/>
      <c r="K40" s="12">
        <f>IFERROR(IF(D40="","",IFS(OR(D40="Bioretention",D40="Bioswale"),'6-Parameters'!$B$34,D40="Green Roof",'6-Parameters'!$B$39,TRUE,0)),"" )</f>
        <v/>
      </c>
      <c r="L40" s="32" t="n"/>
      <c r="M40" s="12">
        <f>IFERROR(IF(D40="","",IFS(OR(D40="Porous Asphalt",D40="Porous Concrete"),'6-Parameters'!$B$37,D40="Permeable Paver",'6-Parameters'!$B$36,OR(D40="Bioretention",D40="Bioswale"),'6-Parameters'!$B$35,D40="Green Roof",'6-Parameters'!$B$38,TRUE,0)),"" )</f>
        <v/>
      </c>
      <c r="N40" s="12">
        <f>IFERROR(IF(D40="","",J40*K40+L40*M40),"")</f>
        <v/>
      </c>
      <c r="O40" s="12">
        <f>'6-Parameters'!$B$8/12</f>
        <v/>
      </c>
      <c r="P40" s="12">
        <f>IFERROR(IF(N40="","",MIN(N40,O40)),"")</f>
        <v/>
      </c>
      <c r="Q40" s="12">
        <f>IFERROR(IF(I40="","",I40*P40),"")</f>
        <v/>
      </c>
      <c r="R40" s="12">
        <f>IFERROR(IF(Q40="","",Q40*7.48),"")</f>
        <v/>
      </c>
    </row>
    <row r="41">
      <c r="A41" s="32" t="n"/>
      <c r="B41" s="32" t="n"/>
      <c r="C41" s="12">
        <f>IFERROR(VLOOKUP(B41,'3-CDA LandUse'!$A$4:$I$53,2,0),"")</f>
        <v/>
      </c>
      <c r="D41" s="32" t="n"/>
      <c r="E41" s="12">
        <f>IFERROR(VLOOKUP(B41,'3-CDA LandUse'!$A$4:$I$53,6,0),0)</f>
        <v/>
      </c>
      <c r="F41" s="12">
        <f>IFERROR(VLOOKUP(B41,'3-CDA LandUse'!$A$4:$I$53,7,0),0)</f>
        <v/>
      </c>
      <c r="G41" s="12">
        <f>IFERROR(VLOOKUP(B41,'3-CDA LandUse'!$A$4:$I$53,8,0),0)</f>
        <v/>
      </c>
      <c r="H41" s="12">
        <f>IFERROR(VLOOKUP(B41,'3-CDA LandUse'!$A$4:$I$53,9,0),0)</f>
        <v/>
      </c>
      <c r="I41" s="12">
        <f>IFERROR(IF(SUM(E41:H41)=0,"",SUM(E41:H41)),"")</f>
        <v/>
      </c>
      <c r="J41" s="32" t="n"/>
      <c r="K41" s="12">
        <f>IFERROR(IF(D41="","",IFS(OR(D41="Bioretention",D41="Bioswale"),'6-Parameters'!$B$34,D41="Green Roof",'6-Parameters'!$B$39,TRUE,0)),"" )</f>
        <v/>
      </c>
      <c r="L41" s="32" t="n"/>
      <c r="M41" s="12">
        <f>IFERROR(IF(D41="","",IFS(OR(D41="Porous Asphalt",D41="Porous Concrete"),'6-Parameters'!$B$37,D41="Permeable Paver",'6-Parameters'!$B$36,OR(D41="Bioretention",D41="Bioswale"),'6-Parameters'!$B$35,D41="Green Roof",'6-Parameters'!$B$38,TRUE,0)),"" )</f>
        <v/>
      </c>
      <c r="N41" s="12">
        <f>IFERROR(IF(D41="","",J41*K41+L41*M41),"")</f>
        <v/>
      </c>
      <c r="O41" s="12">
        <f>'6-Parameters'!$B$8/12</f>
        <v/>
      </c>
      <c r="P41" s="12">
        <f>IFERROR(IF(N41="","",MIN(N41,O41)),"")</f>
        <v/>
      </c>
      <c r="Q41" s="12">
        <f>IFERROR(IF(I41="","",I41*P41),"")</f>
        <v/>
      </c>
      <c r="R41" s="12">
        <f>IFERROR(IF(Q41="","",Q41*7.48),"")</f>
        <v/>
      </c>
    </row>
    <row r="42">
      <c r="A42" s="32" t="n"/>
      <c r="B42" s="32" t="n"/>
      <c r="C42" s="12">
        <f>IFERROR(VLOOKUP(B42,'3-CDA LandUse'!$A$4:$I$53,2,0),"")</f>
        <v/>
      </c>
      <c r="D42" s="32" t="n"/>
      <c r="E42" s="12">
        <f>IFERROR(VLOOKUP(B42,'3-CDA LandUse'!$A$4:$I$53,6,0),0)</f>
        <v/>
      </c>
      <c r="F42" s="12">
        <f>IFERROR(VLOOKUP(B42,'3-CDA LandUse'!$A$4:$I$53,7,0),0)</f>
        <v/>
      </c>
      <c r="G42" s="12">
        <f>IFERROR(VLOOKUP(B42,'3-CDA LandUse'!$A$4:$I$53,8,0),0)</f>
        <v/>
      </c>
      <c r="H42" s="12">
        <f>IFERROR(VLOOKUP(B42,'3-CDA LandUse'!$A$4:$I$53,9,0),0)</f>
        <v/>
      </c>
      <c r="I42" s="12">
        <f>IFERROR(IF(SUM(E42:H42)=0,"",SUM(E42:H42)),"")</f>
        <v/>
      </c>
      <c r="J42" s="32" t="n"/>
      <c r="K42" s="12">
        <f>IFERROR(IF(D42="","",IFS(OR(D42="Bioretention",D42="Bioswale"),'6-Parameters'!$B$34,D42="Green Roof",'6-Parameters'!$B$39,TRUE,0)),"" )</f>
        <v/>
      </c>
      <c r="L42" s="32" t="n"/>
      <c r="M42" s="12">
        <f>IFERROR(IF(D42="","",IFS(OR(D42="Porous Asphalt",D42="Porous Concrete"),'6-Parameters'!$B$37,D42="Permeable Paver",'6-Parameters'!$B$36,OR(D42="Bioretention",D42="Bioswale"),'6-Parameters'!$B$35,D42="Green Roof",'6-Parameters'!$B$38,TRUE,0)),"" )</f>
        <v/>
      </c>
      <c r="N42" s="12">
        <f>IFERROR(IF(D42="","",J42*K42+L42*M42),"")</f>
        <v/>
      </c>
      <c r="O42" s="12">
        <f>'6-Parameters'!$B$8/12</f>
        <v/>
      </c>
      <c r="P42" s="12">
        <f>IFERROR(IF(N42="","",MIN(N42,O42)),"")</f>
        <v/>
      </c>
      <c r="Q42" s="12">
        <f>IFERROR(IF(I42="","",I42*P42),"")</f>
        <v/>
      </c>
      <c r="R42" s="12">
        <f>IFERROR(IF(Q42="","",Q42*7.48),"")</f>
        <v/>
      </c>
    </row>
    <row r="43">
      <c r="A43" s="32" t="n"/>
      <c r="B43" s="32" t="n"/>
      <c r="C43" s="12">
        <f>IFERROR(VLOOKUP(B43,'3-CDA LandUse'!$A$4:$I$53,2,0),"")</f>
        <v/>
      </c>
      <c r="D43" s="32" t="n"/>
      <c r="E43" s="12">
        <f>IFERROR(VLOOKUP(B43,'3-CDA LandUse'!$A$4:$I$53,6,0),0)</f>
        <v/>
      </c>
      <c r="F43" s="12">
        <f>IFERROR(VLOOKUP(B43,'3-CDA LandUse'!$A$4:$I$53,7,0),0)</f>
        <v/>
      </c>
      <c r="G43" s="12">
        <f>IFERROR(VLOOKUP(B43,'3-CDA LandUse'!$A$4:$I$53,8,0),0)</f>
        <v/>
      </c>
      <c r="H43" s="12">
        <f>IFERROR(VLOOKUP(B43,'3-CDA LandUse'!$A$4:$I$53,9,0),0)</f>
        <v/>
      </c>
      <c r="I43" s="12">
        <f>IFERROR(IF(SUM(E43:H43)=0,"",SUM(E43:H43)),"")</f>
        <v/>
      </c>
      <c r="J43" s="32" t="n"/>
      <c r="K43" s="12">
        <f>IFERROR(IF(D43="","",IFS(OR(D43="Bioretention",D43="Bioswale"),'6-Parameters'!$B$34,D43="Green Roof",'6-Parameters'!$B$39,TRUE,0)),"" )</f>
        <v/>
      </c>
      <c r="L43" s="32" t="n"/>
      <c r="M43" s="12">
        <f>IFERROR(IF(D43="","",IFS(OR(D43="Porous Asphalt",D43="Porous Concrete"),'6-Parameters'!$B$37,D43="Permeable Paver",'6-Parameters'!$B$36,OR(D43="Bioretention",D43="Bioswale"),'6-Parameters'!$B$35,D43="Green Roof",'6-Parameters'!$B$38,TRUE,0)),"" )</f>
        <v/>
      </c>
      <c r="N43" s="12">
        <f>IFERROR(IF(D43="","",J43*K43+L43*M43),"")</f>
        <v/>
      </c>
      <c r="O43" s="12">
        <f>'6-Parameters'!$B$8/12</f>
        <v/>
      </c>
      <c r="P43" s="12">
        <f>IFERROR(IF(N43="","",MIN(N43,O43)),"")</f>
        <v/>
      </c>
      <c r="Q43" s="12">
        <f>IFERROR(IF(I43="","",I43*P43),"")</f>
        <v/>
      </c>
      <c r="R43" s="12">
        <f>IFERROR(IF(Q43="","",Q43*7.48),"")</f>
        <v/>
      </c>
    </row>
    <row r="44">
      <c r="A44" s="32" t="n"/>
      <c r="B44" s="32" t="n"/>
      <c r="C44" s="12">
        <f>IFERROR(VLOOKUP(B44,'3-CDA LandUse'!$A$4:$I$53,2,0),"")</f>
        <v/>
      </c>
      <c r="D44" s="32" t="n"/>
      <c r="E44" s="12">
        <f>IFERROR(VLOOKUP(B44,'3-CDA LandUse'!$A$4:$I$53,6,0),0)</f>
        <v/>
      </c>
      <c r="F44" s="12">
        <f>IFERROR(VLOOKUP(B44,'3-CDA LandUse'!$A$4:$I$53,7,0),0)</f>
        <v/>
      </c>
      <c r="G44" s="12">
        <f>IFERROR(VLOOKUP(B44,'3-CDA LandUse'!$A$4:$I$53,8,0),0)</f>
        <v/>
      </c>
      <c r="H44" s="12">
        <f>IFERROR(VLOOKUP(B44,'3-CDA LandUse'!$A$4:$I$53,9,0),0)</f>
        <v/>
      </c>
      <c r="I44" s="12">
        <f>IFERROR(IF(SUM(E44:H44)=0,"",SUM(E44:H44)),"")</f>
        <v/>
      </c>
      <c r="J44" s="32" t="n"/>
      <c r="K44" s="12">
        <f>IFERROR(IF(D44="","",IFS(OR(D44="Bioretention",D44="Bioswale"),'6-Parameters'!$B$34,D44="Green Roof",'6-Parameters'!$B$39,TRUE,0)),"" )</f>
        <v/>
      </c>
      <c r="L44" s="32" t="n"/>
      <c r="M44" s="12">
        <f>IFERROR(IF(D44="","",IFS(OR(D44="Porous Asphalt",D44="Porous Concrete"),'6-Parameters'!$B$37,D44="Permeable Paver",'6-Parameters'!$B$36,OR(D44="Bioretention",D44="Bioswale"),'6-Parameters'!$B$35,D44="Green Roof",'6-Parameters'!$B$38,TRUE,0)),"" )</f>
        <v/>
      </c>
      <c r="N44" s="12">
        <f>IFERROR(IF(D44="","",J44*K44+L44*M44),"")</f>
        <v/>
      </c>
      <c r="O44" s="12">
        <f>'6-Parameters'!$B$8/12</f>
        <v/>
      </c>
      <c r="P44" s="12">
        <f>IFERROR(IF(N44="","",MIN(N44,O44)),"")</f>
        <v/>
      </c>
      <c r="Q44" s="12">
        <f>IFERROR(IF(I44="","",I44*P44),"")</f>
        <v/>
      </c>
      <c r="R44" s="12">
        <f>IFERROR(IF(Q44="","",Q44*7.48),"")</f>
        <v/>
      </c>
    </row>
    <row r="45">
      <c r="A45" s="32" t="n"/>
      <c r="B45" s="32" t="n"/>
      <c r="C45" s="12">
        <f>IFERROR(VLOOKUP(B45,'3-CDA LandUse'!$A$4:$I$53,2,0),"")</f>
        <v/>
      </c>
      <c r="D45" s="32" t="n"/>
      <c r="E45" s="12">
        <f>IFERROR(VLOOKUP(B45,'3-CDA LandUse'!$A$4:$I$53,6,0),0)</f>
        <v/>
      </c>
      <c r="F45" s="12">
        <f>IFERROR(VLOOKUP(B45,'3-CDA LandUse'!$A$4:$I$53,7,0),0)</f>
        <v/>
      </c>
      <c r="G45" s="12">
        <f>IFERROR(VLOOKUP(B45,'3-CDA LandUse'!$A$4:$I$53,8,0),0)</f>
        <v/>
      </c>
      <c r="H45" s="12">
        <f>IFERROR(VLOOKUP(B45,'3-CDA LandUse'!$A$4:$I$53,9,0),0)</f>
        <v/>
      </c>
      <c r="I45" s="12">
        <f>IFERROR(IF(SUM(E45:H45)=0,"",SUM(E45:H45)),"")</f>
        <v/>
      </c>
      <c r="J45" s="32" t="n"/>
      <c r="K45" s="12">
        <f>IFERROR(IF(D45="","",IFS(OR(D45="Bioretention",D45="Bioswale"),'6-Parameters'!$B$34,D45="Green Roof",'6-Parameters'!$B$39,TRUE,0)),"" )</f>
        <v/>
      </c>
      <c r="L45" s="32" t="n"/>
      <c r="M45" s="12">
        <f>IFERROR(IF(D45="","",IFS(OR(D45="Porous Asphalt",D45="Porous Concrete"),'6-Parameters'!$B$37,D45="Permeable Paver",'6-Parameters'!$B$36,OR(D45="Bioretention",D45="Bioswale"),'6-Parameters'!$B$35,D45="Green Roof",'6-Parameters'!$B$38,TRUE,0)),"" )</f>
        <v/>
      </c>
      <c r="N45" s="12">
        <f>IFERROR(IF(D45="","",J45*K45+L45*M45),"")</f>
        <v/>
      </c>
      <c r="O45" s="12">
        <f>'6-Parameters'!$B$8/12</f>
        <v/>
      </c>
      <c r="P45" s="12">
        <f>IFERROR(IF(N45="","",MIN(N45,O45)),"")</f>
        <v/>
      </c>
      <c r="Q45" s="12">
        <f>IFERROR(IF(I45="","",I45*P45),"")</f>
        <v/>
      </c>
      <c r="R45" s="12">
        <f>IFERROR(IF(Q45="","",Q45*7.48),"")</f>
        <v/>
      </c>
    </row>
    <row r="46">
      <c r="A46" s="32" t="n"/>
      <c r="B46" s="32" t="n"/>
      <c r="C46" s="12">
        <f>IFERROR(VLOOKUP(B46,'3-CDA LandUse'!$A$4:$I$53,2,0),"")</f>
        <v/>
      </c>
      <c r="D46" s="32" t="n"/>
      <c r="E46" s="12">
        <f>IFERROR(VLOOKUP(B46,'3-CDA LandUse'!$A$4:$I$53,6,0),0)</f>
        <v/>
      </c>
      <c r="F46" s="12">
        <f>IFERROR(VLOOKUP(B46,'3-CDA LandUse'!$A$4:$I$53,7,0),0)</f>
        <v/>
      </c>
      <c r="G46" s="12">
        <f>IFERROR(VLOOKUP(B46,'3-CDA LandUse'!$A$4:$I$53,8,0),0)</f>
        <v/>
      </c>
      <c r="H46" s="12">
        <f>IFERROR(VLOOKUP(B46,'3-CDA LandUse'!$A$4:$I$53,9,0),0)</f>
        <v/>
      </c>
      <c r="I46" s="12">
        <f>IFERROR(IF(SUM(E46:H46)=0,"",SUM(E46:H46)),"")</f>
        <v/>
      </c>
      <c r="J46" s="32" t="n"/>
      <c r="K46" s="12">
        <f>IFERROR(IF(D46="","",IFS(OR(D46="Bioretention",D46="Bioswale"),'6-Parameters'!$B$34,D46="Green Roof",'6-Parameters'!$B$39,TRUE,0)),"" )</f>
        <v/>
      </c>
      <c r="L46" s="32" t="n"/>
      <c r="M46" s="12">
        <f>IFERROR(IF(D46="","",IFS(OR(D46="Porous Asphalt",D46="Porous Concrete"),'6-Parameters'!$B$37,D46="Permeable Paver",'6-Parameters'!$B$36,OR(D46="Bioretention",D46="Bioswale"),'6-Parameters'!$B$35,D46="Green Roof",'6-Parameters'!$B$38,TRUE,0)),"" )</f>
        <v/>
      </c>
      <c r="N46" s="12">
        <f>IFERROR(IF(D46="","",J46*K46+L46*M46),"")</f>
        <v/>
      </c>
      <c r="O46" s="12">
        <f>'6-Parameters'!$B$8/12</f>
        <v/>
      </c>
      <c r="P46" s="12">
        <f>IFERROR(IF(N46="","",MIN(N46,O46)),"")</f>
        <v/>
      </c>
      <c r="Q46" s="12">
        <f>IFERROR(IF(I46="","",I46*P46),"")</f>
        <v/>
      </c>
      <c r="R46" s="12">
        <f>IFERROR(IF(Q46="","",Q46*7.48),"")</f>
        <v/>
      </c>
    </row>
    <row r="47">
      <c r="A47" s="32" t="n"/>
      <c r="B47" s="32" t="n"/>
      <c r="C47" s="12">
        <f>IFERROR(VLOOKUP(B47,'3-CDA LandUse'!$A$4:$I$53,2,0),"")</f>
        <v/>
      </c>
      <c r="D47" s="32" t="n"/>
      <c r="E47" s="12">
        <f>IFERROR(VLOOKUP(B47,'3-CDA LandUse'!$A$4:$I$53,6,0),0)</f>
        <v/>
      </c>
      <c r="F47" s="12">
        <f>IFERROR(VLOOKUP(B47,'3-CDA LandUse'!$A$4:$I$53,7,0),0)</f>
        <v/>
      </c>
      <c r="G47" s="12">
        <f>IFERROR(VLOOKUP(B47,'3-CDA LandUse'!$A$4:$I$53,8,0),0)</f>
        <v/>
      </c>
      <c r="H47" s="12">
        <f>IFERROR(VLOOKUP(B47,'3-CDA LandUse'!$A$4:$I$53,9,0),0)</f>
        <v/>
      </c>
      <c r="I47" s="12">
        <f>IFERROR(IF(SUM(E47:H47)=0,"",SUM(E47:H47)),"")</f>
        <v/>
      </c>
      <c r="J47" s="32" t="n"/>
      <c r="K47" s="12">
        <f>IFERROR(IF(D47="","",IFS(OR(D47="Bioretention",D47="Bioswale"),'6-Parameters'!$B$34,D47="Green Roof",'6-Parameters'!$B$39,TRUE,0)),"" )</f>
        <v/>
      </c>
      <c r="L47" s="32" t="n"/>
      <c r="M47" s="12">
        <f>IFERROR(IF(D47="","",IFS(OR(D47="Porous Asphalt",D47="Porous Concrete"),'6-Parameters'!$B$37,D47="Permeable Paver",'6-Parameters'!$B$36,OR(D47="Bioretention",D47="Bioswale"),'6-Parameters'!$B$35,D47="Green Roof",'6-Parameters'!$B$38,TRUE,0)),"" )</f>
        <v/>
      </c>
      <c r="N47" s="12">
        <f>IFERROR(IF(D47="","",J47*K47+L47*M47),"")</f>
        <v/>
      </c>
      <c r="O47" s="12">
        <f>'6-Parameters'!$B$8/12</f>
        <v/>
      </c>
      <c r="P47" s="12">
        <f>IFERROR(IF(N47="","",MIN(N47,O47)),"")</f>
        <v/>
      </c>
      <c r="Q47" s="12">
        <f>IFERROR(IF(I47="","",I47*P47),"")</f>
        <v/>
      </c>
      <c r="R47" s="12">
        <f>IFERROR(IF(Q47="","",Q47*7.48),"")</f>
        <v/>
      </c>
    </row>
    <row r="48">
      <c r="A48" s="32" t="n"/>
      <c r="B48" s="32" t="n"/>
      <c r="C48" s="12">
        <f>IFERROR(VLOOKUP(B48,'3-CDA LandUse'!$A$4:$I$53,2,0),"")</f>
        <v/>
      </c>
      <c r="D48" s="32" t="n"/>
      <c r="E48" s="12">
        <f>IFERROR(VLOOKUP(B48,'3-CDA LandUse'!$A$4:$I$53,6,0),0)</f>
        <v/>
      </c>
      <c r="F48" s="12">
        <f>IFERROR(VLOOKUP(B48,'3-CDA LandUse'!$A$4:$I$53,7,0),0)</f>
        <v/>
      </c>
      <c r="G48" s="12">
        <f>IFERROR(VLOOKUP(B48,'3-CDA LandUse'!$A$4:$I$53,8,0),0)</f>
        <v/>
      </c>
      <c r="H48" s="12">
        <f>IFERROR(VLOOKUP(B48,'3-CDA LandUse'!$A$4:$I$53,9,0),0)</f>
        <v/>
      </c>
      <c r="I48" s="12">
        <f>IFERROR(IF(SUM(E48:H48)=0,"",SUM(E48:H48)),"")</f>
        <v/>
      </c>
      <c r="J48" s="32" t="n"/>
      <c r="K48" s="12">
        <f>IFERROR(IF(D48="","",IFS(OR(D48="Bioretention",D48="Bioswale"),'6-Parameters'!$B$34,D48="Green Roof",'6-Parameters'!$B$39,TRUE,0)),"" )</f>
        <v/>
      </c>
      <c r="L48" s="32" t="n"/>
      <c r="M48" s="12">
        <f>IFERROR(IF(D48="","",IFS(OR(D48="Porous Asphalt",D48="Porous Concrete"),'6-Parameters'!$B$37,D48="Permeable Paver",'6-Parameters'!$B$36,OR(D48="Bioretention",D48="Bioswale"),'6-Parameters'!$B$35,D48="Green Roof",'6-Parameters'!$B$38,TRUE,0)),"" )</f>
        <v/>
      </c>
      <c r="N48" s="12">
        <f>IFERROR(IF(D48="","",J48*K48+L48*M48),"")</f>
        <v/>
      </c>
      <c r="O48" s="12">
        <f>'6-Parameters'!$B$8/12</f>
        <v/>
      </c>
      <c r="P48" s="12">
        <f>IFERROR(IF(N48="","",MIN(N48,O48)),"")</f>
        <v/>
      </c>
      <c r="Q48" s="12">
        <f>IFERROR(IF(I48="","",I48*P48),"")</f>
        <v/>
      </c>
      <c r="R48" s="12">
        <f>IFERROR(IF(Q48="","",Q48*7.48),"")</f>
        <v/>
      </c>
    </row>
    <row r="49">
      <c r="A49" s="32" t="n"/>
      <c r="B49" s="32" t="n"/>
      <c r="C49" s="12">
        <f>IFERROR(VLOOKUP(B49,'3-CDA LandUse'!$A$4:$I$53,2,0),"")</f>
        <v/>
      </c>
      <c r="D49" s="32" t="n"/>
      <c r="E49" s="12">
        <f>IFERROR(VLOOKUP(B49,'3-CDA LandUse'!$A$4:$I$53,6,0),0)</f>
        <v/>
      </c>
      <c r="F49" s="12">
        <f>IFERROR(VLOOKUP(B49,'3-CDA LandUse'!$A$4:$I$53,7,0),0)</f>
        <v/>
      </c>
      <c r="G49" s="12">
        <f>IFERROR(VLOOKUP(B49,'3-CDA LandUse'!$A$4:$I$53,8,0),0)</f>
        <v/>
      </c>
      <c r="H49" s="12">
        <f>IFERROR(VLOOKUP(B49,'3-CDA LandUse'!$A$4:$I$53,9,0),0)</f>
        <v/>
      </c>
      <c r="I49" s="12">
        <f>IFERROR(IF(SUM(E49:H49)=0,"",SUM(E49:H49)),"")</f>
        <v/>
      </c>
      <c r="J49" s="32" t="n"/>
      <c r="K49" s="12">
        <f>IFERROR(IF(D49="","",IFS(OR(D49="Bioretention",D49="Bioswale"),'6-Parameters'!$B$34,D49="Green Roof",'6-Parameters'!$B$39,TRUE,0)),"" )</f>
        <v/>
      </c>
      <c r="L49" s="32" t="n"/>
      <c r="M49" s="12">
        <f>IFERROR(IF(D49="","",IFS(OR(D49="Porous Asphalt",D49="Porous Concrete"),'6-Parameters'!$B$37,D49="Permeable Paver",'6-Parameters'!$B$36,OR(D49="Bioretention",D49="Bioswale"),'6-Parameters'!$B$35,D49="Green Roof",'6-Parameters'!$B$38,TRUE,0)),"" )</f>
        <v/>
      </c>
      <c r="N49" s="12">
        <f>IFERROR(IF(D49="","",J49*K49+L49*M49),"")</f>
        <v/>
      </c>
      <c r="O49" s="12">
        <f>'6-Parameters'!$B$8/12</f>
        <v/>
      </c>
      <c r="P49" s="12">
        <f>IFERROR(IF(N49="","",MIN(N49,O49)),"")</f>
        <v/>
      </c>
      <c r="Q49" s="12">
        <f>IFERROR(IF(I49="","",I49*P49),"")</f>
        <v/>
      </c>
      <c r="R49" s="12">
        <f>IFERROR(IF(Q49="","",Q49*7.48),"")</f>
        <v/>
      </c>
    </row>
    <row r="50">
      <c r="A50" s="32" t="n"/>
      <c r="B50" s="32" t="n"/>
      <c r="C50" s="12">
        <f>IFERROR(VLOOKUP(B50,'3-CDA LandUse'!$A$4:$I$53,2,0),"")</f>
        <v/>
      </c>
      <c r="D50" s="32" t="n"/>
      <c r="E50" s="12">
        <f>IFERROR(VLOOKUP(B50,'3-CDA LandUse'!$A$4:$I$53,6,0),0)</f>
        <v/>
      </c>
      <c r="F50" s="12">
        <f>IFERROR(VLOOKUP(B50,'3-CDA LandUse'!$A$4:$I$53,7,0),0)</f>
        <v/>
      </c>
      <c r="G50" s="12">
        <f>IFERROR(VLOOKUP(B50,'3-CDA LandUse'!$A$4:$I$53,8,0),0)</f>
        <v/>
      </c>
      <c r="H50" s="12">
        <f>IFERROR(VLOOKUP(B50,'3-CDA LandUse'!$A$4:$I$53,9,0),0)</f>
        <v/>
      </c>
      <c r="I50" s="12">
        <f>IFERROR(IF(SUM(E50:H50)=0,"",SUM(E50:H50)),"")</f>
        <v/>
      </c>
      <c r="J50" s="32" t="n"/>
      <c r="K50" s="12">
        <f>IFERROR(IF(D50="","",IFS(OR(D50="Bioretention",D50="Bioswale"),'6-Parameters'!$B$34,D50="Green Roof",'6-Parameters'!$B$39,TRUE,0)),"" )</f>
        <v/>
      </c>
      <c r="L50" s="32" t="n"/>
      <c r="M50" s="12">
        <f>IFERROR(IF(D50="","",IFS(OR(D50="Porous Asphalt",D50="Porous Concrete"),'6-Parameters'!$B$37,D50="Permeable Paver",'6-Parameters'!$B$36,OR(D50="Bioretention",D50="Bioswale"),'6-Parameters'!$B$35,D50="Green Roof",'6-Parameters'!$B$38,TRUE,0)),"" )</f>
        <v/>
      </c>
      <c r="N50" s="12">
        <f>IFERROR(IF(D50="","",J50*K50+L50*M50),"")</f>
        <v/>
      </c>
      <c r="O50" s="12">
        <f>'6-Parameters'!$B$8/12</f>
        <v/>
      </c>
      <c r="P50" s="12">
        <f>IFERROR(IF(N50="","",MIN(N50,O50)),"")</f>
        <v/>
      </c>
      <c r="Q50" s="12">
        <f>IFERROR(IF(I50="","",I50*P50),"")</f>
        <v/>
      </c>
      <c r="R50" s="12">
        <f>IFERROR(IF(Q50="","",Q50*7.48),"")</f>
        <v/>
      </c>
    </row>
    <row r="51">
      <c r="A51" s="32" t="n"/>
      <c r="B51" s="32" t="n"/>
      <c r="C51" s="12">
        <f>IFERROR(VLOOKUP(B51,'3-CDA LandUse'!$A$4:$I$53,2,0),"")</f>
        <v/>
      </c>
      <c r="D51" s="32" t="n"/>
      <c r="E51" s="12">
        <f>IFERROR(VLOOKUP(B51,'3-CDA LandUse'!$A$4:$I$53,6,0),0)</f>
        <v/>
      </c>
      <c r="F51" s="12">
        <f>IFERROR(VLOOKUP(B51,'3-CDA LandUse'!$A$4:$I$53,7,0),0)</f>
        <v/>
      </c>
      <c r="G51" s="12">
        <f>IFERROR(VLOOKUP(B51,'3-CDA LandUse'!$A$4:$I$53,8,0),0)</f>
        <v/>
      </c>
      <c r="H51" s="12">
        <f>IFERROR(VLOOKUP(B51,'3-CDA LandUse'!$A$4:$I$53,9,0),0)</f>
        <v/>
      </c>
      <c r="I51" s="12">
        <f>IFERROR(IF(SUM(E51:H51)=0,"",SUM(E51:H51)),"")</f>
        <v/>
      </c>
      <c r="J51" s="32" t="n"/>
      <c r="K51" s="12">
        <f>IFERROR(IF(D51="","",IFS(OR(D51="Bioretention",D51="Bioswale"),'6-Parameters'!$B$34,D51="Green Roof",'6-Parameters'!$B$39,TRUE,0)),"" )</f>
        <v/>
      </c>
      <c r="L51" s="32" t="n"/>
      <c r="M51" s="12">
        <f>IFERROR(IF(D51="","",IFS(OR(D51="Porous Asphalt",D51="Porous Concrete"),'6-Parameters'!$B$37,D51="Permeable Paver",'6-Parameters'!$B$36,OR(D51="Bioretention",D51="Bioswale"),'6-Parameters'!$B$35,D51="Green Roof",'6-Parameters'!$B$38,TRUE,0)),"" )</f>
        <v/>
      </c>
      <c r="N51" s="12">
        <f>IFERROR(IF(D51="","",J51*K51+L51*M51),"")</f>
        <v/>
      </c>
      <c r="O51" s="12">
        <f>'6-Parameters'!$B$8/12</f>
        <v/>
      </c>
      <c r="P51" s="12">
        <f>IFERROR(IF(N51="","",MIN(N51,O51)),"")</f>
        <v/>
      </c>
      <c r="Q51" s="12">
        <f>IFERROR(IF(I51="","",I51*P51),"")</f>
        <v/>
      </c>
      <c r="R51" s="12">
        <f>IFERROR(IF(Q51="","",Q51*7.48),"")</f>
        <v/>
      </c>
    </row>
    <row r="52">
      <c r="A52" s="32" t="n"/>
      <c r="B52" s="32" t="n"/>
      <c r="C52" s="12">
        <f>IFERROR(VLOOKUP(B52,'3-CDA LandUse'!$A$4:$I$53,2,0),"")</f>
        <v/>
      </c>
      <c r="D52" s="32" t="n"/>
      <c r="E52" s="12">
        <f>IFERROR(VLOOKUP(B52,'3-CDA LandUse'!$A$4:$I$53,6,0),0)</f>
        <v/>
      </c>
      <c r="F52" s="12">
        <f>IFERROR(VLOOKUP(B52,'3-CDA LandUse'!$A$4:$I$53,7,0),0)</f>
        <v/>
      </c>
      <c r="G52" s="12">
        <f>IFERROR(VLOOKUP(B52,'3-CDA LandUse'!$A$4:$I$53,8,0),0)</f>
        <v/>
      </c>
      <c r="H52" s="12">
        <f>IFERROR(VLOOKUP(B52,'3-CDA LandUse'!$A$4:$I$53,9,0),0)</f>
        <v/>
      </c>
      <c r="I52" s="12">
        <f>IFERROR(IF(SUM(E52:H52)=0,"",SUM(E52:H52)),"")</f>
        <v/>
      </c>
      <c r="J52" s="32" t="n"/>
      <c r="K52" s="12">
        <f>IFERROR(IF(D52="","",IFS(OR(D52="Bioretention",D52="Bioswale"),'6-Parameters'!$B$34,D52="Green Roof",'6-Parameters'!$B$39,TRUE,0)),"" )</f>
        <v/>
      </c>
      <c r="L52" s="32" t="n"/>
      <c r="M52" s="12">
        <f>IFERROR(IF(D52="","",IFS(OR(D52="Porous Asphalt",D52="Porous Concrete"),'6-Parameters'!$B$37,D52="Permeable Paver",'6-Parameters'!$B$36,OR(D52="Bioretention",D52="Bioswale"),'6-Parameters'!$B$35,D52="Green Roof",'6-Parameters'!$B$38,TRUE,0)),"" )</f>
        <v/>
      </c>
      <c r="N52" s="12">
        <f>IFERROR(IF(D52="","",J52*K52+L52*M52),"")</f>
        <v/>
      </c>
      <c r="O52" s="12">
        <f>'6-Parameters'!$B$8/12</f>
        <v/>
      </c>
      <c r="P52" s="12">
        <f>IFERROR(IF(N52="","",MIN(N52,O52)),"")</f>
        <v/>
      </c>
      <c r="Q52" s="12">
        <f>IFERROR(IF(I52="","",I52*P52),"")</f>
        <v/>
      </c>
      <c r="R52" s="12">
        <f>IFERROR(IF(Q52="","",Q52*7.48),"")</f>
        <v/>
      </c>
    </row>
    <row r="53">
      <c r="A53" s="32" t="n"/>
      <c r="B53" s="32" t="n"/>
      <c r="C53" s="12">
        <f>IFERROR(VLOOKUP(B53,'3-CDA LandUse'!$A$4:$I$53,2,0),"")</f>
        <v/>
      </c>
      <c r="D53" s="32" t="n"/>
      <c r="E53" s="12">
        <f>IFERROR(VLOOKUP(B53,'3-CDA LandUse'!$A$4:$I$53,6,0),0)</f>
        <v/>
      </c>
      <c r="F53" s="12">
        <f>IFERROR(VLOOKUP(B53,'3-CDA LandUse'!$A$4:$I$53,7,0),0)</f>
        <v/>
      </c>
      <c r="G53" s="12">
        <f>IFERROR(VLOOKUP(B53,'3-CDA LandUse'!$A$4:$I$53,8,0),0)</f>
        <v/>
      </c>
      <c r="H53" s="12">
        <f>IFERROR(VLOOKUP(B53,'3-CDA LandUse'!$A$4:$I$53,9,0),0)</f>
        <v/>
      </c>
      <c r="I53" s="12">
        <f>IFERROR(IF(SUM(E53:H53)=0,"",SUM(E53:H53)),"")</f>
        <v/>
      </c>
      <c r="J53" s="32" t="n"/>
      <c r="K53" s="12">
        <f>IFERROR(IF(D53="","",IFS(OR(D53="Bioretention",D53="Bioswale"),'6-Parameters'!$B$34,D53="Green Roof",'6-Parameters'!$B$39,TRUE,0)),"" )</f>
        <v/>
      </c>
      <c r="L53" s="32" t="n"/>
      <c r="M53" s="12">
        <f>IFERROR(IF(D53="","",IFS(OR(D53="Porous Asphalt",D53="Porous Concrete"),'6-Parameters'!$B$37,D53="Permeable Paver",'6-Parameters'!$B$36,OR(D53="Bioretention",D53="Bioswale"),'6-Parameters'!$B$35,D53="Green Roof",'6-Parameters'!$B$38,TRUE,0)),"" )</f>
        <v/>
      </c>
      <c r="N53" s="12">
        <f>IFERROR(IF(D53="","",J53*K53+L53*M53),"")</f>
        <v/>
      </c>
      <c r="O53" s="12">
        <f>'6-Parameters'!$B$8/12</f>
        <v/>
      </c>
      <c r="P53" s="12">
        <f>IFERROR(IF(N53="","",MIN(N53,O53)),"")</f>
        <v/>
      </c>
      <c r="Q53" s="12">
        <f>IFERROR(IF(I53="","",I53*P53),"")</f>
        <v/>
      </c>
      <c r="R53" s="12">
        <f>IFERROR(IF(Q53="","",Q53*7.48),"")</f>
        <v/>
      </c>
    </row>
    <row r="54">
      <c r="A54" s="15" t="inlineStr">
        <is>
          <t>TOTALS</t>
        </is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7" t="n"/>
      <c r="Q54" s="18">
        <f>IFERROR(SUM(Q4:Q53),0)</f>
        <v/>
      </c>
      <c r="R54" s="18">
        <f>IFERROR(SUM(R4:R53),0)</f>
        <v/>
      </c>
    </row>
    <row r="55" ht="14" customHeight="1">
      <c r="A55" s="21" t="inlineStr">
        <is>
          <t>EISA §438 compliance: Net post-dev runoff (Sheet 2 col AN) - Total BMP Vol Inf (col Q total) &lt;= Pre-dev runoff (Sheet 2 col AM). NO detention credit.</t>
        </is>
      </c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</row>
    <row r="56" ht="14" customHeight="1">
      <c r="A56" s="21" t="inlineStr">
        <is>
          <t>CDA ID (col B) drives VLOOKUP: SDA (col C) and BMP footprint by HSG (cols E-H) auto-fill from 3-CDA LandUse. Depths J &amp; L remain per-BMP inputs.</t>
        </is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</row>
    <row r="57" ht="14" customHeight="1">
      <c r="A57" s="21" t="inlineStr">
        <is>
          <t>Void ratios (cols K, M) auto-fill from 6-Parameters based on BMP Type. Change Parameters values to update defaults project-wide.</t>
        </is>
      </c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</row>
    <row r="58" ht="14" customHeight="1">
      <c r="A58" s="21" t="inlineStr">
        <is>
          <t>Vol Inf = Total_BMP_Area(SF) × Design_Depth(ft). Design_Depth = MIN(P_95pct/12, Media_d×eta_m + Gravel_d×eta_g).</t>
        </is>
      </c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</row>
    <row r="59" ht="14" customHeight="1">
      <c r="A59" s="21" t="inlineStr">
        <is>
          <t>Porous asphalt: gravel 0.5ft×0.40=0.20ft; P_DC/12=0.1417ft → Design=0.1417ft (storm-limited). Bioretention: gravel 0.25ft×0.40=0.10ft → STORAGE-LIMITED.</t>
        </is>
      </c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</row>
    <row r="60" ht="14" customHeight="1">
      <c r="A60" s="21" t="inlineStr">
        <is>
          <t>Reference: Rock Creek Park Multi-Use Trail EISA §438 sample calcs, May 2017.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</row>
  </sheetData>
  <mergeCells count="12">
    <mergeCell ref="A55:R55"/>
    <mergeCell ref="Q2:R2"/>
    <mergeCell ref="A59:R59"/>
    <mergeCell ref="A57:R57"/>
    <mergeCell ref="E2:I2"/>
    <mergeCell ref="A60:R60"/>
    <mergeCell ref="A1:R1"/>
    <mergeCell ref="A2:D2"/>
    <mergeCell ref="A54:P54"/>
    <mergeCell ref="J2:P2"/>
    <mergeCell ref="A58:R58"/>
    <mergeCell ref="A56:R56"/>
  </mergeCells>
  <dataValidations count="1">
    <dataValidation sqref="D4:D53" showDropDown="0" showInputMessage="0" showErrorMessage="0" allowBlank="1" type="list">
      <formula1>"Porous Asphalt,Porous Concrete,Permeable Paver,Bioretention,Bioswale,Green Roof,Cistern"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6" customHeight="1">
      <c r="A1" s="9" t="inlineStr">
        <is>
          <t>GENERAL PARAMETERS</t>
        </is>
      </c>
      <c r="B1" s="10" t="n"/>
      <c r="C1" s="10" t="n"/>
      <c r="D1" s="10" t="n"/>
      <c r="E1" s="11" t="n"/>
    </row>
    <row r="3">
      <c r="A3" s="3" t="inlineStr">
        <is>
          <t>RAINFALL DEPTHS</t>
        </is>
      </c>
      <c r="B3" s="4" t="n"/>
      <c r="C3" s="4" t="n"/>
      <c r="D3" s="4" t="n"/>
      <c r="E3" s="5" t="n"/>
    </row>
    <row r="4">
      <c r="A4" s="31" t="inlineStr">
        <is>
          <t>DOEE MLD design storm (P_MLD)</t>
        </is>
      </c>
      <c r="B4" s="32" t="n">
        <v>1.2</v>
      </c>
      <c r="C4" s="31" t="inlineStr">
        <is>
          <t>in</t>
        </is>
      </c>
      <c r="D4" s="31" t="inlineStr">
        <is>
          <t>21 DCMR §599 — Major Land Disturbing</t>
        </is>
      </c>
      <c r="E4" s="27" t="n"/>
    </row>
    <row r="5">
      <c r="A5" s="31" t="inlineStr">
        <is>
          <t>DOEE MSI design storm (P_MSI)</t>
        </is>
      </c>
      <c r="B5" s="32" t="n">
        <v>0.8</v>
      </c>
      <c r="C5" s="31" t="inlineStr">
        <is>
          <t>in</t>
        </is>
      </c>
      <c r="D5" s="31" t="inlineStr">
        <is>
          <t>21 DCMR §599 — Major Substantial Improvement</t>
        </is>
      </c>
      <c r="E5" s="27" t="n"/>
    </row>
    <row r="6">
      <c r="A6" s="31" t="inlineStr">
        <is>
          <t>DOEE MSI-AWDZ design storm (P_AWDZ)</t>
        </is>
      </c>
      <c r="B6" s="32" t="n">
        <v>1</v>
      </c>
      <c r="C6" s="31" t="inlineStr">
        <is>
          <t>in</t>
        </is>
      </c>
      <c r="D6" s="31" t="inlineStr">
        <is>
          <t>Anacostia Waterfront District Zone</t>
        </is>
      </c>
      <c r="E6" s="27" t="n"/>
    </row>
    <row r="7">
      <c r="A7" s="31" t="inlineStr">
        <is>
          <t>DOEE Vmax storm depth</t>
        </is>
      </c>
      <c r="B7" s="32" t="n">
        <v>1.7</v>
      </c>
      <c r="C7" s="31" t="inlineStr">
        <is>
          <t>in</t>
        </is>
      </c>
      <c r="D7" s="31" t="inlineStr">
        <is>
          <t>BMP credit cap — max CDA contributing depth</t>
        </is>
      </c>
      <c r="E7" s="27" t="n"/>
    </row>
    <row r="8">
      <c r="A8" s="31" t="inlineStr">
        <is>
          <t>EISA 95th percentile storm (DC)</t>
        </is>
      </c>
      <c r="B8" s="32" t="n">
        <v>1.7</v>
      </c>
      <c r="C8" s="31" t="inlineStr">
        <is>
          <t>in</t>
        </is>
      </c>
      <c r="D8" s="31" t="inlineStr">
        <is>
          <t>EPA Table 1 — Washington DC 24-hr 95th percentile</t>
        </is>
      </c>
      <c r="E8" s="27" t="n"/>
    </row>
    <row r="10" ht="22" customHeight="1">
      <c r="A10" s="18" t="inlineStr">
        <is>
          <t>SCS CURVE NUMBERS BY LAND COVER AND HYDROLOGIC SOIL GROUP  (TR-55; per EISA §438 sample comps)</t>
        </is>
      </c>
      <c r="B10" s="22" t="n"/>
      <c r="C10" s="22" t="n"/>
      <c r="D10" s="22" t="n"/>
      <c r="E10" s="23" t="n"/>
    </row>
    <row r="11">
      <c r="A11" s="25" t="inlineStr">
        <is>
          <t>Land Cover / Condition</t>
        </is>
      </c>
      <c r="B11" s="25" t="inlineStr">
        <is>
          <t>HSG A</t>
        </is>
      </c>
      <c r="C11" s="25" t="inlineStr">
        <is>
          <t>HSG B</t>
        </is>
      </c>
      <c r="D11" s="25" t="inlineStr">
        <is>
          <t>HSG C</t>
        </is>
      </c>
      <c r="E11" s="25" t="inlineStr">
        <is>
          <t>HSG D</t>
        </is>
      </c>
    </row>
    <row r="12">
      <c r="A12" s="31" t="inlineStr">
        <is>
          <t>Impervious (paved, rooftop, compacted imperv)</t>
        </is>
      </c>
      <c r="B12" s="32" t="n">
        <v>98</v>
      </c>
      <c r="C12" s="32" t="n">
        <v>98</v>
      </c>
      <c r="D12" s="32" t="n">
        <v>98</v>
      </c>
      <c r="E12" s="32" t="n">
        <v>98</v>
      </c>
    </row>
    <row r="13">
      <c r="A13" s="31" t="inlineStr">
        <is>
          <t>Woods — good condition (forest, good cover)</t>
        </is>
      </c>
      <c r="B13" s="32" t="n">
        <v>25</v>
      </c>
      <c r="C13" s="32" t="n">
        <v>55</v>
      </c>
      <c r="D13" s="32" t="n">
        <v>70</v>
      </c>
      <c r="E13" s="32" t="n">
        <v>77</v>
      </c>
    </row>
    <row r="14">
      <c r="A14" s="31" t="inlineStr">
        <is>
          <t>BMP / Pervious (bioretention, bioswale — as grass good)</t>
        </is>
      </c>
      <c r="B14" s="32" t="n">
        <v>39</v>
      </c>
      <c r="C14" s="32" t="n">
        <v>61</v>
      </c>
      <c r="D14" s="32" t="n">
        <v>74</v>
      </c>
      <c r="E14" s="32" t="n">
        <v>80</v>
      </c>
    </row>
    <row r="15">
      <c r="A15" s="31" t="inlineStr">
        <is>
          <t>Compact/Open Space — good condition (grass, good lawn)</t>
        </is>
      </c>
      <c r="B15" s="32" t="n">
        <v>39</v>
      </c>
      <c r="C15" s="32" t="n">
        <v>61</v>
      </c>
      <c r="D15" s="32" t="n">
        <v>74</v>
      </c>
      <c r="E15" s="32" t="n">
        <v>80</v>
      </c>
    </row>
    <row r="16">
      <c r="A16" s="31" t="inlineStr">
        <is>
          <t>Compact/Open Space — fair condition (grass, fair)</t>
        </is>
      </c>
      <c r="B16" s="32" t="n">
        <v>49</v>
      </c>
      <c r="C16" s="32" t="n">
        <v>69</v>
      </c>
      <c r="D16" s="32" t="n">
        <v>79</v>
      </c>
      <c r="E16" s="32" t="n">
        <v>84</v>
      </c>
    </row>
    <row r="17">
      <c r="A17" s="31" t="inlineStr">
        <is>
          <t>Compact/Disturbed (construction grading)</t>
        </is>
      </c>
      <c r="B17" s="32" t="n">
        <v>77</v>
      </c>
      <c r="C17" s="32" t="n">
        <v>85</v>
      </c>
      <c r="D17" s="32" t="n">
        <v>90</v>
      </c>
      <c r="E17" s="32" t="n">
        <v>92</v>
      </c>
    </row>
    <row r="18">
      <c r="A18" s="31" t="inlineStr">
        <is>
          <t>Open water / wetland</t>
        </is>
      </c>
      <c r="B18" s="32" t="n">
        <v>98</v>
      </c>
      <c r="C18" s="32" t="n">
        <v>98</v>
      </c>
      <c r="D18" s="32" t="n">
        <v>98</v>
      </c>
      <c r="E18" s="32" t="n">
        <v>98</v>
      </c>
    </row>
    <row r="20">
      <c r="A20" s="18" t="inlineStr">
        <is>
          <t>SCS RUNOFF EQUATION</t>
        </is>
      </c>
      <c r="B20" s="22" t="n"/>
      <c r="C20" s="22" t="n"/>
      <c r="D20" s="22" t="n"/>
      <c r="E20" s="23" t="n"/>
    </row>
    <row r="21">
      <c r="A21" s="31" t="inlineStr">
        <is>
          <t>Q_a (in) = (P - 0.2*S)^2 / (P + 0.8*S) where S = 1000/CN - 10.  If P &lt;= 0.2*S then Q_a = 0.</t>
        </is>
      </c>
      <c r="B21" s="26" t="n"/>
      <c r="C21" s="26" t="n"/>
      <c r="D21" s="26" t="n"/>
      <c r="E21" s="27" t="n"/>
    </row>
    <row r="22" ht="36" customHeight="1">
      <c r="A22" s="31" t="inlineStr">
        <is>
          <t>Volume (ft3) = SUM [ Area_i(SF) x Q_a_i(in) ] / 12.  HSG-A Woods (CN=25: 0.2S=6.0&gt;1.7) and HSG-B Woods (CN=55: 0.2S=1.64&gt;1.7) produce ZERO runoff for P=1.7" — include area but they contribute 0 ft3.  Ref: Rock Creek Park EISA §438 calcs, May 2017.</t>
        </is>
      </c>
      <c r="B22" s="26" t="n"/>
      <c r="C22" s="26" t="n"/>
      <c r="D22" s="26" t="n"/>
      <c r="E22" s="27" t="n"/>
    </row>
    <row r="24">
      <c r="A24" s="3" t="inlineStr">
        <is>
          <t>DOEE RUNOFF COEFFICIENTS (Rv) FOR SWRv CALCULATION</t>
        </is>
      </c>
      <c r="B24" s="4" t="n"/>
      <c r="C24" s="4" t="n"/>
      <c r="D24" s="4" t="n"/>
      <c r="E24" s="5" t="n"/>
    </row>
    <row r="25">
      <c r="A25" s="24" t="inlineStr">
        <is>
          <t>DOEE Land Use Category</t>
        </is>
      </c>
      <c r="B25" s="24" t="inlineStr">
        <is>
          <t>Rv</t>
        </is>
      </c>
      <c r="C25" s="24" t="inlineStr">
        <is>
          <t>Unit</t>
        </is>
      </c>
      <c r="D25" s="24" t="inlineStr">
        <is>
          <t>Notes</t>
        </is>
      </c>
      <c r="E25" s="24" t="inlineStr"/>
    </row>
    <row r="26">
      <c r="A26" s="31" t="inlineStr">
        <is>
          <t>Impervious (rooftop, pavement)</t>
        </is>
      </c>
      <c r="B26" s="32" t="n">
        <v>0.95</v>
      </c>
      <c r="C26" s="31" t="inlineStr"/>
      <c r="D26" s="31" t="inlineStr">
        <is>
          <t>21 DCMR §599</t>
        </is>
      </c>
      <c r="E26" s="27" t="n"/>
    </row>
    <row r="27">
      <c r="A27" s="31" t="inlineStr">
        <is>
          <t>Impervious Vehicular</t>
        </is>
      </c>
      <c r="B27" s="32" t="n">
        <v>0.95</v>
      </c>
      <c r="C27" s="31" t="inlineStr"/>
      <c r="D27" s="31" t="inlineStr">
        <is>
          <t>50% retention req per 21 DCMR</t>
        </is>
      </c>
      <c r="E27" s="27" t="n"/>
    </row>
    <row r="28">
      <c r="A28" s="31" t="inlineStr">
        <is>
          <t>Compacted (landscaped/disturbed)</t>
        </is>
      </c>
      <c r="B28" s="32" t="n">
        <v>0.25</v>
      </c>
      <c r="C28" s="31" t="inlineStr"/>
      <c r="D28" s="31" t="inlineStr">
        <is>
          <t>DOEE Guidebook §2.3</t>
        </is>
      </c>
      <c r="E28" s="27" t="n"/>
    </row>
    <row r="29">
      <c r="A29" s="31" t="inlineStr">
        <is>
          <t>Natural / Open Space</t>
        </is>
      </c>
      <c r="B29" s="32" t="n">
        <v>0</v>
      </c>
      <c r="C29" s="31" t="inlineStr"/>
      <c r="D29" s="31" t="inlineStr">
        <is>
          <t>Effectively zero for SWRv</t>
        </is>
      </c>
      <c r="E29" s="27" t="n"/>
    </row>
    <row r="30">
      <c r="A30" s="31" t="inlineStr">
        <is>
          <t>BMP Area (in CDA)</t>
        </is>
      </c>
      <c r="B30" s="32" t="n">
        <v>0.95</v>
      </c>
      <c r="C30" s="31" t="inlineStr"/>
      <c r="D30" s="31" t="inlineStr">
        <is>
          <t>Counted as impervious for Vmax calc</t>
        </is>
      </c>
      <c r="E30" s="27" t="n"/>
    </row>
    <row r="32">
      <c r="A32" s="3" t="inlineStr">
        <is>
          <t>BMP MEDIA VOID RATIOS</t>
        </is>
      </c>
      <c r="B32" s="4" t="n"/>
      <c r="C32" s="4" t="n"/>
      <c r="D32" s="4" t="n"/>
      <c r="E32" s="5" t="n"/>
    </row>
    <row r="33">
      <c r="A33" s="24" t="inlineStr">
        <is>
          <t>Material</t>
        </is>
      </c>
      <c r="B33" s="24" t="inlineStr">
        <is>
          <t>Void Ratio (eta)</t>
        </is>
      </c>
      <c r="C33" s="24" t="inlineStr">
        <is>
          <t>Unit</t>
        </is>
      </c>
      <c r="D33" s="24" t="inlineStr">
        <is>
          <t>Notes</t>
        </is>
      </c>
      <c r="E33" s="24" t="inlineStr"/>
    </row>
    <row r="34">
      <c r="A34" s="31" t="inlineStr">
        <is>
          <t>Bioretention filter media</t>
        </is>
      </c>
      <c r="B34" s="32" t="n">
        <v>0.25</v>
      </c>
      <c r="C34" s="31" t="inlineStr"/>
      <c r="D34" s="31" t="inlineStr">
        <is>
          <t>DOEE Guidebook §3.6</t>
        </is>
      </c>
      <c r="E34" s="27" t="n"/>
    </row>
    <row r="35">
      <c r="A35" s="31" t="inlineStr">
        <is>
          <t>Gravel / stone reservoir</t>
        </is>
      </c>
      <c r="B35" s="32" t="n">
        <v>0.4</v>
      </c>
      <c r="C35" s="31" t="inlineStr"/>
      <c r="D35" s="31" t="inlineStr">
        <is>
          <t>DOEE §3.6; EISA sample standard (Rock Creek)</t>
        </is>
      </c>
      <c r="E35" s="27" t="n"/>
    </row>
    <row r="36">
      <c r="A36" s="31" t="inlineStr">
        <is>
          <t>Perm. pave reservoir (fine)</t>
        </is>
      </c>
      <c r="B36" s="32" t="n">
        <v>0.33</v>
      </c>
      <c r="C36" s="31" t="inlineStr"/>
      <c r="D36" s="31" t="inlineStr">
        <is>
          <t>Open-graded aggregate</t>
        </is>
      </c>
      <c r="E36" s="27" t="n"/>
    </row>
    <row r="37">
      <c r="A37" s="31" t="inlineStr">
        <is>
          <t>Porous asphalt gravel base</t>
        </is>
      </c>
      <c r="B37" s="32" t="n">
        <v>0.4</v>
      </c>
      <c r="C37" s="31" t="inlineStr"/>
      <c r="D37" s="31" t="inlineStr">
        <is>
          <t>EISA: 0.5ft gravel x 0.40 = 0.20ft storage</t>
        </is>
      </c>
      <c r="E37" s="27" t="n"/>
    </row>
    <row r="38">
      <c r="A38" s="31" t="inlineStr">
        <is>
          <t>Green roof drainage layer</t>
        </is>
      </c>
      <c r="B38" s="32" t="n">
        <v>0.9</v>
      </c>
      <c r="C38" s="31" t="inlineStr"/>
      <c r="D38" s="31" t="inlineStr">
        <is>
          <t>DOEE Guidebook §3.2</t>
        </is>
      </c>
      <c r="E38" s="27" t="n"/>
    </row>
    <row r="39">
      <c r="A39" s="31" t="inlineStr">
        <is>
          <t>Green roof growth media</t>
        </is>
      </c>
      <c r="B39" s="32" t="n">
        <v>0.1</v>
      </c>
      <c r="C39" s="31" t="inlineStr"/>
      <c r="D39" s="31" t="inlineStr">
        <is>
          <t>Saturated water-holding capacity</t>
        </is>
      </c>
      <c r="E39" s="27" t="n"/>
    </row>
    <row r="41">
      <c r="A41" s="3" t="inlineStr">
        <is>
          <t>DOEE BMP RETENTION VALUES</t>
        </is>
      </c>
      <c r="B41" s="4" t="n"/>
      <c r="C41" s="4" t="n"/>
      <c r="D41" s="4" t="n"/>
      <c r="E41" s="5" t="n"/>
    </row>
    <row r="42">
      <c r="A42" s="24" t="inlineStr">
        <is>
          <t>Code</t>
        </is>
      </c>
      <c r="B42" s="24" t="inlineStr">
        <is>
          <t>Ret. Value</t>
        </is>
      </c>
      <c r="C42" s="24" t="inlineStr"/>
      <c r="D42" s="24" t="inlineStr">
        <is>
          <t>Description</t>
        </is>
      </c>
      <c r="E42" s="24" t="inlineStr">
        <is>
          <t>Notes</t>
        </is>
      </c>
    </row>
    <row r="43">
      <c r="A43" s="6" t="inlineStr">
        <is>
          <t>B-1</t>
        </is>
      </c>
      <c r="B43" s="32" t="n">
        <v>0.6</v>
      </c>
      <c r="C43" s="31" t="inlineStr"/>
      <c r="D43" s="31" t="inlineStr">
        <is>
          <t>Bioretention — no underdrain (partial)</t>
        </is>
      </c>
      <c r="E43" s="31" t="inlineStr"/>
    </row>
    <row r="44">
      <c r="A44" s="6" t="inlineStr">
        <is>
          <t>B-2</t>
        </is>
      </c>
      <c r="B44" s="32" t="n">
        <v>1</v>
      </c>
      <c r="C44" s="31" t="inlineStr"/>
      <c r="D44" s="31" t="inlineStr">
        <is>
          <t>Bioretention — full infiltration</t>
        </is>
      </c>
      <c r="E44" s="31" t="inlineStr"/>
    </row>
    <row r="45">
      <c r="A45" s="6" t="inlineStr">
        <is>
          <t>G-1</t>
        </is>
      </c>
      <c r="B45" s="32" t="n">
        <v>0.6</v>
      </c>
      <c r="C45" s="31" t="inlineStr"/>
      <c r="D45" s="31" t="inlineStr">
        <is>
          <t>Green Roof — extensive</t>
        </is>
      </c>
      <c r="E45" s="31" t="inlineStr">
        <is>
          <t>ET credit only</t>
        </is>
      </c>
    </row>
    <row r="46">
      <c r="A46" s="6" t="inlineStr">
        <is>
          <t>G-2</t>
        </is>
      </c>
      <c r="B46" s="32" t="n">
        <v>1</v>
      </c>
      <c r="C46" s="31" t="inlineStr"/>
      <c r="D46" s="31" t="inlineStr">
        <is>
          <t>Green Roof — intensive</t>
        </is>
      </c>
      <c r="E46" s="31" t="inlineStr"/>
    </row>
    <row r="47">
      <c r="A47" s="6" t="inlineStr">
        <is>
          <t>P-1</t>
        </is>
      </c>
      <c r="B47" s="32" t="n">
        <v>1</v>
      </c>
      <c r="C47" s="31" t="inlineStr"/>
      <c r="D47" s="31" t="inlineStr">
        <is>
          <t>Perm. Pavement — full infiltration</t>
        </is>
      </c>
      <c r="E47" s="31" t="inlineStr"/>
    </row>
    <row r="48">
      <c r="A48" s="6" t="inlineStr">
        <is>
          <t>P-2</t>
        </is>
      </c>
      <c r="B48" s="32" t="n">
        <v>0.6</v>
      </c>
      <c r="C48" s="31" t="inlineStr"/>
      <c r="D48" s="31" t="inlineStr">
        <is>
          <t>Perm. Pavement — partial (underdrain)</t>
        </is>
      </c>
      <c r="E48" s="31" t="inlineStr"/>
    </row>
    <row r="49">
      <c r="A49" s="6" t="inlineStr">
        <is>
          <t>P-3</t>
        </is>
      </c>
      <c r="B49" s="32" t="n">
        <v>0.6</v>
      </c>
      <c r="C49" s="31" t="inlineStr"/>
      <c r="D49" s="31" t="inlineStr">
        <is>
          <t>Perm. Pavement — detained</t>
        </is>
      </c>
      <c r="E49" s="31" t="inlineStr"/>
    </row>
    <row r="50">
      <c r="A50" s="6" t="inlineStr">
        <is>
          <t>R-1</t>
        </is>
      </c>
      <c r="B50" s="32" t="n">
        <v>1</v>
      </c>
      <c r="C50" s="31" t="inlineStr"/>
      <c r="D50" s="31" t="inlineStr">
        <is>
          <t>Rainwater Harvesting</t>
        </is>
      </c>
      <c r="E50" s="31" t="inlineStr">
        <is>
          <t>Volume actually reused</t>
        </is>
      </c>
    </row>
    <row r="51">
      <c r="A51" s="6" t="inlineStr">
        <is>
          <t>ISD</t>
        </is>
      </c>
      <c r="B51" s="32" t="n">
        <v>0.5</v>
      </c>
      <c r="C51" s="31" t="inlineStr"/>
      <c r="D51" s="31" t="inlineStr">
        <is>
          <t>Impervious Surface Disconnection</t>
        </is>
      </c>
      <c r="E51" s="31" t="inlineStr">
        <is>
          <t>50% credit</t>
        </is>
      </c>
    </row>
    <row r="53">
      <c r="A53" s="18" t="inlineStr">
        <is>
          <t>EISA BMP STORAGE DESIGN DEFAULTS  (from EISA Technical Guidance + Rock Creek Park sample calcs)</t>
        </is>
      </c>
      <c r="B53" s="22" t="n"/>
      <c r="C53" s="22" t="n"/>
      <c r="D53" s="22" t="n"/>
      <c r="E53" s="23" t="n"/>
    </row>
    <row r="54">
      <c r="A54" s="25" t="inlineStr">
        <is>
          <t>BMP Type</t>
        </is>
      </c>
      <c r="B54" s="25" t="inlineStr">
        <is>
          <t>Gravel Depth (ft)</t>
        </is>
      </c>
      <c r="C54" s="25" t="inlineStr">
        <is>
          <t>Void Ratio</t>
        </is>
      </c>
      <c r="D54" s="25" t="inlineStr">
        <is>
          <t>Storage = d x eta (ft)</t>
        </is>
      </c>
      <c r="E54" s="25" t="inlineStr">
        <is>
          <t>Notes</t>
        </is>
      </c>
    </row>
    <row r="55">
      <c r="A55" s="31" t="inlineStr">
        <is>
          <t>Porous Asphalt / Perm. Pave</t>
        </is>
      </c>
      <c r="B55" s="32" t="n">
        <v>0.5</v>
      </c>
      <c r="C55" s="32" t="n">
        <v>0.4</v>
      </c>
      <c r="D55" s="12">
        <f>B55*C55</f>
        <v/>
      </c>
      <c r="E55" s="31" t="inlineStr">
        <is>
          <t>Design depth=MIN(1.7/12=0.142,0.20)=0.142ft (storm-limited)</t>
        </is>
      </c>
    </row>
    <row r="56">
      <c r="A56" s="31" t="inlineStr">
        <is>
          <t>Bioretention</t>
        </is>
      </c>
      <c r="B56" s="32" t="n">
        <v>0.25</v>
      </c>
      <c r="C56" s="32" t="n">
        <v>0.4</v>
      </c>
      <c r="D56" s="12">
        <f>B56*C56</f>
        <v/>
      </c>
      <c r="E56" s="31" t="inlineStr">
        <is>
          <t>Design depth=MIN(0.142,0.10)=0.10ft (STORAGE-LIMITED)</t>
        </is>
      </c>
    </row>
    <row r="57">
      <c r="A57" s="31" t="inlineStr">
        <is>
          <t>Bioswale</t>
        </is>
      </c>
      <c r="B57" s="32" t="n">
        <v>0.25</v>
      </c>
      <c r="C57" s="32" t="n">
        <v>0.4</v>
      </c>
      <c r="D57" s="12">
        <f>B57*C57</f>
        <v/>
      </c>
      <c r="E57" s="31" t="inlineStr">
        <is>
          <t>Same as bioretention</t>
        </is>
      </c>
    </row>
    <row r="58">
      <c r="A58" s="31" t="inlineStr">
        <is>
          <t>Green Roof</t>
        </is>
      </c>
      <c r="B58" s="32" t="n"/>
      <c r="C58" s="32" t="n"/>
      <c r="D58" s="31" t="inlineStr">
        <is>
          <t>—</t>
        </is>
      </c>
      <c r="E58" s="31" t="inlineStr">
        <is>
          <t>Use 1-in effective per EISA guidance Appendix D</t>
        </is>
      </c>
    </row>
    <row r="59">
      <c r="A59" s="31" t="inlineStr">
        <is>
          <t>Cistern</t>
        </is>
      </c>
      <c r="B59" s="32" t="n"/>
      <c r="C59" s="32" t="n"/>
      <c r="D59" s="31" t="inlineStr">
        <is>
          <t>—</t>
        </is>
      </c>
      <c r="E59" s="31" t="inlineStr">
        <is>
          <t>Full cistern volume — demand-limited sizing</t>
        </is>
      </c>
    </row>
    <row r="61" ht="22" customHeight="1">
      <c r="A61" s="18" t="inlineStr">
        <is>
          <t>TREE PLANTING &amp; PRESERVATION — STORMWATER CREDITS  (DOEE SWM Guidebook 2020 §3.14.5, Tables 3-52/3-53)</t>
        </is>
      </c>
      <c r="B61" s="22" t="n"/>
      <c r="C61" s="22" t="n"/>
      <c r="D61" s="22" t="n"/>
      <c r="E61" s="23" t="n"/>
    </row>
    <row r="62">
      <c r="A62" s="25" t="inlineStr">
        <is>
          <t>Category</t>
        </is>
      </c>
      <c r="B62" s="25" t="inlineStr">
        <is>
          <t>Credit (CF/tree)</t>
        </is>
      </c>
      <c r="C62" s="25" t="inlineStr">
        <is>
          <t>Unit</t>
        </is>
      </c>
      <c r="D62" s="25" t="inlineStr">
        <is>
          <t>Notes</t>
        </is>
      </c>
      <c r="E62" s="25" t="inlineStr"/>
    </row>
    <row r="63">
      <c r="A63" s="31" t="inlineStr">
        <is>
          <t>Planted Small Tree  (mature canopy ≤40 ft spread)</t>
        </is>
      </c>
      <c r="B63" s="32" t="n">
        <v>5</v>
      </c>
      <c r="C63" s="31" t="inlineStr">
        <is>
          <t>CF/tree</t>
        </is>
      </c>
      <c r="D63" s="31" t="inlineStr">
        <is>
          <t>Table 3-53 — new planting credit</t>
        </is>
      </c>
      <c r="E63" s="27" t="n"/>
    </row>
    <row r="64">
      <c r="A64" s="31" t="inlineStr">
        <is>
          <t>Planted Large Tree  (mature canopy &gt;40 ft spread)</t>
        </is>
      </c>
      <c r="B64" s="32" t="n">
        <v>10</v>
      </c>
      <c r="C64" s="31" t="inlineStr">
        <is>
          <t>CF/tree</t>
        </is>
      </c>
      <c r="D64" s="31" t="inlineStr">
        <is>
          <t>Table 3-53 — new planting credit</t>
        </is>
      </c>
      <c r="E64" s="27" t="n"/>
    </row>
    <row r="65">
      <c r="A65" s="31" t="inlineStr">
        <is>
          <t>Preserved Small Tree  (canopy ≤40 ft spread)</t>
        </is>
      </c>
      <c r="B65" s="32" t="n">
        <v>10</v>
      </c>
      <c r="C65" s="31" t="inlineStr">
        <is>
          <t>CF/tree</t>
        </is>
      </c>
      <c r="D65" s="31" t="inlineStr">
        <is>
          <t>Table 3-52 — preservation credit</t>
        </is>
      </c>
      <c r="E65" s="27" t="n"/>
    </row>
    <row r="66">
      <c r="A66" s="31" t="inlineStr">
        <is>
          <t>Preserved Large Tree  (canopy &gt;40 ft spread)</t>
        </is>
      </c>
      <c r="B66" s="32" t="n">
        <v>20</v>
      </c>
      <c r="C66" s="31" t="inlineStr">
        <is>
          <t>CF/tree</t>
        </is>
      </c>
      <c r="D66" s="31" t="inlineStr">
        <is>
          <t>Table 3-52 — preservation credit</t>
        </is>
      </c>
      <c r="E66" s="27" t="n"/>
    </row>
    <row r="67">
      <c r="A67" s="31" t="inlineStr">
        <is>
          <t>Preserved Special Tree  (circumference 44–99.9 in)</t>
        </is>
      </c>
      <c r="B67" s="32" t="n">
        <v>30</v>
      </c>
      <c r="C67" s="31" t="inlineStr">
        <is>
          <t>CF/tree</t>
        </is>
      </c>
      <c r="D67" s="31" t="inlineStr">
        <is>
          <t>Table 3-52 — preservation credit</t>
        </is>
      </c>
      <c r="E67" s="27" t="n"/>
    </row>
    <row r="68">
      <c r="A68" s="31" t="inlineStr">
        <is>
          <t>Preserved Heritage Tree  (circumference ≥100 in)</t>
        </is>
      </c>
      <c r="B68" s="32" t="n">
        <v>40</v>
      </c>
      <c r="C68" s="31" t="inlineStr">
        <is>
          <t>CF/tree</t>
        </is>
      </c>
      <c r="D68" s="31" t="inlineStr">
        <is>
          <t>Table 3-52 — preservation credit</t>
        </is>
      </c>
      <c r="E68" s="27" t="n"/>
    </row>
  </sheetData>
  <mergeCells count="33">
    <mergeCell ref="A24:E24"/>
    <mergeCell ref="D34:E34"/>
    <mergeCell ref="D63:E63"/>
    <mergeCell ref="A1:E1"/>
    <mergeCell ref="D36:E36"/>
    <mergeCell ref="A61:E61"/>
    <mergeCell ref="D65:E65"/>
    <mergeCell ref="D6:E6"/>
    <mergeCell ref="D27:E27"/>
    <mergeCell ref="A41:E41"/>
    <mergeCell ref="D66:E66"/>
    <mergeCell ref="A3:E3"/>
    <mergeCell ref="A21:E21"/>
    <mergeCell ref="D7:E7"/>
    <mergeCell ref="D37:E37"/>
    <mergeCell ref="D28:E28"/>
    <mergeCell ref="D4:E4"/>
    <mergeCell ref="A32:E32"/>
    <mergeCell ref="A22:E22"/>
    <mergeCell ref="D39:E39"/>
    <mergeCell ref="D8:E8"/>
    <mergeCell ref="A53:E53"/>
    <mergeCell ref="A20:E20"/>
    <mergeCell ref="D30:E30"/>
    <mergeCell ref="D64:E64"/>
    <mergeCell ref="D68:E68"/>
    <mergeCell ref="A10:E10"/>
    <mergeCell ref="D29:E29"/>
    <mergeCell ref="D67:E67"/>
    <mergeCell ref="D5:E5"/>
    <mergeCell ref="D38:E38"/>
    <mergeCell ref="D26:E26"/>
    <mergeCell ref="D35:E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2026-10-27T20:30:06Z</dcterms:created>
  <dcterms:modified xmlns:dcterms="http://purl.org/dc/terms/" xmlns:xsi="http://www.w3.org/2001/XMLSchema-instance" xsi:type="dcterms:W3CDTF">2026-10-27T20:30:07Z</dcterms:modified>
</cp:coreProperties>
</file>