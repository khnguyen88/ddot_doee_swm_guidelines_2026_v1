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PARAMS" sheetId="2" state="visible" r:id="rId2"/>
    <sheet xmlns:r="http://schemas.openxmlformats.org/officeDocument/2006/relationships" name="SDA" sheetId="3" state="visible" r:id="rId3"/>
    <sheet xmlns:r="http://schemas.openxmlformats.org/officeDocument/2006/relationships" name="CDA" sheetId="4" state="visible" r:id="rId4"/>
    <sheet xmlns:r="http://schemas.openxmlformats.org/officeDocument/2006/relationships" name="BMP" sheetId="5" state="visible" r:id="rId5"/>
    <sheet xmlns:r="http://schemas.openxmlformats.org/officeDocument/2006/relationships" name="CORRECT_MEP_SUMMARY" sheetId="6" state="visible" r:id="rId6"/>
    <sheet xmlns:r="http://schemas.openxmlformats.org/officeDocument/2006/relationships" name="EISA_DIRECT" sheetId="7" state="visible" r:id="rId7"/>
    <sheet xmlns:r="http://schemas.openxmlformats.org/officeDocument/2006/relationships" name="EISA_TR55" sheetId="8" state="visible" r:id="rId8"/>
    <sheet xmlns:r="http://schemas.openxmlformats.org/officeDocument/2006/relationships" name="DOEE_SDA" sheetId="9" state="visible" r:id="rId9"/>
    <sheet xmlns:r="http://schemas.openxmlformats.org/officeDocument/2006/relationships" name="DOEE_BMP_DATA" sheetId="10" state="visible" r:id="rId10"/>
    <sheet xmlns:r="http://schemas.openxmlformats.org/officeDocument/2006/relationships" name="DOEE_DETENTION" sheetId="11" state="visible" r:id="rId11"/>
    <sheet xmlns:r="http://schemas.openxmlformats.org/officeDocument/2006/relationships" name="DOEE_COMPLIANCE" sheetId="12" state="visible" r:id="rId12"/>
  </sheets>
  <definedNames>
    <definedName name="PROJECT_Name">'PROJECT'!$B$3</definedName>
    <definedName name="PROJECT_Number">'PROJECT'!$B$4</definedName>
    <definedName name="PROJECT_MS4">'PROJECT'!$B$5</definedName>
    <definedName name="PROJECT_AWDZ">'PROJECT'!$B$6</definedName>
    <definedName name="PROJECT_DOEEReview">'PROJECT'!$B$7</definedName>
    <definedName name="PROJECT_TotalLOD">'PROJECT'!$B$8</definedName>
    <definedName name="PROJECT_Rainfall">'PROJECT'!$B$9</definedName>
    <definedName name="PROJECT_Trigger">'PROJECT'!$B$10</definedName>
    <definedName name="PROJECT_EISA">'PROJECT'!$B$11</definedName>
    <definedName name="PARAMS_Rv">'PARAMS'!$A$7:$B$11</definedName>
    <definedName name="PARAMS_CN">'PARAMS'!$A$15:$E$18</definedName>
    <definedName name="PARAMS_Horton">'PARAMS'!$A$22:$C$25</definedName>
    <definedName name="PARAMS_Depression">'PARAMS'!$A$30:$B$32</definedName>
    <definedName name="PARAMS_BMP">'PARAMS'!$A$36:$G$42</definedName>
    <definedName name="PARAMS_Trees">'PARAMS'!$A$46:$C$51</definedName>
    <definedName name="PARAMS_Detention">'PARAMS'!$A$55:$B$57</definedName>
    <definedName name="PARAMS_DetentionCN">'PARAMS'!$A$61:$B$64</definedName>
    <definedName name="PARAMS_HortonLossB">'PARAMS'!$B$26</definedName>
    <definedName name="PARAMS_HortonLossC">'PARAMS'!$C$26</definedName>
    <definedName name="PARAMS_Ksat">'PARAMS'!$A$68:$B$71</definedName>
    <definedName name="SDA_IDs">'SDA'!$A$58:$A$67</definedName>
    <definedName name="CDA_IDs">'CDA'!$A$58:$A$67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color rgb="00000000"/>
      <sz val="10"/>
    </font>
    <font>
      <color rgb="00000000"/>
      <sz val="10"/>
    </font>
    <font>
      <b val="1"/>
      <color rgb="00000000"/>
      <sz val="11"/>
    </font>
  </fonts>
  <fills count="13">
    <fill>
      <patternFill/>
    </fill>
    <fill>
      <patternFill patternType="gray125"/>
    </fill>
    <fill>
      <patternFill patternType="solid">
        <fgColor rgb="001F4E79"/>
      </patternFill>
    </fill>
    <fill>
      <patternFill patternType="solid">
        <fgColor rgb="00F2F2F2"/>
      </patternFill>
    </fill>
    <fill>
      <patternFill patternType="solid">
        <fgColor rgb="00FFFFC7"/>
      </patternFill>
    </fill>
    <fill>
      <patternFill patternType="solid">
        <fgColor rgb="002E75B6"/>
      </patternFill>
    </fill>
    <fill>
      <patternFill patternType="solid">
        <fgColor rgb="00BDD7EE"/>
      </patternFill>
    </fill>
    <fill>
      <patternFill patternType="solid">
        <fgColor rgb="00538135"/>
      </patternFill>
    </fill>
    <fill>
      <patternFill patternType="solid">
        <fgColor rgb="00E2EFDA"/>
      </patternFill>
    </fill>
    <fill>
      <patternFill patternType="solid">
        <fgColor rgb="00D9D9D9"/>
      </patternFill>
    </fill>
    <fill>
      <patternFill patternType="solid">
        <fgColor rgb="00DEEAF1"/>
      </patternFill>
    </fill>
    <fill>
      <patternFill patternType="solid">
        <fgColor rgb="00FFF2CC"/>
      </patternFill>
    </fill>
    <fill>
      <patternFill patternType="solid">
        <fgColor rgb="00375623"/>
      </patternFill>
    </fill>
  </fills>
  <borders count="1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style="thin">
        <color rgb="00BFBFBF"/>
      </right>
      <top style="medium">
        <color rgb="00000000"/>
      </top>
      <bottom style="thin">
        <color rgb="00BFBFBF"/>
      </bottom>
    </border>
    <border>
      <left/>
      <right/>
      <top style="medium">
        <color rgb="00000000"/>
      </top>
      <bottom style="thin">
        <color rgb="00BFBFBF"/>
      </bottom>
    </border>
    <border>
      <left/>
      <right style="thin">
        <color rgb="00BFBFBF"/>
      </right>
      <top style="medium">
        <color rgb="00000000"/>
      </top>
      <bottom style="thin">
        <color rgb="00BFBFBF"/>
      </bottom>
    </border>
    <border>
      <left style="thin">
        <color rgb="00BFBFBF"/>
      </left>
      <right style="thin">
        <color rgb="00BFBFBF"/>
      </right>
      <top style="thin">
        <color rgb="00BFBFBF"/>
      </top>
      <bottom style="medium">
        <color rgb="00000000"/>
      </bottom>
    </border>
    <border>
      <left style="thin">
        <color rgb="00BFBFBF"/>
      </left>
      <right style="medium">
        <color rgb="00000000"/>
      </right>
      <top style="thin">
        <color rgb="00BFBFBF"/>
      </top>
      <bottom style="thin">
        <color rgb="00BFBFBF"/>
      </bottom>
    </border>
    <border>
      <left/>
      <right style="medium">
        <color rgb="00000000"/>
      </right>
      <top style="thin">
        <color rgb="00BFBFBF"/>
      </top>
      <bottom style="thin">
        <color rgb="00BFBFBF"/>
      </bottom>
    </border>
    <border>
      <left/>
      <right style="medium">
        <color rgb="00000000"/>
      </right>
      <top/>
      <bottom/>
    </border>
    <border>
      <left/>
      <right style="medium">
        <color rgb="00000000"/>
      </right>
      <top style="medium">
        <color rgb="00000000"/>
      </top>
      <bottom style="thin">
        <color rgb="00BFBFBF"/>
      </bottom>
    </border>
    <border>
      <left/>
      <right/>
      <top style="medium">
        <color rgb="00000000"/>
      </top>
      <bottom/>
    </border>
    <border>
      <left/>
      <right style="medium">
        <color rgb="00000000"/>
      </right>
      <top style="medium">
        <color rgb="00000000"/>
      </top>
      <bottom/>
    </border>
    <border>
      <left style="thin">
        <color rgb="00BFBFBF"/>
      </left>
      <right style="medium">
        <color rgb="00000000"/>
      </right>
      <top style="thin">
        <color rgb="00BFBFBF"/>
      </top>
      <bottom style="medium">
        <color rgb="00000000"/>
      </bottom>
    </border>
    <border>
      <left/>
      <right style="thin">
        <color rgb="00BFBFBF"/>
      </right>
      <top/>
      <bottom style="thin">
        <color rgb="00BFBFBF"/>
      </bottom>
      <diagonal/>
    </border>
    <border>
      <left/>
      <right style="thin">
        <color rgb="00BFBFBF"/>
      </right>
      <top/>
      <bottom/>
      <diagonal/>
    </border>
  </borders>
  <cellStyleXfs count="1">
    <xf numFmtId="0" fontId="0" fillId="0" borderId="0"/>
  </cellStyleXfs>
  <cellXfs count="64">
    <xf numFmtId="0" fontId="0" fillId="0" borderId="0" pivotButton="0" quotePrefix="0" xfId="0"/>
    <xf numFmtId="0" fontId="1" fillId="2" borderId="1" applyAlignment="1" pivotButton="0" quotePrefix="0" xfId="0">
      <alignment horizontal="center" vertical="center" wrapText="1"/>
    </xf>
    <xf numFmtId="0" fontId="0" fillId="2" borderId="4"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0" fillId="2" borderId="5" pivotButton="0" quotePrefix="0" xfId="0"/>
    <xf numFmtId="0" fontId="1" fillId="5" borderId="6" applyAlignment="1" pivotButton="0" quotePrefix="0" xfId="0">
      <alignment horizontal="center" vertical="center" wrapText="1"/>
    </xf>
    <xf numFmtId="0" fontId="0" fillId="5" borderId="7" pivotButton="0" quotePrefix="0" xfId="0"/>
    <xf numFmtId="0" fontId="0" fillId="5" borderId="8" pivotButton="0" quotePrefix="0" xfId="0"/>
    <xf numFmtId="0" fontId="2" fillId="6" borderId="1" applyAlignment="1" pivotButton="0" quotePrefix="0" xfId="0">
      <alignment horizontal="left" vertical="center" wrapText="1"/>
    </xf>
    <xf numFmtId="0" fontId="3" fillId="3" borderId="1" applyAlignment="1" pivotButton="0" quotePrefix="0" xfId="0">
      <alignment horizontal="left" vertical="center" wrapText="1"/>
    </xf>
    <xf numFmtId="0" fontId="1" fillId="7" borderId="6" applyAlignment="1" pivotButton="0" quotePrefix="0" xfId="0">
      <alignment horizontal="center" vertical="center" wrapText="1"/>
    </xf>
    <xf numFmtId="0" fontId="0" fillId="7" borderId="7" pivotButton="0" quotePrefix="0" xfId="0"/>
    <xf numFmtId="0" fontId="0" fillId="7" borderId="8" pivotButton="0" quotePrefix="0" xfId="0"/>
    <xf numFmtId="0" fontId="2"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1" fillId="5" borderId="1" applyAlignment="1" pivotButton="0" quotePrefix="0" xfId="0">
      <alignment horizontal="center" vertical="center" wrapText="1"/>
    </xf>
    <xf numFmtId="0" fontId="3" fillId="10" borderId="1" applyAlignment="1" pivotButton="0" quotePrefix="0" xfId="0">
      <alignment horizontal="center" vertical="center" wrapText="1"/>
    </xf>
    <xf numFmtId="0" fontId="1" fillId="2" borderId="6" applyAlignment="1" pivotButton="0" quotePrefix="0" xfId="0">
      <alignment horizontal="center" vertical="center" wrapText="1"/>
    </xf>
    <xf numFmtId="0" fontId="0" fillId="2" borderId="7" pivotButton="0" quotePrefix="0" xfId="0"/>
    <xf numFmtId="0" fontId="0" fillId="2" borderId="8" pivotButton="0" quotePrefix="0" xfId="0"/>
    <xf numFmtId="0" fontId="2" fillId="6" borderId="9" applyAlignment="1" pivotButton="0" quotePrefix="0" xfId="0">
      <alignment horizontal="left" vertical="center" wrapText="1"/>
    </xf>
    <xf numFmtId="0" fontId="3" fillId="10" borderId="9" applyAlignment="1" pivotButton="0" quotePrefix="0" xfId="0">
      <alignment horizontal="center" vertical="center" wrapText="1"/>
    </xf>
    <xf numFmtId="0" fontId="3" fillId="11" borderId="1" applyAlignment="1" pivotButton="0" quotePrefix="0" xfId="0">
      <alignment horizontal="left" vertical="center" wrapText="1"/>
    </xf>
    <xf numFmtId="0" fontId="0" fillId="11" borderId="5" pivotButton="0" quotePrefix="0" xfId="0"/>
    <xf numFmtId="0" fontId="0" fillId="11" borderId="4" pivotButton="0" quotePrefix="0" xfId="0"/>
    <xf numFmtId="0" fontId="1" fillId="5" borderId="10" applyAlignment="1" pivotButton="0" quotePrefix="0" xfId="0">
      <alignment horizontal="center" vertical="center" wrapText="1"/>
    </xf>
    <xf numFmtId="0" fontId="3" fillId="4" borderId="10" applyAlignment="1" pivotButton="0" quotePrefix="0" xfId="0">
      <alignment horizontal="center" vertical="center" wrapText="1"/>
    </xf>
    <xf numFmtId="0" fontId="3" fillId="10" borderId="10" applyAlignment="1" pivotButton="0" quotePrefix="0" xfId="0">
      <alignment horizontal="center" vertical="center" wrapText="1"/>
    </xf>
    <xf numFmtId="0" fontId="0" fillId="2" borderId="13" pivotButton="0" quotePrefix="0" xfId="0"/>
    <xf numFmtId="0" fontId="0" fillId="0" borderId="14" pivotButton="0" quotePrefix="0" xfId="0"/>
    <xf numFmtId="0" fontId="0" fillId="0" borderId="15" pivotButton="0" quotePrefix="0" xfId="0"/>
    <xf numFmtId="0" fontId="0" fillId="0" borderId="12" pivotButton="0" quotePrefix="0" xfId="0"/>
    <xf numFmtId="0" fontId="3" fillId="10" borderId="16"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17" pivotButton="0" quotePrefix="0" xfId="0"/>
    <xf numFmtId="0" fontId="4" fillId="0" borderId="0" applyAlignment="1" pivotButton="0" quotePrefix="0" xfId="0">
      <alignment horizontal="left" vertical="center" wrapText="1"/>
    </xf>
    <xf numFmtId="0" fontId="4" fillId="0" borderId="0" pivotButton="0" quotePrefix="0" xfId="0"/>
    <xf numFmtId="0" fontId="2" fillId="3" borderId="1" applyAlignment="1" pivotButton="0" quotePrefix="0" xfId="0">
      <alignment horizontal="right" vertical="center" wrapText="1"/>
    </xf>
    <xf numFmtId="3" fontId="2" fillId="10" borderId="1" applyAlignment="1" pivotButton="0" quotePrefix="0" xfId="0">
      <alignment horizontal="center" vertical="center" wrapText="1"/>
    </xf>
    <xf numFmtId="0" fontId="3" fillId="0" borderId="0" applyAlignment="1" pivotButton="0" quotePrefix="0" xfId="0">
      <alignment horizontal="left" vertical="center" wrapText="1"/>
    </xf>
    <xf numFmtId="2" fontId="2" fillId="10" borderId="1" applyAlignment="1" pivotButton="0" quotePrefix="0" xfId="0">
      <alignment horizontal="center" vertical="center" wrapText="1"/>
    </xf>
    <xf numFmtId="1" fontId="2" fillId="10" borderId="1" applyAlignment="1" pivotButton="0" quotePrefix="0" xfId="0">
      <alignment horizontal="center" vertical="center" wrapText="1"/>
    </xf>
    <xf numFmtId="0" fontId="0" fillId="2" borderId="11" pivotButton="0" quotePrefix="0" xfId="0"/>
    <xf numFmtId="0" fontId="0" fillId="0" borderId="0"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0" applyAlignment="1" pivotButton="0" quotePrefix="0" xfId="0">
      <alignment horizontal="center" vertical="center" wrapText="1"/>
    </xf>
    <xf numFmtId="0" fontId="2" fillId="10" borderId="1" applyAlignment="1" pivotButton="0" quotePrefix="0" xfId="0">
      <alignment horizontal="center" vertical="center" wrapText="1"/>
    </xf>
    <xf numFmtId="0" fontId="2" fillId="10" borderId="10" applyAlignment="1" pivotButton="0" quotePrefix="0" xfId="0">
      <alignment horizontal="center" vertical="center" wrapText="1"/>
    </xf>
    <xf numFmtId="0" fontId="1" fillId="12" borderId="1" applyAlignment="1" pivotButton="0" quotePrefix="0" xfId="0">
      <alignment horizontal="center" vertical="center" wrapText="1"/>
    </xf>
    <xf numFmtId="0" fontId="0" fillId="12" borderId="5" pivotButton="0" quotePrefix="0" xfId="0"/>
    <xf numFmtId="0" fontId="0" fillId="12" borderId="4" pivotButton="0" quotePrefix="0" xfId="0"/>
    <xf numFmtId="0" fontId="1" fillId="7" borderId="1" applyAlignment="1" pivotButton="0" quotePrefix="0" xfId="0">
      <alignment horizontal="center" vertical="center" wrapText="1"/>
    </xf>
    <xf numFmtId="0" fontId="0" fillId="7" borderId="5" pivotButton="0" quotePrefix="0" xfId="0"/>
    <xf numFmtId="0" fontId="0" fillId="7" borderId="4" pivotButton="0" quotePrefix="0" xfId="0"/>
    <xf numFmtId="0" fontId="0" fillId="5" borderId="5" pivotButton="0" quotePrefix="0" xfId="0"/>
    <xf numFmtId="0" fontId="0" fillId="5" borderId="4" pivotButton="0" quotePrefix="0" xfId="0"/>
    <xf numFmtId="0" fontId="2" fillId="8" borderId="1" applyAlignment="1" pivotButton="0" quotePrefix="0" xfId="0">
      <alignment horizontal="center" vertical="center" wrapText="1"/>
    </xf>
    <xf numFmtId="9" fontId="3" fillId="10" borderId="1" applyAlignment="1" pivotButton="0" quotePrefix="0" xfId="0">
      <alignment horizontal="center" vertical="center" wrapText="1"/>
    </xf>
    <xf numFmtId="0" fontId="3" fillId="3" borderId="1" applyAlignment="1" pivotButton="0" quotePrefix="0" xfId="0">
      <alignment horizontal="center" vertical="center" wrapText="1"/>
    </xf>
    <xf numFmtId="9" fontId="3" fillId="3" borderId="1" applyAlignment="1" pivotButton="0" quotePrefix="0" xfId="0">
      <alignment horizontal="center" vertical="center" wrapText="1"/>
    </xf>
    <xf numFmtId="9" fontId="1" fillId="2" borderId="6" applyAlignment="1" pivotButton="0" quotePrefix="0" xfId="0">
      <alignment horizontal="center" vertical="center" wrapText="1"/>
    </xf>
    <xf numFmtId="0" fontId="1" fillId="2" borderId="1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0" customWidth="1" min="1" max="1"/>
    <col width="32" customWidth="1" min="2" max="2"/>
  </cols>
  <sheetData>
    <row r="1" ht="24" customHeight="1">
      <c r="A1" s="1" t="inlineStr">
        <is>
          <t>PROJECT — Project Header (enter once)</t>
        </is>
      </c>
      <c r="B1" s="2" t="n"/>
    </row>
    <row r="3">
      <c r="A3" s="3" t="inlineStr">
        <is>
          <t>Project Name</t>
        </is>
      </c>
      <c r="B3" s="4" t="n"/>
    </row>
    <row r="4">
      <c r="A4" s="3" t="inlineStr">
        <is>
          <t>Project Number</t>
        </is>
      </c>
      <c r="B4" s="4" t="n"/>
    </row>
    <row r="5">
      <c r="A5" s="3" t="inlineStr">
        <is>
          <t>MS4 / CSS</t>
        </is>
      </c>
      <c r="B5" s="4" t="n"/>
    </row>
    <row r="6">
      <c r="A6" s="3" t="inlineStr">
        <is>
          <t>In AWDZ?</t>
        </is>
      </c>
      <c r="B6" s="4" t="n"/>
    </row>
    <row r="7">
      <c r="A7" s="3" t="inlineStr">
        <is>
          <t>DOEE Plan Review No.</t>
        </is>
      </c>
      <c r="B7" s="4" t="n"/>
    </row>
    <row r="8">
      <c r="A8" s="3" t="inlineStr">
        <is>
          <t>Total LOD Area (SF)</t>
        </is>
      </c>
      <c r="B8" s="4" t="n"/>
    </row>
    <row r="9">
      <c r="A9" s="3" t="inlineStr">
        <is>
          <t>95th Percentile Storm Depth (in)</t>
        </is>
      </c>
      <c r="B9" s="4" t="n">
        <v>1.7</v>
      </c>
    </row>
    <row r="10">
      <c r="A10" s="3" t="inlineStr">
        <is>
          <t>Trigger Type</t>
        </is>
      </c>
      <c r="B10" s="4" t="n"/>
    </row>
    <row r="11">
      <c r="A11" s="3" t="inlineStr">
        <is>
          <t>EISA Section 438 Applies?</t>
        </is>
      </c>
      <c r="B11" s="4" t="n"/>
    </row>
  </sheetData>
  <mergeCells count="1">
    <mergeCell ref="A1:B1"/>
  </mergeCells>
  <dataValidations count="4">
    <dataValidation sqref="B5" showDropDown="0" showInputMessage="0" showErrorMessage="0" allowBlank="1" type="list">
      <formula1>"MS4,CSS"</formula1>
    </dataValidation>
    <dataValidation sqref="B6" showDropDown="0" showInputMessage="0" showErrorMessage="0" allowBlank="1" type="list">
      <formula1>"Yes,No"</formula1>
    </dataValidation>
    <dataValidation sqref="B10" showDropDown="0" showInputMessage="0" showErrorMessage="0" allowBlank="1" type="list">
      <formula1>"MLD,MSI,PROW"</formula1>
    </dataValidation>
    <dataValidation sqref="B1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showGridLines="0" workbookViewId="0">
      <selection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s>
  <sheetData>
    <row r="1" ht="24" customHeight="1">
      <c r="A1" s="1" t="inlineStr">
        <is>
          <t>PARAMS — Locked Lookup Tables (do not edit)</t>
        </is>
      </c>
      <c r="B1" s="5" t="n"/>
      <c r="C1" s="5" t="n"/>
      <c r="D1" s="5" t="n"/>
      <c r="E1" s="5" t="n"/>
      <c r="F1" s="5" t="n"/>
      <c r="G1" s="2" t="n"/>
    </row>
    <row r="5">
      <c r="A5" s="6" t="inlineStr">
        <is>
          <t>Runoff Coefficients (Rv) for SWRv</t>
        </is>
      </c>
      <c r="B5" s="7" t="n"/>
      <c r="C5" s="7" t="n"/>
      <c r="D5" s="7" t="n"/>
      <c r="E5" s="7" t="n"/>
      <c r="F5" s="7" t="n"/>
      <c r="G5" s="8" t="n"/>
    </row>
    <row r="6">
      <c r="A6" s="9" t="inlineStr">
        <is>
          <t>Land Use</t>
        </is>
      </c>
      <c r="B6" s="9" t="inlineStr">
        <is>
          <t>Rv</t>
        </is>
      </c>
    </row>
    <row r="7">
      <c r="A7" s="10" t="inlineStr">
        <is>
          <t>Impervious Vehicular</t>
        </is>
      </c>
      <c r="B7" s="10" t="n">
        <v>0.95</v>
      </c>
    </row>
    <row r="8">
      <c r="A8" s="10" t="inlineStr">
        <is>
          <t>Impervious Non-Vehicular</t>
        </is>
      </c>
      <c r="B8" s="10" t="n">
        <v>0.95</v>
      </c>
    </row>
    <row r="9">
      <c r="A9" s="10" t="inlineStr">
        <is>
          <t>Compacted (Open Space)</t>
        </is>
      </c>
      <c r="B9" s="10" t="n">
        <v>0.25</v>
      </c>
    </row>
    <row r="10">
      <c r="A10" s="10" t="inlineStr">
        <is>
          <t>Natural (Woods)</t>
        </is>
      </c>
      <c r="B10" s="10" t="n">
        <v>0</v>
      </c>
    </row>
    <row r="11">
      <c r="A11" s="10" t="inlineStr">
        <is>
          <t>BMP</t>
        </is>
      </c>
      <c r="B11" s="10" t="n">
        <v>0</v>
      </c>
    </row>
    <row r="13">
      <c r="A13" s="11" t="inlineStr">
        <is>
          <t>TR-55 Curve Numbers by Land Use × HSG</t>
        </is>
      </c>
      <c r="B13" s="12" t="n"/>
      <c r="C13" s="12" t="n"/>
      <c r="D13" s="12" t="n"/>
      <c r="E13" s="12" t="n"/>
      <c r="F13" s="12" t="n"/>
      <c r="G13" s="13" t="n"/>
    </row>
    <row r="14">
      <c r="A14" s="14" t="inlineStr">
        <is>
          <t>Land Use</t>
        </is>
      </c>
      <c r="B14" s="14" t="inlineStr">
        <is>
          <t>HSG A</t>
        </is>
      </c>
      <c r="C14" s="14" t="inlineStr">
        <is>
          <t>HSG B</t>
        </is>
      </c>
      <c r="D14" s="14" t="inlineStr">
        <is>
          <t>HSG C</t>
        </is>
      </c>
      <c r="E14" s="14" t="inlineStr">
        <is>
          <t>HSG D</t>
        </is>
      </c>
    </row>
    <row r="15">
      <c r="A15" s="10" t="inlineStr">
        <is>
          <t>Impervious</t>
        </is>
      </c>
      <c r="B15" s="10" t="n">
        <v>98</v>
      </c>
      <c r="C15" s="10" t="n">
        <v>98</v>
      </c>
      <c r="D15" s="10" t="n">
        <v>98</v>
      </c>
      <c r="E15" s="10" t="n">
        <v>98</v>
      </c>
    </row>
    <row r="16">
      <c r="A16" s="10" t="inlineStr">
        <is>
          <t>BMP</t>
        </is>
      </c>
      <c r="B16" s="10" t="n">
        <v>98</v>
      </c>
      <c r="C16" s="10" t="n">
        <v>98</v>
      </c>
      <c r="D16" s="10" t="n">
        <v>98</v>
      </c>
      <c r="E16" s="10" t="n">
        <v>98</v>
      </c>
    </row>
    <row r="17">
      <c r="A17" s="10" t="inlineStr">
        <is>
          <t>Natural (Woods)</t>
        </is>
      </c>
      <c r="B17" s="10" t="n">
        <v>25</v>
      </c>
      <c r="C17" s="10" t="n">
        <v>55</v>
      </c>
      <c r="D17" s="10" t="n">
        <v>70</v>
      </c>
      <c r="E17" s="10" t="n">
        <v>77</v>
      </c>
    </row>
    <row r="18">
      <c r="A18" s="10" t="inlineStr">
        <is>
          <t>Compacted (Open Space)</t>
        </is>
      </c>
      <c r="B18" s="10" t="n">
        <v>39</v>
      </c>
      <c r="C18" s="10" t="n">
        <v>61</v>
      </c>
      <c r="D18" s="10" t="n">
        <v>74</v>
      </c>
      <c r="E18" s="10" t="n">
        <v>80</v>
      </c>
    </row>
    <row r="20">
      <c r="A20" s="11" t="inlineStr">
        <is>
          <t>Horton Infiltration Parameters</t>
        </is>
      </c>
      <c r="B20" s="12" t="n"/>
      <c r="C20" s="12" t="n"/>
      <c r="D20" s="12" t="n"/>
      <c r="E20" s="12" t="n"/>
      <c r="F20" s="12" t="n"/>
      <c r="G20" s="13" t="n"/>
    </row>
    <row r="21">
      <c r="A21" s="14" t="inlineStr">
        <is>
          <t>Parameter</t>
        </is>
      </c>
      <c r="B21" s="14" t="inlineStr">
        <is>
          <t>HSG B</t>
        </is>
      </c>
      <c r="C21" s="14" t="inlineStr">
        <is>
          <t>HSG C</t>
        </is>
      </c>
    </row>
    <row r="22">
      <c r="A22" s="10" t="inlineStr">
        <is>
          <t>f_max (in/hr)</t>
        </is>
      </c>
      <c r="B22" s="10" t="n">
        <v>5</v>
      </c>
      <c r="C22" s="10" t="n">
        <v>3</v>
      </c>
    </row>
    <row r="23">
      <c r="A23" s="10" t="inlineStr">
        <is>
          <t>f_min (in/hr)</t>
        </is>
      </c>
      <c r="B23" s="10" t="n">
        <v>0.3</v>
      </c>
      <c r="C23" s="10" t="n">
        <v>0.1</v>
      </c>
    </row>
    <row r="24">
      <c r="A24" s="10" t="inlineStr">
        <is>
          <t>k (1/hr)</t>
        </is>
      </c>
      <c r="B24" s="10" t="n">
        <v>2</v>
      </c>
      <c r="C24" s="10" t="n">
        <v>3.5</v>
      </c>
    </row>
    <row r="25">
      <c r="A25" s="10" t="inlineStr">
        <is>
          <t>Δt (hr)</t>
        </is>
      </c>
      <c r="B25" s="10" t="n">
        <v>0.5</v>
      </c>
      <c r="C25" s="10" t="n">
        <v>0.5</v>
      </c>
    </row>
    <row r="26">
      <c r="A26" s="14" t="inlineStr">
        <is>
          <t>Infil Loss over 24 hr (in)</t>
        </is>
      </c>
      <c r="B26" s="10" t="n">
        <v>9.549999999999999</v>
      </c>
      <c r="C26" s="10" t="n">
        <v>3.228571428571429</v>
      </c>
    </row>
    <row r="28">
      <c r="A28" s="6" t="inlineStr">
        <is>
          <t>Depression Storage</t>
        </is>
      </c>
      <c r="B28" s="7" t="n"/>
      <c r="C28" s="7" t="n"/>
      <c r="D28" s="7" t="n"/>
      <c r="E28" s="7" t="n"/>
      <c r="F28" s="7" t="n"/>
      <c r="G28" s="8" t="n"/>
    </row>
    <row r="29">
      <c r="A29" s="9" t="inlineStr">
        <is>
          <t>Surface</t>
        </is>
      </c>
      <c r="B29" s="9" t="inlineStr">
        <is>
          <t>Depth (in)</t>
        </is>
      </c>
    </row>
    <row r="30">
      <c r="A30" s="10" t="inlineStr">
        <is>
          <t>Impervious (roof/pavement)</t>
        </is>
      </c>
      <c r="B30" s="10" t="n">
        <v>0.1</v>
      </c>
    </row>
    <row r="31">
      <c r="A31" s="10" t="inlineStr">
        <is>
          <t>Pervious</t>
        </is>
      </c>
      <c r="B31" s="10" t="n">
        <v>0.2</v>
      </c>
    </row>
    <row r="32">
      <c r="A32" s="10" t="inlineStr">
        <is>
          <t>BMP surface</t>
        </is>
      </c>
      <c r="B32" s="10" t="n">
        <v>0.1</v>
      </c>
    </row>
    <row r="34">
      <c r="A34" s="6" t="inlineStr">
        <is>
          <t>BMP Design Parameters</t>
        </is>
      </c>
      <c r="B34" s="7" t="n"/>
      <c r="C34" s="7" t="n"/>
      <c r="D34" s="7" t="n"/>
      <c r="E34" s="7" t="n"/>
      <c r="F34" s="7" t="n"/>
      <c r="G34" s="8" t="n"/>
    </row>
    <row r="35">
      <c r="A35" s="9" t="inlineStr">
        <is>
          <t>BMP Type</t>
        </is>
      </c>
      <c r="B35" s="9" t="inlineStr">
        <is>
          <t>Sub-Type</t>
        </is>
      </c>
      <c r="C35" s="9" t="inlineStr">
        <is>
          <t>n_media</t>
        </is>
      </c>
      <c r="D35" s="9" t="inlineStr">
        <is>
          <t>n_gravel</t>
        </is>
      </c>
      <c r="E35" s="9" t="inlineStr">
        <is>
          <t>n_reservoir</t>
        </is>
      </c>
      <c r="F35" s="9" t="inlineStr">
        <is>
          <t>Ret. Multiplier</t>
        </is>
      </c>
      <c r="G35" s="9" t="inlineStr">
        <is>
          <t>Max Drawdown (days)</t>
        </is>
      </c>
    </row>
    <row r="36">
      <c r="A36" s="10" t="inlineStr">
        <is>
          <t>Permeable Pavement</t>
        </is>
      </c>
      <c r="B36" s="10" t="inlineStr">
        <is>
          <t>Enhanced</t>
        </is>
      </c>
      <c r="C36" s="15" t="inlineStr">
        <is>
          <t>—</t>
        </is>
      </c>
      <c r="D36" s="15" t="inlineStr">
        <is>
          <t>—</t>
        </is>
      </c>
      <c r="E36" s="10" t="n">
        <v>0.4</v>
      </c>
      <c r="F36" s="10" t="n">
        <v>1</v>
      </c>
      <c r="G36" s="10" t="n">
        <v>2</v>
      </c>
    </row>
    <row r="37">
      <c r="A37" s="10" t="inlineStr">
        <is>
          <t>Permeable Pavement</t>
        </is>
      </c>
      <c r="B37" s="10" t="inlineStr">
        <is>
          <t>Underdrained Enhanced</t>
        </is>
      </c>
      <c r="C37" s="15" t="inlineStr">
        <is>
          <t>—</t>
        </is>
      </c>
      <c r="D37" s="15" t="inlineStr">
        <is>
          <t>—</t>
        </is>
      </c>
      <c r="E37" s="10" t="n">
        <v>0.4</v>
      </c>
      <c r="F37" s="10" t="n">
        <v>0.6</v>
      </c>
      <c r="G37" s="10" t="n">
        <v>2</v>
      </c>
    </row>
    <row r="38">
      <c r="A38" s="10" t="inlineStr">
        <is>
          <t>Bioretention</t>
        </is>
      </c>
      <c r="B38" s="10" t="inlineStr">
        <is>
          <t>Standard</t>
        </is>
      </c>
      <c r="C38" s="10" t="n">
        <v>0.4</v>
      </c>
      <c r="D38" s="10" t="n">
        <v>0.4</v>
      </c>
      <c r="E38" s="15" t="inlineStr">
        <is>
          <t>—</t>
        </is>
      </c>
      <c r="F38" s="10" t="n">
        <v>0.6</v>
      </c>
      <c r="G38" s="10" t="n">
        <v>3</v>
      </c>
    </row>
    <row r="39">
      <c r="A39" s="10" t="inlineStr">
        <is>
          <t>Bioretention</t>
        </is>
      </c>
      <c r="B39" s="10" t="inlineStr">
        <is>
          <t>Enhanced</t>
        </is>
      </c>
      <c r="C39" s="10" t="n">
        <v>0.4</v>
      </c>
      <c r="D39" s="10" t="n">
        <v>0.4</v>
      </c>
      <c r="E39" s="15" t="inlineStr">
        <is>
          <t>—</t>
        </is>
      </c>
      <c r="F39" s="10" t="n">
        <v>1</v>
      </c>
      <c r="G39" s="10" t="n">
        <v>3</v>
      </c>
    </row>
    <row r="40">
      <c r="A40" s="10" t="inlineStr">
        <is>
          <t>Bioretention</t>
        </is>
      </c>
      <c r="B40" s="10" t="inlineStr">
        <is>
          <t>Enhanced w/ Underdrain</t>
        </is>
      </c>
      <c r="C40" s="10" t="n">
        <v>0.4</v>
      </c>
      <c r="D40" s="10" t="n">
        <v>0.4</v>
      </c>
      <c r="E40" s="15" t="inlineStr">
        <is>
          <t>—</t>
        </is>
      </c>
      <c r="F40" s="10" t="n">
        <v>0.6</v>
      </c>
      <c r="G40" s="10" t="n">
        <v>3</v>
      </c>
    </row>
    <row r="41">
      <c r="A41" s="10" t="inlineStr">
        <is>
          <t>Dry Swale</t>
        </is>
      </c>
      <c r="B41" s="10" t="inlineStr">
        <is>
          <t>—</t>
        </is>
      </c>
      <c r="C41" s="10" t="n">
        <v>0.4</v>
      </c>
      <c r="D41" s="10" t="n">
        <v>0.4</v>
      </c>
      <c r="E41" s="15" t="inlineStr">
        <is>
          <t>—</t>
        </is>
      </c>
      <c r="F41" s="10" t="n">
        <v>0.6</v>
      </c>
      <c r="G41" s="10" t="n">
        <v>3</v>
      </c>
    </row>
    <row r="42">
      <c r="A42" s="10" t="inlineStr">
        <is>
          <t>Wet Swale</t>
        </is>
      </c>
      <c r="B42" s="10" t="inlineStr">
        <is>
          <t>—</t>
        </is>
      </c>
      <c r="C42" s="15" t="inlineStr">
        <is>
          <t>—</t>
        </is>
      </c>
      <c r="D42" s="15" t="inlineStr">
        <is>
          <t>—</t>
        </is>
      </c>
      <c r="E42" s="15" t="inlineStr">
        <is>
          <t>—</t>
        </is>
      </c>
      <c r="F42" s="10" t="n">
        <v>0.1</v>
      </c>
      <c r="G42" s="15" t="inlineStr">
        <is>
          <t>—</t>
        </is>
      </c>
    </row>
    <row r="44">
      <c r="A44" s="11" t="inlineStr">
        <is>
          <t>Tree Credits</t>
        </is>
      </c>
      <c r="B44" s="12" t="n"/>
      <c r="C44" s="12" t="n"/>
      <c r="D44" s="12" t="n"/>
      <c r="E44" s="12" t="n"/>
      <c r="F44" s="12" t="n"/>
      <c r="G44" s="13" t="n"/>
    </row>
    <row r="45">
      <c r="A45" s="14" t="inlineStr">
        <is>
          <t>Code</t>
        </is>
      </c>
      <c r="B45" s="14" t="inlineStr">
        <is>
          <t>Description</t>
        </is>
      </c>
      <c r="C45" s="14" t="inlineStr">
        <is>
          <t>Rv per unit (CF)</t>
        </is>
      </c>
    </row>
    <row r="46">
      <c r="A46" s="3" t="inlineStr">
        <is>
          <t>T-1 Small</t>
        </is>
      </c>
      <c r="B46" s="10" t="inlineStr">
        <is>
          <t>Planted small tree</t>
        </is>
      </c>
      <c r="C46" s="10" t="n">
        <v>5</v>
      </c>
    </row>
    <row r="47">
      <c r="A47" s="3" t="inlineStr">
        <is>
          <t>T-1 Large</t>
        </is>
      </c>
      <c r="B47" s="10" t="inlineStr">
        <is>
          <t>Planted large tree</t>
        </is>
      </c>
      <c r="C47" s="10" t="n">
        <v>10</v>
      </c>
    </row>
    <row r="48">
      <c r="A48" s="3" t="inlineStr">
        <is>
          <t>T-2 Small</t>
        </is>
      </c>
      <c r="B48" s="10" t="inlineStr">
        <is>
          <t>Preserved small tree</t>
        </is>
      </c>
      <c r="C48" s="10" t="n">
        <v>10</v>
      </c>
    </row>
    <row r="49">
      <c r="A49" s="3" t="inlineStr">
        <is>
          <t>T-2 Large</t>
        </is>
      </c>
      <c r="B49" s="10" t="inlineStr">
        <is>
          <t>Preserved large tree</t>
        </is>
      </c>
      <c r="C49" s="10" t="n">
        <v>20</v>
      </c>
    </row>
    <row r="50">
      <c r="A50" s="3" t="inlineStr">
        <is>
          <t>T-2 Special</t>
        </is>
      </c>
      <c r="B50" s="10" t="inlineStr">
        <is>
          <t>Preserved special tree</t>
        </is>
      </c>
      <c r="C50" s="10" t="n">
        <v>30</v>
      </c>
    </row>
    <row r="51">
      <c r="A51" s="3" t="inlineStr">
        <is>
          <t>T-2 Heritage</t>
        </is>
      </c>
      <c r="B51" s="10" t="inlineStr">
        <is>
          <t>Preserved heritage tree</t>
        </is>
      </c>
      <c r="C51" s="10" t="n">
        <v>40</v>
      </c>
    </row>
    <row r="53">
      <c r="A53" s="6" t="inlineStr">
        <is>
          <t>Detention Storm Depths (DC, from NRCS TR-55)</t>
        </is>
      </c>
      <c r="B53" s="7" t="n"/>
      <c r="C53" s="7" t="n"/>
      <c r="D53" s="7" t="n"/>
      <c r="E53" s="7" t="n"/>
      <c r="F53" s="7" t="n"/>
      <c r="G53" s="8" t="n"/>
    </row>
    <row r="54">
      <c r="A54" s="9" t="inlineStr">
        <is>
          <t>Storm</t>
        </is>
      </c>
      <c r="B54" s="9" t="inlineStr">
        <is>
          <t>Depth (in)</t>
        </is>
      </c>
    </row>
    <row r="55">
      <c r="A55" s="10" t="inlineStr">
        <is>
          <t>2-year</t>
        </is>
      </c>
      <c r="B55" s="10" t="n">
        <v>3.14</v>
      </c>
    </row>
    <row r="56">
      <c r="A56" s="10" t="inlineStr">
        <is>
          <t>15-year</t>
        </is>
      </c>
      <c r="B56" s="10" t="n">
        <v>5.23</v>
      </c>
    </row>
    <row r="57">
      <c r="A57" s="10" t="inlineStr">
        <is>
          <t>100-year</t>
        </is>
      </c>
      <c r="B57" s="10" t="n">
        <v>8.34</v>
      </c>
    </row>
    <row r="59">
      <c r="A59" s="6" t="inlineStr">
        <is>
          <t>DOEE Detention CN Defaults</t>
        </is>
      </c>
      <c r="B59" s="7" t="n"/>
      <c r="C59" s="7" t="n"/>
      <c r="D59" s="7" t="n"/>
      <c r="E59" s="7" t="n"/>
      <c r="F59" s="7" t="n"/>
      <c r="G59" s="8" t="n"/>
    </row>
    <row r="60">
      <c r="A60" s="9" t="inlineStr">
        <is>
          <t>Land Cover</t>
        </is>
      </c>
      <c r="B60" s="9" t="inlineStr">
        <is>
          <t>CN</t>
        </is>
      </c>
    </row>
    <row r="61">
      <c r="A61" s="10" t="inlineStr">
        <is>
          <t>Natural</t>
        </is>
      </c>
      <c r="B61" s="10" t="n">
        <v>70</v>
      </c>
    </row>
    <row r="62">
      <c r="A62" s="10" t="inlineStr">
        <is>
          <t>Compacted</t>
        </is>
      </c>
      <c r="B62" s="10" t="n">
        <v>74</v>
      </c>
    </row>
    <row r="63">
      <c r="A63" s="10" t="inlineStr">
        <is>
          <t>Impervious</t>
        </is>
      </c>
      <c r="B63" s="10" t="n">
        <v>98</v>
      </c>
    </row>
    <row r="64">
      <c r="A64" s="10" t="inlineStr">
        <is>
          <t>BMP</t>
        </is>
      </c>
      <c r="B64" s="10" t="n">
        <v>98</v>
      </c>
    </row>
    <row r="66">
      <c r="A66" s="6" t="inlineStr">
        <is>
          <t>Default Ksat by HSG (ft/day)</t>
        </is>
      </c>
      <c r="B66" s="7" t="n"/>
      <c r="C66" s="7" t="n"/>
      <c r="D66" s="7" t="n"/>
      <c r="E66" s="7" t="n"/>
      <c r="F66" s="7" t="n"/>
      <c r="G66" s="8" t="n"/>
    </row>
    <row r="67">
      <c r="A67" s="9" t="inlineStr">
        <is>
          <t>HSG</t>
        </is>
      </c>
      <c r="B67" s="9" t="inlineStr">
        <is>
          <t>Ksat (ft/day)</t>
        </is>
      </c>
    </row>
    <row r="68">
      <c r="A68" s="3" t="inlineStr">
        <is>
          <t>A</t>
        </is>
      </c>
      <c r="B68" s="10" t="n">
        <v>4.8</v>
      </c>
    </row>
    <row r="69">
      <c r="A69" s="3" t="inlineStr">
        <is>
          <t>B</t>
        </is>
      </c>
      <c r="B69" s="10" t="n">
        <v>1</v>
      </c>
    </row>
    <row r="70">
      <c r="A70" s="3" t="inlineStr">
        <is>
          <t>C</t>
        </is>
      </c>
      <c r="B70" s="10" t="n">
        <v>0.2</v>
      </c>
    </row>
    <row r="71">
      <c r="A71" s="3" t="inlineStr">
        <is>
          <t>D</t>
        </is>
      </c>
      <c r="B71" s="10" t="n">
        <v>0.06</v>
      </c>
    </row>
  </sheetData>
  <mergeCells count="10">
    <mergeCell ref="A13:G13"/>
    <mergeCell ref="A66:G66"/>
    <mergeCell ref="A44:G44"/>
    <mergeCell ref="A1:G1"/>
    <mergeCell ref="A53:G53"/>
    <mergeCell ref="A34:G34"/>
    <mergeCell ref="A20:G20"/>
    <mergeCell ref="A59:G59"/>
    <mergeCell ref="A28:G28"/>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7"/>
  <sheetViews>
    <sheetView showGridLines="0" workbookViewId="0">
      <selection activeCell="A1" sqref="A1"/>
    </sheetView>
  </sheetViews>
  <sheetFormatPr baseColWidth="8" defaultRowHeight="15"/>
  <cols>
    <col width="12" customWidth="1" min="1" max="1"/>
    <col width="10" customWidth="1" min="2" max="2"/>
    <col width="24" customWidth="1" min="3" max="3"/>
    <col width="8" customWidth="1" min="4" max="4"/>
    <col width="14" customWidth="1" min="5" max="5"/>
    <col width="14" customWidth="1" min="6" max="6"/>
    <col width="14" customWidth="1" min="7" max="7"/>
    <col width="14" customWidth="1" min="8" max="8"/>
    <col width="8" customWidth="1" min="9" max="9"/>
    <col width="11" customWidth="1" min="10" max="10"/>
    <col width="14" customWidth="1" min="11" max="11"/>
    <col width="14" customWidth="1" min="12" max="12"/>
    <col width="14" customWidth="1" min="13" max="13"/>
    <col width="14" customWidth="1" min="14" max="14"/>
  </cols>
  <sheetData>
    <row r="1" ht="24" customHeight="1">
      <c r="A1" s="1" t="inlineStr">
        <is>
          <t>SDA — Site Drainage Areas (one row per SDA × Land Use × HSG)</t>
        </is>
      </c>
      <c r="B1" s="5" t="n"/>
      <c r="C1" s="5" t="n"/>
      <c r="D1" s="5" t="n"/>
      <c r="E1" s="5" t="n"/>
      <c r="F1" s="5" t="n"/>
      <c r="G1" s="5" t="n"/>
      <c r="H1" s="5" t="n"/>
      <c r="I1" s="5" t="n"/>
      <c r="J1" s="5" t="n"/>
      <c r="K1" s="5" t="n"/>
      <c r="L1" s="5" t="n"/>
      <c r="M1" s="5" t="n"/>
      <c r="N1" s="2" t="n"/>
    </row>
    <row r="3" ht="36" customHeight="1">
      <c r="A3" s="16" t="inlineStr">
        <is>
          <t>SDA_ID</t>
        </is>
      </c>
      <c r="B3" s="16" t="inlineStr">
        <is>
          <t>In PROW?</t>
        </is>
      </c>
      <c r="C3" s="16" t="inlineStr">
        <is>
          <t>Land Use</t>
        </is>
      </c>
      <c r="D3" s="16" t="inlineStr">
        <is>
          <t>HSG</t>
        </is>
      </c>
      <c r="E3" s="16" t="inlineStr">
        <is>
          <t>Pre Within LOD (SF)</t>
        </is>
      </c>
      <c r="F3" s="16" t="inlineStr">
        <is>
          <t>Pre Outside LOD (SF)</t>
        </is>
      </c>
      <c r="G3" s="16" t="inlineStr">
        <is>
          <t>Post Within LOD (SF)</t>
        </is>
      </c>
      <c r="H3" s="16" t="inlineStr">
        <is>
          <t>Post Outside LOD (SF)</t>
        </is>
      </c>
      <c r="I3" s="16" t="inlineStr">
        <is>
          <t>Rv</t>
        </is>
      </c>
      <c r="J3" s="16" t="inlineStr">
        <is>
          <t>Rainfall (in)</t>
        </is>
      </c>
      <c r="K3" s="16" t="inlineStr">
        <is>
          <t>Pre SWRv Within (CF)</t>
        </is>
      </c>
      <c r="L3" s="16" t="inlineStr">
        <is>
          <t>Pre SWRv Outside (CF)</t>
        </is>
      </c>
      <c r="M3" s="16" t="inlineStr">
        <is>
          <t>Post SWRv Within (CF)</t>
        </is>
      </c>
      <c r="N3" s="16" t="inlineStr">
        <is>
          <t>Post SWRv Outside (CF)</t>
        </is>
      </c>
    </row>
    <row r="4">
      <c r="A4" s="4" t="n"/>
      <c r="B4" s="4" t="n"/>
      <c r="C4" s="4" t="n"/>
      <c r="D4" s="4" t="n"/>
      <c r="E4" s="4" t="n"/>
      <c r="F4" s="4" t="n"/>
      <c r="G4" s="4" t="n"/>
      <c r="H4" s="4" t="n"/>
      <c r="I4" s="17">
        <f>IFERROR(VLOOKUP(C4,PARAMS_Rv,2,FALSE),"")</f>
        <v/>
      </c>
      <c r="J4" s="17">
        <f>IF(B4="Yes",0,PROJECT_Rainfall)</f>
        <v/>
      </c>
      <c r="K4" s="17">
        <f>IFERROR(E4*I4*J4/12,0)</f>
        <v/>
      </c>
      <c r="L4" s="17">
        <f>IFERROR(F4*I4*J4/12,0)</f>
        <v/>
      </c>
      <c r="M4" s="17">
        <f>IFERROR(G4*I4*J4/12,0)</f>
        <v/>
      </c>
      <c r="N4" s="17">
        <f>IFERROR(H4*I4*J4/12,0)</f>
        <v/>
      </c>
    </row>
    <row r="5">
      <c r="A5" s="4" t="n"/>
      <c r="B5" s="4" t="n"/>
      <c r="C5" s="4" t="n"/>
      <c r="D5" s="4" t="n"/>
      <c r="E5" s="4" t="n"/>
      <c r="F5" s="4" t="n"/>
      <c r="G5" s="4" t="n"/>
      <c r="H5" s="4" t="n"/>
      <c r="I5" s="17">
        <f>IFERROR(VLOOKUP(C5,PARAMS_Rv,2,FALSE),"")</f>
        <v/>
      </c>
      <c r="J5" s="17">
        <f>IF(B5="Yes",0,PROJECT_Rainfall)</f>
        <v/>
      </c>
      <c r="K5" s="17">
        <f>IFERROR(E5*I5*J5/12,0)</f>
        <v/>
      </c>
      <c r="L5" s="17">
        <f>IFERROR(F5*I5*J5/12,0)</f>
        <v/>
      </c>
      <c r="M5" s="17">
        <f>IFERROR(G5*I5*J5/12,0)</f>
        <v/>
      </c>
      <c r="N5" s="17">
        <f>IFERROR(H5*I5*J5/12,0)</f>
        <v/>
      </c>
    </row>
    <row r="6">
      <c r="A6" s="4" t="n"/>
      <c r="B6" s="4" t="n"/>
      <c r="C6" s="4" t="n"/>
      <c r="D6" s="4" t="n"/>
      <c r="E6" s="4" t="n"/>
      <c r="F6" s="4" t="n"/>
      <c r="G6" s="4" t="n"/>
      <c r="H6" s="4" t="n"/>
      <c r="I6" s="17">
        <f>IFERROR(VLOOKUP(C6,PARAMS_Rv,2,FALSE),"")</f>
        <v/>
      </c>
      <c r="J6" s="17">
        <f>IF(B6="Yes",0,PROJECT_Rainfall)</f>
        <v/>
      </c>
      <c r="K6" s="17">
        <f>IFERROR(E6*I6*J6/12,0)</f>
        <v/>
      </c>
      <c r="L6" s="17">
        <f>IFERROR(F6*I6*J6/12,0)</f>
        <v/>
      </c>
      <c r="M6" s="17">
        <f>IFERROR(G6*I6*J6/12,0)</f>
        <v/>
      </c>
      <c r="N6" s="17">
        <f>IFERROR(H6*I6*J6/12,0)</f>
        <v/>
      </c>
    </row>
    <row r="7">
      <c r="A7" s="4" t="n"/>
      <c r="B7" s="4" t="n"/>
      <c r="C7" s="4" t="n"/>
      <c r="D7" s="4" t="n"/>
      <c r="E7" s="4" t="n"/>
      <c r="F7" s="4" t="n"/>
      <c r="G7" s="4" t="n"/>
      <c r="H7" s="4" t="n"/>
      <c r="I7" s="17">
        <f>IFERROR(VLOOKUP(C7,PARAMS_Rv,2,FALSE),"")</f>
        <v/>
      </c>
      <c r="J7" s="17">
        <f>IF(B7="Yes",0,PROJECT_Rainfall)</f>
        <v/>
      </c>
      <c r="K7" s="17">
        <f>IFERROR(E7*I7*J7/12,0)</f>
        <v/>
      </c>
      <c r="L7" s="17">
        <f>IFERROR(F7*I7*J7/12,0)</f>
        <v/>
      </c>
      <c r="M7" s="17">
        <f>IFERROR(G7*I7*J7/12,0)</f>
        <v/>
      </c>
      <c r="N7" s="17">
        <f>IFERROR(H7*I7*J7/12,0)</f>
        <v/>
      </c>
    </row>
    <row r="8">
      <c r="A8" s="4" t="n"/>
      <c r="B8" s="4" t="n"/>
      <c r="C8" s="4" t="n"/>
      <c r="D8" s="4" t="n"/>
      <c r="E8" s="4" t="n"/>
      <c r="F8" s="4" t="n"/>
      <c r="G8" s="4" t="n"/>
      <c r="H8" s="4" t="n"/>
      <c r="I8" s="17">
        <f>IFERROR(VLOOKUP(C8,PARAMS_Rv,2,FALSE),"")</f>
        <v/>
      </c>
      <c r="J8" s="17">
        <f>IF(B8="Yes",0,PROJECT_Rainfall)</f>
        <v/>
      </c>
      <c r="K8" s="17">
        <f>IFERROR(E8*I8*J8/12,0)</f>
        <v/>
      </c>
      <c r="L8" s="17">
        <f>IFERROR(F8*I8*J8/12,0)</f>
        <v/>
      </c>
      <c r="M8" s="17">
        <f>IFERROR(G8*I8*J8/12,0)</f>
        <v/>
      </c>
      <c r="N8" s="17">
        <f>IFERROR(H8*I8*J8/12,0)</f>
        <v/>
      </c>
    </row>
    <row r="9">
      <c r="A9" s="4" t="n"/>
      <c r="B9" s="4" t="n"/>
      <c r="C9" s="4" t="n"/>
      <c r="D9" s="4" t="n"/>
      <c r="E9" s="4" t="n"/>
      <c r="F9" s="4" t="n"/>
      <c r="G9" s="4" t="n"/>
      <c r="H9" s="4" t="n"/>
      <c r="I9" s="17">
        <f>IFERROR(VLOOKUP(C9,PARAMS_Rv,2,FALSE),"")</f>
        <v/>
      </c>
      <c r="J9" s="17">
        <f>IF(B9="Yes",0,PROJECT_Rainfall)</f>
        <v/>
      </c>
      <c r="K9" s="17">
        <f>IFERROR(E9*I9*J9/12,0)</f>
        <v/>
      </c>
      <c r="L9" s="17">
        <f>IFERROR(F9*I9*J9/12,0)</f>
        <v/>
      </c>
      <c r="M9" s="17">
        <f>IFERROR(G9*I9*J9/12,0)</f>
        <v/>
      </c>
      <c r="N9" s="17">
        <f>IFERROR(H9*I9*J9/12,0)</f>
        <v/>
      </c>
    </row>
    <row r="10">
      <c r="A10" s="4" t="n"/>
      <c r="B10" s="4" t="n"/>
      <c r="C10" s="4" t="n"/>
      <c r="D10" s="4" t="n"/>
      <c r="E10" s="4" t="n"/>
      <c r="F10" s="4" t="n"/>
      <c r="G10" s="4" t="n"/>
      <c r="H10" s="4" t="n"/>
      <c r="I10" s="17">
        <f>IFERROR(VLOOKUP(C10,PARAMS_Rv,2,FALSE),"")</f>
        <v/>
      </c>
      <c r="J10" s="17">
        <f>IF(B10="Yes",0,PROJECT_Rainfall)</f>
        <v/>
      </c>
      <c r="K10" s="17">
        <f>IFERROR(E10*I10*J10/12,0)</f>
        <v/>
      </c>
      <c r="L10" s="17">
        <f>IFERROR(F10*I10*J10/12,0)</f>
        <v/>
      </c>
      <c r="M10" s="17">
        <f>IFERROR(G10*I10*J10/12,0)</f>
        <v/>
      </c>
      <c r="N10" s="17">
        <f>IFERROR(H10*I10*J10/12,0)</f>
        <v/>
      </c>
    </row>
    <row r="11">
      <c r="A11" s="4" t="n"/>
      <c r="B11" s="4" t="n"/>
      <c r="C11" s="4" t="n"/>
      <c r="D11" s="4" t="n"/>
      <c r="E11" s="4" t="n"/>
      <c r="F11" s="4" t="n"/>
      <c r="G11" s="4" t="n"/>
      <c r="H11" s="4" t="n"/>
      <c r="I11" s="17">
        <f>IFERROR(VLOOKUP(C11,PARAMS_Rv,2,FALSE),"")</f>
        <v/>
      </c>
      <c r="J11" s="17">
        <f>IF(B11="Yes",0,PROJECT_Rainfall)</f>
        <v/>
      </c>
      <c r="K11" s="17">
        <f>IFERROR(E11*I11*J11/12,0)</f>
        <v/>
      </c>
      <c r="L11" s="17">
        <f>IFERROR(F11*I11*J11/12,0)</f>
        <v/>
      </c>
      <c r="M11" s="17">
        <f>IFERROR(G11*I11*J11/12,0)</f>
        <v/>
      </c>
      <c r="N11" s="17">
        <f>IFERROR(H11*I11*J11/12,0)</f>
        <v/>
      </c>
    </row>
    <row r="12">
      <c r="A12" s="4" t="n"/>
      <c r="B12" s="4" t="n"/>
      <c r="C12" s="4" t="n"/>
      <c r="D12" s="4" t="n"/>
      <c r="E12" s="4" t="n"/>
      <c r="F12" s="4" t="n"/>
      <c r="G12" s="4" t="n"/>
      <c r="H12" s="4" t="n"/>
      <c r="I12" s="17">
        <f>IFERROR(VLOOKUP(C12,PARAMS_Rv,2,FALSE),"")</f>
        <v/>
      </c>
      <c r="J12" s="17">
        <f>IF(B12="Yes",0,PROJECT_Rainfall)</f>
        <v/>
      </c>
      <c r="K12" s="17">
        <f>IFERROR(E12*I12*J12/12,0)</f>
        <v/>
      </c>
      <c r="L12" s="17">
        <f>IFERROR(F12*I12*J12/12,0)</f>
        <v/>
      </c>
      <c r="M12" s="17">
        <f>IFERROR(G12*I12*J12/12,0)</f>
        <v/>
      </c>
      <c r="N12" s="17">
        <f>IFERROR(H12*I12*J12/12,0)</f>
        <v/>
      </c>
    </row>
    <row r="13">
      <c r="A13" s="4" t="n"/>
      <c r="B13" s="4" t="n"/>
      <c r="C13" s="4" t="n"/>
      <c r="D13" s="4" t="n"/>
      <c r="E13" s="4" t="n"/>
      <c r="F13" s="4" t="n"/>
      <c r="G13" s="4" t="n"/>
      <c r="H13" s="4" t="n"/>
      <c r="I13" s="17">
        <f>IFERROR(VLOOKUP(C13,PARAMS_Rv,2,FALSE),"")</f>
        <v/>
      </c>
      <c r="J13" s="17">
        <f>IF(B13="Yes",0,PROJECT_Rainfall)</f>
        <v/>
      </c>
      <c r="K13" s="17">
        <f>IFERROR(E13*I13*J13/12,0)</f>
        <v/>
      </c>
      <c r="L13" s="17">
        <f>IFERROR(F13*I13*J13/12,0)</f>
        <v/>
      </c>
      <c r="M13" s="17">
        <f>IFERROR(G13*I13*J13/12,0)</f>
        <v/>
      </c>
      <c r="N13" s="17">
        <f>IFERROR(H13*I13*J13/12,0)</f>
        <v/>
      </c>
    </row>
    <row r="14">
      <c r="A14" s="4" t="n"/>
      <c r="B14" s="4" t="n"/>
      <c r="C14" s="4" t="n"/>
      <c r="D14" s="4" t="n"/>
      <c r="E14" s="4" t="n"/>
      <c r="F14" s="4" t="n"/>
      <c r="G14" s="4" t="n"/>
      <c r="H14" s="4" t="n"/>
      <c r="I14" s="17">
        <f>IFERROR(VLOOKUP(C14,PARAMS_Rv,2,FALSE),"")</f>
        <v/>
      </c>
      <c r="J14" s="17">
        <f>IF(B14="Yes",0,PROJECT_Rainfall)</f>
        <v/>
      </c>
      <c r="K14" s="17">
        <f>IFERROR(E14*I14*J14/12,0)</f>
        <v/>
      </c>
      <c r="L14" s="17">
        <f>IFERROR(F14*I14*J14/12,0)</f>
        <v/>
      </c>
      <c r="M14" s="17">
        <f>IFERROR(G14*I14*J14/12,0)</f>
        <v/>
      </c>
      <c r="N14" s="17">
        <f>IFERROR(H14*I14*J14/12,0)</f>
        <v/>
      </c>
    </row>
    <row r="15">
      <c r="A15" s="4" t="n"/>
      <c r="B15" s="4" t="n"/>
      <c r="C15" s="4" t="n"/>
      <c r="D15" s="4" t="n"/>
      <c r="E15" s="4" t="n"/>
      <c r="F15" s="4" t="n"/>
      <c r="G15" s="4" t="n"/>
      <c r="H15" s="4" t="n"/>
      <c r="I15" s="17">
        <f>IFERROR(VLOOKUP(C15,PARAMS_Rv,2,FALSE),"")</f>
        <v/>
      </c>
      <c r="J15" s="17">
        <f>IF(B15="Yes",0,PROJECT_Rainfall)</f>
        <v/>
      </c>
      <c r="K15" s="17">
        <f>IFERROR(E15*I15*J15/12,0)</f>
        <v/>
      </c>
      <c r="L15" s="17">
        <f>IFERROR(F15*I15*J15/12,0)</f>
        <v/>
      </c>
      <c r="M15" s="17">
        <f>IFERROR(G15*I15*J15/12,0)</f>
        <v/>
      </c>
      <c r="N15" s="17">
        <f>IFERROR(H15*I15*J15/12,0)</f>
        <v/>
      </c>
    </row>
    <row r="16">
      <c r="A16" s="4" t="n"/>
      <c r="B16" s="4" t="n"/>
      <c r="C16" s="4" t="n"/>
      <c r="D16" s="4" t="n"/>
      <c r="E16" s="4" t="n"/>
      <c r="F16" s="4" t="n"/>
      <c r="G16" s="4" t="n"/>
      <c r="H16" s="4" t="n"/>
      <c r="I16" s="17">
        <f>IFERROR(VLOOKUP(C16,PARAMS_Rv,2,FALSE),"")</f>
        <v/>
      </c>
      <c r="J16" s="17">
        <f>IF(B16="Yes",0,PROJECT_Rainfall)</f>
        <v/>
      </c>
      <c r="K16" s="17">
        <f>IFERROR(E16*I16*J16/12,0)</f>
        <v/>
      </c>
      <c r="L16" s="17">
        <f>IFERROR(F16*I16*J16/12,0)</f>
        <v/>
      </c>
      <c r="M16" s="17">
        <f>IFERROR(G16*I16*J16/12,0)</f>
        <v/>
      </c>
      <c r="N16" s="17">
        <f>IFERROR(H16*I16*J16/12,0)</f>
        <v/>
      </c>
    </row>
    <row r="17">
      <c r="A17" s="4" t="n"/>
      <c r="B17" s="4" t="n"/>
      <c r="C17" s="4" t="n"/>
      <c r="D17" s="4" t="n"/>
      <c r="E17" s="4" t="n"/>
      <c r="F17" s="4" t="n"/>
      <c r="G17" s="4" t="n"/>
      <c r="H17" s="4" t="n"/>
      <c r="I17" s="17">
        <f>IFERROR(VLOOKUP(C17,PARAMS_Rv,2,FALSE),"")</f>
        <v/>
      </c>
      <c r="J17" s="17">
        <f>IF(B17="Yes",0,PROJECT_Rainfall)</f>
        <v/>
      </c>
      <c r="K17" s="17">
        <f>IFERROR(E17*I17*J17/12,0)</f>
        <v/>
      </c>
      <c r="L17" s="17">
        <f>IFERROR(F17*I17*J17/12,0)</f>
        <v/>
      </c>
      <c r="M17" s="17">
        <f>IFERROR(G17*I17*J17/12,0)</f>
        <v/>
      </c>
      <c r="N17" s="17">
        <f>IFERROR(H17*I17*J17/12,0)</f>
        <v/>
      </c>
    </row>
    <row r="18">
      <c r="A18" s="4" t="n"/>
      <c r="B18" s="4" t="n"/>
      <c r="C18" s="4" t="n"/>
      <c r="D18" s="4" t="n"/>
      <c r="E18" s="4" t="n"/>
      <c r="F18" s="4" t="n"/>
      <c r="G18" s="4" t="n"/>
      <c r="H18" s="4" t="n"/>
      <c r="I18" s="17">
        <f>IFERROR(VLOOKUP(C18,PARAMS_Rv,2,FALSE),"")</f>
        <v/>
      </c>
      <c r="J18" s="17">
        <f>IF(B18="Yes",0,PROJECT_Rainfall)</f>
        <v/>
      </c>
      <c r="K18" s="17">
        <f>IFERROR(E18*I18*J18/12,0)</f>
        <v/>
      </c>
      <c r="L18" s="17">
        <f>IFERROR(F18*I18*J18/12,0)</f>
        <v/>
      </c>
      <c r="M18" s="17">
        <f>IFERROR(G18*I18*J18/12,0)</f>
        <v/>
      </c>
      <c r="N18" s="17">
        <f>IFERROR(H18*I18*J18/12,0)</f>
        <v/>
      </c>
    </row>
    <row r="19">
      <c r="A19" s="4" t="n"/>
      <c r="B19" s="4" t="n"/>
      <c r="C19" s="4" t="n"/>
      <c r="D19" s="4" t="n"/>
      <c r="E19" s="4" t="n"/>
      <c r="F19" s="4" t="n"/>
      <c r="G19" s="4" t="n"/>
      <c r="H19" s="4" t="n"/>
      <c r="I19" s="17">
        <f>IFERROR(VLOOKUP(C19,PARAMS_Rv,2,FALSE),"")</f>
        <v/>
      </c>
      <c r="J19" s="17">
        <f>IF(B19="Yes",0,PROJECT_Rainfall)</f>
        <v/>
      </c>
      <c r="K19" s="17">
        <f>IFERROR(E19*I19*J19/12,0)</f>
        <v/>
      </c>
      <c r="L19" s="17">
        <f>IFERROR(F19*I19*J19/12,0)</f>
        <v/>
      </c>
      <c r="M19" s="17">
        <f>IFERROR(G19*I19*J19/12,0)</f>
        <v/>
      </c>
      <c r="N19" s="17">
        <f>IFERROR(H19*I19*J19/12,0)</f>
        <v/>
      </c>
    </row>
    <row r="20">
      <c r="A20" s="4" t="n"/>
      <c r="B20" s="4" t="n"/>
      <c r="C20" s="4" t="n"/>
      <c r="D20" s="4" t="n"/>
      <c r="E20" s="4" t="n"/>
      <c r="F20" s="4" t="n"/>
      <c r="G20" s="4" t="n"/>
      <c r="H20" s="4" t="n"/>
      <c r="I20" s="17">
        <f>IFERROR(VLOOKUP(C20,PARAMS_Rv,2,FALSE),"")</f>
        <v/>
      </c>
      <c r="J20" s="17">
        <f>IF(B20="Yes",0,PROJECT_Rainfall)</f>
        <v/>
      </c>
      <c r="K20" s="17">
        <f>IFERROR(E20*I20*J20/12,0)</f>
        <v/>
      </c>
      <c r="L20" s="17">
        <f>IFERROR(F20*I20*J20/12,0)</f>
        <v/>
      </c>
      <c r="M20" s="17">
        <f>IFERROR(G20*I20*J20/12,0)</f>
        <v/>
      </c>
      <c r="N20" s="17">
        <f>IFERROR(H20*I20*J20/12,0)</f>
        <v/>
      </c>
    </row>
    <row r="21">
      <c r="A21" s="4" t="n"/>
      <c r="B21" s="4" t="n"/>
      <c r="C21" s="4" t="n"/>
      <c r="D21" s="4" t="n"/>
      <c r="E21" s="4" t="n"/>
      <c r="F21" s="4" t="n"/>
      <c r="G21" s="4" t="n"/>
      <c r="H21" s="4" t="n"/>
      <c r="I21" s="17">
        <f>IFERROR(VLOOKUP(C21,PARAMS_Rv,2,FALSE),"")</f>
        <v/>
      </c>
      <c r="J21" s="17">
        <f>IF(B21="Yes",0,PROJECT_Rainfall)</f>
        <v/>
      </c>
      <c r="K21" s="17">
        <f>IFERROR(E21*I21*J21/12,0)</f>
        <v/>
      </c>
      <c r="L21" s="17">
        <f>IFERROR(F21*I21*J21/12,0)</f>
        <v/>
      </c>
      <c r="M21" s="17">
        <f>IFERROR(G21*I21*J21/12,0)</f>
        <v/>
      </c>
      <c r="N21" s="17">
        <f>IFERROR(H21*I21*J21/12,0)</f>
        <v/>
      </c>
    </row>
    <row r="22">
      <c r="A22" s="4" t="n"/>
      <c r="B22" s="4" t="n"/>
      <c r="C22" s="4" t="n"/>
      <c r="D22" s="4" t="n"/>
      <c r="E22" s="4" t="n"/>
      <c r="F22" s="4" t="n"/>
      <c r="G22" s="4" t="n"/>
      <c r="H22" s="4" t="n"/>
      <c r="I22" s="17">
        <f>IFERROR(VLOOKUP(C22,PARAMS_Rv,2,FALSE),"")</f>
        <v/>
      </c>
      <c r="J22" s="17">
        <f>IF(B22="Yes",0,PROJECT_Rainfall)</f>
        <v/>
      </c>
      <c r="K22" s="17">
        <f>IFERROR(E22*I22*J22/12,0)</f>
        <v/>
      </c>
      <c r="L22" s="17">
        <f>IFERROR(F22*I22*J22/12,0)</f>
        <v/>
      </c>
      <c r="M22" s="17">
        <f>IFERROR(G22*I22*J22/12,0)</f>
        <v/>
      </c>
      <c r="N22" s="17">
        <f>IFERROR(H22*I22*J22/12,0)</f>
        <v/>
      </c>
    </row>
    <row r="23">
      <c r="A23" s="4" t="n"/>
      <c r="B23" s="4" t="n"/>
      <c r="C23" s="4" t="n"/>
      <c r="D23" s="4" t="n"/>
      <c r="E23" s="4" t="n"/>
      <c r="F23" s="4" t="n"/>
      <c r="G23" s="4" t="n"/>
      <c r="H23" s="4" t="n"/>
      <c r="I23" s="17">
        <f>IFERROR(VLOOKUP(C23,PARAMS_Rv,2,FALSE),"")</f>
        <v/>
      </c>
      <c r="J23" s="17">
        <f>IF(B23="Yes",0,PROJECT_Rainfall)</f>
        <v/>
      </c>
      <c r="K23" s="17">
        <f>IFERROR(E23*I23*J23/12,0)</f>
        <v/>
      </c>
      <c r="L23" s="17">
        <f>IFERROR(F23*I23*J23/12,0)</f>
        <v/>
      </c>
      <c r="M23" s="17">
        <f>IFERROR(G23*I23*J23/12,0)</f>
        <v/>
      </c>
      <c r="N23" s="17">
        <f>IFERROR(H23*I23*J23/12,0)</f>
        <v/>
      </c>
    </row>
    <row r="24">
      <c r="A24" s="4" t="n"/>
      <c r="B24" s="4" t="n"/>
      <c r="C24" s="4" t="n"/>
      <c r="D24" s="4" t="n"/>
      <c r="E24" s="4" t="n"/>
      <c r="F24" s="4" t="n"/>
      <c r="G24" s="4" t="n"/>
      <c r="H24" s="4" t="n"/>
      <c r="I24" s="17">
        <f>IFERROR(VLOOKUP(C24,PARAMS_Rv,2,FALSE),"")</f>
        <v/>
      </c>
      <c r="J24" s="17">
        <f>IF(B24="Yes",0,PROJECT_Rainfall)</f>
        <v/>
      </c>
      <c r="K24" s="17">
        <f>IFERROR(E24*I24*J24/12,0)</f>
        <v/>
      </c>
      <c r="L24" s="17">
        <f>IFERROR(F24*I24*J24/12,0)</f>
        <v/>
      </c>
      <c r="M24" s="17">
        <f>IFERROR(G24*I24*J24/12,0)</f>
        <v/>
      </c>
      <c r="N24" s="17">
        <f>IFERROR(H24*I24*J24/12,0)</f>
        <v/>
      </c>
    </row>
    <row r="25">
      <c r="A25" s="4" t="n"/>
      <c r="B25" s="4" t="n"/>
      <c r="C25" s="4" t="n"/>
      <c r="D25" s="4" t="n"/>
      <c r="E25" s="4" t="n"/>
      <c r="F25" s="4" t="n"/>
      <c r="G25" s="4" t="n"/>
      <c r="H25" s="4" t="n"/>
      <c r="I25" s="17">
        <f>IFERROR(VLOOKUP(C25,PARAMS_Rv,2,FALSE),"")</f>
        <v/>
      </c>
      <c r="J25" s="17">
        <f>IF(B25="Yes",0,PROJECT_Rainfall)</f>
        <v/>
      </c>
      <c r="K25" s="17">
        <f>IFERROR(E25*I25*J25/12,0)</f>
        <v/>
      </c>
      <c r="L25" s="17">
        <f>IFERROR(F25*I25*J25/12,0)</f>
        <v/>
      </c>
      <c r="M25" s="17">
        <f>IFERROR(G25*I25*J25/12,0)</f>
        <v/>
      </c>
      <c r="N25" s="17">
        <f>IFERROR(H25*I25*J25/12,0)</f>
        <v/>
      </c>
    </row>
    <row r="26">
      <c r="A26" s="4" t="n"/>
      <c r="B26" s="4" t="n"/>
      <c r="C26" s="4" t="n"/>
      <c r="D26" s="4" t="n"/>
      <c r="E26" s="4" t="n"/>
      <c r="F26" s="4" t="n"/>
      <c r="G26" s="4" t="n"/>
      <c r="H26" s="4" t="n"/>
      <c r="I26" s="17">
        <f>IFERROR(VLOOKUP(C26,PARAMS_Rv,2,FALSE),"")</f>
        <v/>
      </c>
      <c r="J26" s="17">
        <f>IF(B26="Yes",0,PROJECT_Rainfall)</f>
        <v/>
      </c>
      <c r="K26" s="17">
        <f>IFERROR(E26*I26*J26/12,0)</f>
        <v/>
      </c>
      <c r="L26" s="17">
        <f>IFERROR(F26*I26*J26/12,0)</f>
        <v/>
      </c>
      <c r="M26" s="17">
        <f>IFERROR(G26*I26*J26/12,0)</f>
        <v/>
      </c>
      <c r="N26" s="17">
        <f>IFERROR(H26*I26*J26/12,0)</f>
        <v/>
      </c>
    </row>
    <row r="27">
      <c r="A27" s="4" t="n"/>
      <c r="B27" s="4" t="n"/>
      <c r="C27" s="4" t="n"/>
      <c r="D27" s="4" t="n"/>
      <c r="E27" s="4" t="n"/>
      <c r="F27" s="4" t="n"/>
      <c r="G27" s="4" t="n"/>
      <c r="H27" s="4" t="n"/>
      <c r="I27" s="17">
        <f>IFERROR(VLOOKUP(C27,PARAMS_Rv,2,FALSE),"")</f>
        <v/>
      </c>
      <c r="J27" s="17">
        <f>IF(B27="Yes",0,PROJECT_Rainfall)</f>
        <v/>
      </c>
      <c r="K27" s="17">
        <f>IFERROR(E27*I27*J27/12,0)</f>
        <v/>
      </c>
      <c r="L27" s="17">
        <f>IFERROR(F27*I27*J27/12,0)</f>
        <v/>
      </c>
      <c r="M27" s="17">
        <f>IFERROR(G27*I27*J27/12,0)</f>
        <v/>
      </c>
      <c r="N27" s="17">
        <f>IFERROR(H27*I27*J27/12,0)</f>
        <v/>
      </c>
    </row>
    <row r="28">
      <c r="A28" s="4" t="n"/>
      <c r="B28" s="4" t="n"/>
      <c r="C28" s="4" t="n"/>
      <c r="D28" s="4" t="n"/>
      <c r="E28" s="4" t="n"/>
      <c r="F28" s="4" t="n"/>
      <c r="G28" s="4" t="n"/>
      <c r="H28" s="4" t="n"/>
      <c r="I28" s="17">
        <f>IFERROR(VLOOKUP(C28,PARAMS_Rv,2,FALSE),"")</f>
        <v/>
      </c>
      <c r="J28" s="17">
        <f>IF(B28="Yes",0,PROJECT_Rainfall)</f>
        <v/>
      </c>
      <c r="K28" s="17">
        <f>IFERROR(E28*I28*J28/12,0)</f>
        <v/>
      </c>
      <c r="L28" s="17">
        <f>IFERROR(F28*I28*J28/12,0)</f>
        <v/>
      </c>
      <c r="M28" s="17">
        <f>IFERROR(G28*I28*J28/12,0)</f>
        <v/>
      </c>
      <c r="N28" s="17">
        <f>IFERROR(H28*I28*J28/12,0)</f>
        <v/>
      </c>
    </row>
    <row r="29">
      <c r="A29" s="4" t="n"/>
      <c r="B29" s="4" t="n"/>
      <c r="C29" s="4" t="n"/>
      <c r="D29" s="4" t="n"/>
      <c r="E29" s="4" t="n"/>
      <c r="F29" s="4" t="n"/>
      <c r="G29" s="4" t="n"/>
      <c r="H29" s="4" t="n"/>
      <c r="I29" s="17">
        <f>IFERROR(VLOOKUP(C29,PARAMS_Rv,2,FALSE),"")</f>
        <v/>
      </c>
      <c r="J29" s="17">
        <f>IF(B29="Yes",0,PROJECT_Rainfall)</f>
        <v/>
      </c>
      <c r="K29" s="17">
        <f>IFERROR(E29*I29*J29/12,0)</f>
        <v/>
      </c>
      <c r="L29" s="17">
        <f>IFERROR(F29*I29*J29/12,0)</f>
        <v/>
      </c>
      <c r="M29" s="17">
        <f>IFERROR(G29*I29*J29/12,0)</f>
        <v/>
      </c>
      <c r="N29" s="17">
        <f>IFERROR(H29*I29*J29/12,0)</f>
        <v/>
      </c>
    </row>
    <row r="30">
      <c r="A30" s="4" t="n"/>
      <c r="B30" s="4" t="n"/>
      <c r="C30" s="4" t="n"/>
      <c r="D30" s="4" t="n"/>
      <c r="E30" s="4" t="n"/>
      <c r="F30" s="4" t="n"/>
      <c r="G30" s="4" t="n"/>
      <c r="H30" s="4" t="n"/>
      <c r="I30" s="17">
        <f>IFERROR(VLOOKUP(C30,PARAMS_Rv,2,FALSE),"")</f>
        <v/>
      </c>
      <c r="J30" s="17">
        <f>IF(B30="Yes",0,PROJECT_Rainfall)</f>
        <v/>
      </c>
      <c r="K30" s="17">
        <f>IFERROR(E30*I30*J30/12,0)</f>
        <v/>
      </c>
      <c r="L30" s="17">
        <f>IFERROR(F30*I30*J30/12,0)</f>
        <v/>
      </c>
      <c r="M30" s="17">
        <f>IFERROR(G30*I30*J30/12,0)</f>
        <v/>
      </c>
      <c r="N30" s="17">
        <f>IFERROR(H30*I30*J30/12,0)</f>
        <v/>
      </c>
    </row>
    <row r="31">
      <c r="A31" s="4" t="n"/>
      <c r="B31" s="4" t="n"/>
      <c r="C31" s="4" t="n"/>
      <c r="D31" s="4" t="n"/>
      <c r="E31" s="4" t="n"/>
      <c r="F31" s="4" t="n"/>
      <c r="G31" s="4" t="n"/>
      <c r="H31" s="4" t="n"/>
      <c r="I31" s="17">
        <f>IFERROR(VLOOKUP(C31,PARAMS_Rv,2,FALSE),"")</f>
        <v/>
      </c>
      <c r="J31" s="17">
        <f>IF(B31="Yes",0,PROJECT_Rainfall)</f>
        <v/>
      </c>
      <c r="K31" s="17">
        <f>IFERROR(E31*I31*J31/12,0)</f>
        <v/>
      </c>
      <c r="L31" s="17">
        <f>IFERROR(F31*I31*J31/12,0)</f>
        <v/>
      </c>
      <c r="M31" s="17">
        <f>IFERROR(G31*I31*J31/12,0)</f>
        <v/>
      </c>
      <c r="N31" s="17">
        <f>IFERROR(H31*I31*J31/12,0)</f>
        <v/>
      </c>
    </row>
    <row r="32">
      <c r="A32" s="4" t="n"/>
      <c r="B32" s="4" t="n"/>
      <c r="C32" s="4" t="n"/>
      <c r="D32" s="4" t="n"/>
      <c r="E32" s="4" t="n"/>
      <c r="F32" s="4" t="n"/>
      <c r="G32" s="4" t="n"/>
      <c r="H32" s="4" t="n"/>
      <c r="I32" s="17">
        <f>IFERROR(VLOOKUP(C32,PARAMS_Rv,2,FALSE),"")</f>
        <v/>
      </c>
      <c r="J32" s="17">
        <f>IF(B32="Yes",0,PROJECT_Rainfall)</f>
        <v/>
      </c>
      <c r="K32" s="17">
        <f>IFERROR(E32*I32*J32/12,0)</f>
        <v/>
      </c>
      <c r="L32" s="17">
        <f>IFERROR(F32*I32*J32/12,0)</f>
        <v/>
      </c>
      <c r="M32" s="17">
        <f>IFERROR(G32*I32*J32/12,0)</f>
        <v/>
      </c>
      <c r="N32" s="17">
        <f>IFERROR(H32*I32*J32/12,0)</f>
        <v/>
      </c>
    </row>
    <row r="33">
      <c r="A33" s="4" t="n"/>
      <c r="B33" s="4" t="n"/>
      <c r="C33" s="4" t="n"/>
      <c r="D33" s="4" t="n"/>
      <c r="E33" s="4" t="n"/>
      <c r="F33" s="4" t="n"/>
      <c r="G33" s="4" t="n"/>
      <c r="H33" s="4" t="n"/>
      <c r="I33" s="17">
        <f>IFERROR(VLOOKUP(C33,PARAMS_Rv,2,FALSE),"")</f>
        <v/>
      </c>
      <c r="J33" s="17">
        <f>IF(B33="Yes",0,PROJECT_Rainfall)</f>
        <v/>
      </c>
      <c r="K33" s="17">
        <f>IFERROR(E33*I33*J33/12,0)</f>
        <v/>
      </c>
      <c r="L33" s="17">
        <f>IFERROR(F33*I33*J33/12,0)</f>
        <v/>
      </c>
      <c r="M33" s="17">
        <f>IFERROR(G33*I33*J33/12,0)</f>
        <v/>
      </c>
      <c r="N33" s="17">
        <f>IFERROR(H33*I33*J33/12,0)</f>
        <v/>
      </c>
    </row>
    <row r="34">
      <c r="A34" s="4" t="n"/>
      <c r="B34" s="4" t="n"/>
      <c r="C34" s="4" t="n"/>
      <c r="D34" s="4" t="n"/>
      <c r="E34" s="4" t="n"/>
      <c r="F34" s="4" t="n"/>
      <c r="G34" s="4" t="n"/>
      <c r="H34" s="4" t="n"/>
      <c r="I34" s="17">
        <f>IFERROR(VLOOKUP(C34,PARAMS_Rv,2,FALSE),"")</f>
        <v/>
      </c>
      <c r="J34" s="17">
        <f>IF(B34="Yes",0,PROJECT_Rainfall)</f>
        <v/>
      </c>
      <c r="K34" s="17">
        <f>IFERROR(E34*I34*J34/12,0)</f>
        <v/>
      </c>
      <c r="L34" s="17">
        <f>IFERROR(F34*I34*J34/12,0)</f>
        <v/>
      </c>
      <c r="M34" s="17">
        <f>IFERROR(G34*I34*J34/12,0)</f>
        <v/>
      </c>
      <c r="N34" s="17">
        <f>IFERROR(H34*I34*J34/12,0)</f>
        <v/>
      </c>
    </row>
    <row r="35">
      <c r="A35" s="4" t="n"/>
      <c r="B35" s="4" t="n"/>
      <c r="C35" s="4" t="n"/>
      <c r="D35" s="4" t="n"/>
      <c r="E35" s="4" t="n"/>
      <c r="F35" s="4" t="n"/>
      <c r="G35" s="4" t="n"/>
      <c r="H35" s="4" t="n"/>
      <c r="I35" s="17">
        <f>IFERROR(VLOOKUP(C35,PARAMS_Rv,2,FALSE),"")</f>
        <v/>
      </c>
      <c r="J35" s="17">
        <f>IF(B35="Yes",0,PROJECT_Rainfall)</f>
        <v/>
      </c>
      <c r="K35" s="17">
        <f>IFERROR(E35*I35*J35/12,0)</f>
        <v/>
      </c>
      <c r="L35" s="17">
        <f>IFERROR(F35*I35*J35/12,0)</f>
        <v/>
      </c>
      <c r="M35" s="17">
        <f>IFERROR(G35*I35*J35/12,0)</f>
        <v/>
      </c>
      <c r="N35" s="17">
        <f>IFERROR(H35*I35*J35/12,0)</f>
        <v/>
      </c>
    </row>
    <row r="36">
      <c r="A36" s="4" t="n"/>
      <c r="B36" s="4" t="n"/>
      <c r="C36" s="4" t="n"/>
      <c r="D36" s="4" t="n"/>
      <c r="E36" s="4" t="n"/>
      <c r="F36" s="4" t="n"/>
      <c r="G36" s="4" t="n"/>
      <c r="H36" s="4" t="n"/>
      <c r="I36" s="17">
        <f>IFERROR(VLOOKUP(C36,PARAMS_Rv,2,FALSE),"")</f>
        <v/>
      </c>
      <c r="J36" s="17">
        <f>IF(B36="Yes",0,PROJECT_Rainfall)</f>
        <v/>
      </c>
      <c r="K36" s="17">
        <f>IFERROR(E36*I36*J36/12,0)</f>
        <v/>
      </c>
      <c r="L36" s="17">
        <f>IFERROR(F36*I36*J36/12,0)</f>
        <v/>
      </c>
      <c r="M36" s="17">
        <f>IFERROR(G36*I36*J36/12,0)</f>
        <v/>
      </c>
      <c r="N36" s="17">
        <f>IFERROR(H36*I36*J36/12,0)</f>
        <v/>
      </c>
    </row>
    <row r="37">
      <c r="A37" s="4" t="n"/>
      <c r="B37" s="4" t="n"/>
      <c r="C37" s="4" t="n"/>
      <c r="D37" s="4" t="n"/>
      <c r="E37" s="4" t="n"/>
      <c r="F37" s="4" t="n"/>
      <c r="G37" s="4" t="n"/>
      <c r="H37" s="4" t="n"/>
      <c r="I37" s="17">
        <f>IFERROR(VLOOKUP(C37,PARAMS_Rv,2,FALSE),"")</f>
        <v/>
      </c>
      <c r="J37" s="17">
        <f>IF(B37="Yes",0,PROJECT_Rainfall)</f>
        <v/>
      </c>
      <c r="K37" s="17">
        <f>IFERROR(E37*I37*J37/12,0)</f>
        <v/>
      </c>
      <c r="L37" s="17">
        <f>IFERROR(F37*I37*J37/12,0)</f>
        <v/>
      </c>
      <c r="M37" s="17">
        <f>IFERROR(G37*I37*J37/12,0)</f>
        <v/>
      </c>
      <c r="N37" s="17">
        <f>IFERROR(H37*I37*J37/12,0)</f>
        <v/>
      </c>
    </row>
    <row r="38">
      <c r="A38" s="4" t="n"/>
      <c r="B38" s="4" t="n"/>
      <c r="C38" s="4" t="n"/>
      <c r="D38" s="4" t="n"/>
      <c r="E38" s="4" t="n"/>
      <c r="F38" s="4" t="n"/>
      <c r="G38" s="4" t="n"/>
      <c r="H38" s="4" t="n"/>
      <c r="I38" s="17">
        <f>IFERROR(VLOOKUP(C38,PARAMS_Rv,2,FALSE),"")</f>
        <v/>
      </c>
      <c r="J38" s="17">
        <f>IF(B38="Yes",0,PROJECT_Rainfall)</f>
        <v/>
      </c>
      <c r="K38" s="17">
        <f>IFERROR(E38*I38*J38/12,0)</f>
        <v/>
      </c>
      <c r="L38" s="17">
        <f>IFERROR(F38*I38*J38/12,0)</f>
        <v/>
      </c>
      <c r="M38" s="17">
        <f>IFERROR(G38*I38*J38/12,0)</f>
        <v/>
      </c>
      <c r="N38" s="17">
        <f>IFERROR(H38*I38*J38/12,0)</f>
        <v/>
      </c>
    </row>
    <row r="39">
      <c r="A39" s="4" t="n"/>
      <c r="B39" s="4" t="n"/>
      <c r="C39" s="4" t="n"/>
      <c r="D39" s="4" t="n"/>
      <c r="E39" s="4" t="n"/>
      <c r="F39" s="4" t="n"/>
      <c r="G39" s="4" t="n"/>
      <c r="H39" s="4" t="n"/>
      <c r="I39" s="17">
        <f>IFERROR(VLOOKUP(C39,PARAMS_Rv,2,FALSE),"")</f>
        <v/>
      </c>
      <c r="J39" s="17">
        <f>IF(B39="Yes",0,PROJECT_Rainfall)</f>
        <v/>
      </c>
      <c r="K39" s="17">
        <f>IFERROR(E39*I39*J39/12,0)</f>
        <v/>
      </c>
      <c r="L39" s="17">
        <f>IFERROR(F39*I39*J39/12,0)</f>
        <v/>
      </c>
      <c r="M39" s="17">
        <f>IFERROR(G39*I39*J39/12,0)</f>
        <v/>
      </c>
      <c r="N39" s="17">
        <f>IFERROR(H39*I39*J39/12,0)</f>
        <v/>
      </c>
    </row>
    <row r="40">
      <c r="A40" s="4" t="n"/>
      <c r="B40" s="4" t="n"/>
      <c r="C40" s="4" t="n"/>
      <c r="D40" s="4" t="n"/>
      <c r="E40" s="4" t="n"/>
      <c r="F40" s="4" t="n"/>
      <c r="G40" s="4" t="n"/>
      <c r="H40" s="4" t="n"/>
      <c r="I40" s="17">
        <f>IFERROR(VLOOKUP(C40,PARAMS_Rv,2,FALSE),"")</f>
        <v/>
      </c>
      <c r="J40" s="17">
        <f>IF(B40="Yes",0,PROJECT_Rainfall)</f>
        <v/>
      </c>
      <c r="K40" s="17">
        <f>IFERROR(E40*I40*J40/12,0)</f>
        <v/>
      </c>
      <c r="L40" s="17">
        <f>IFERROR(F40*I40*J40/12,0)</f>
        <v/>
      </c>
      <c r="M40" s="17">
        <f>IFERROR(G40*I40*J40/12,0)</f>
        <v/>
      </c>
      <c r="N40" s="17">
        <f>IFERROR(H40*I40*J40/12,0)</f>
        <v/>
      </c>
    </row>
    <row r="41">
      <c r="A41" s="4" t="n"/>
      <c r="B41" s="4" t="n"/>
      <c r="C41" s="4" t="n"/>
      <c r="D41" s="4" t="n"/>
      <c r="E41" s="4" t="n"/>
      <c r="F41" s="4" t="n"/>
      <c r="G41" s="4" t="n"/>
      <c r="H41" s="4" t="n"/>
      <c r="I41" s="17">
        <f>IFERROR(VLOOKUP(C41,PARAMS_Rv,2,FALSE),"")</f>
        <v/>
      </c>
      <c r="J41" s="17">
        <f>IF(B41="Yes",0,PROJECT_Rainfall)</f>
        <v/>
      </c>
      <c r="K41" s="17">
        <f>IFERROR(E41*I41*J41/12,0)</f>
        <v/>
      </c>
      <c r="L41" s="17">
        <f>IFERROR(F41*I41*J41/12,0)</f>
        <v/>
      </c>
      <c r="M41" s="17">
        <f>IFERROR(G41*I41*J41/12,0)</f>
        <v/>
      </c>
      <c r="N41" s="17">
        <f>IFERROR(H41*I41*J41/12,0)</f>
        <v/>
      </c>
    </row>
    <row r="42">
      <c r="A42" s="4" t="n"/>
      <c r="B42" s="4" t="n"/>
      <c r="C42" s="4" t="n"/>
      <c r="D42" s="4" t="n"/>
      <c r="E42" s="4" t="n"/>
      <c r="F42" s="4" t="n"/>
      <c r="G42" s="4" t="n"/>
      <c r="H42" s="4" t="n"/>
      <c r="I42" s="17">
        <f>IFERROR(VLOOKUP(C42,PARAMS_Rv,2,FALSE),"")</f>
        <v/>
      </c>
      <c r="J42" s="17">
        <f>IF(B42="Yes",0,PROJECT_Rainfall)</f>
        <v/>
      </c>
      <c r="K42" s="17">
        <f>IFERROR(E42*I42*J42/12,0)</f>
        <v/>
      </c>
      <c r="L42" s="17">
        <f>IFERROR(F42*I42*J42/12,0)</f>
        <v/>
      </c>
      <c r="M42" s="17">
        <f>IFERROR(G42*I42*J42/12,0)</f>
        <v/>
      </c>
      <c r="N42" s="17">
        <f>IFERROR(H42*I42*J42/12,0)</f>
        <v/>
      </c>
    </row>
    <row r="43">
      <c r="A43" s="4" t="n"/>
      <c r="B43" s="4" t="n"/>
      <c r="C43" s="4" t="n"/>
      <c r="D43" s="4" t="n"/>
      <c r="E43" s="4" t="n"/>
      <c r="F43" s="4" t="n"/>
      <c r="G43" s="4" t="n"/>
      <c r="H43" s="4" t="n"/>
      <c r="I43" s="17">
        <f>IFERROR(VLOOKUP(C43,PARAMS_Rv,2,FALSE),"")</f>
        <v/>
      </c>
      <c r="J43" s="17">
        <f>IF(B43="Yes",0,PROJECT_Rainfall)</f>
        <v/>
      </c>
      <c r="K43" s="17">
        <f>IFERROR(E43*I43*J43/12,0)</f>
        <v/>
      </c>
      <c r="L43" s="17">
        <f>IFERROR(F43*I43*J43/12,0)</f>
        <v/>
      </c>
      <c r="M43" s="17">
        <f>IFERROR(G43*I43*J43/12,0)</f>
        <v/>
      </c>
      <c r="N43" s="17">
        <f>IFERROR(H43*I43*J43/12,0)</f>
        <v/>
      </c>
    </row>
    <row r="44">
      <c r="A44" s="4" t="n"/>
      <c r="B44" s="4" t="n"/>
      <c r="C44" s="4" t="n"/>
      <c r="D44" s="4" t="n"/>
      <c r="E44" s="4" t="n"/>
      <c r="F44" s="4" t="n"/>
      <c r="G44" s="4" t="n"/>
      <c r="H44" s="4" t="n"/>
      <c r="I44" s="17">
        <f>IFERROR(VLOOKUP(C44,PARAMS_Rv,2,FALSE),"")</f>
        <v/>
      </c>
      <c r="J44" s="17">
        <f>IF(B44="Yes",0,PROJECT_Rainfall)</f>
        <v/>
      </c>
      <c r="K44" s="17">
        <f>IFERROR(E44*I44*J44/12,0)</f>
        <v/>
      </c>
      <c r="L44" s="17">
        <f>IFERROR(F44*I44*J44/12,0)</f>
        <v/>
      </c>
      <c r="M44" s="17">
        <f>IFERROR(G44*I44*J44/12,0)</f>
        <v/>
      </c>
      <c r="N44" s="17">
        <f>IFERROR(H44*I44*J44/12,0)</f>
        <v/>
      </c>
    </row>
    <row r="45">
      <c r="A45" s="4" t="n"/>
      <c r="B45" s="4" t="n"/>
      <c r="C45" s="4" t="n"/>
      <c r="D45" s="4" t="n"/>
      <c r="E45" s="4" t="n"/>
      <c r="F45" s="4" t="n"/>
      <c r="G45" s="4" t="n"/>
      <c r="H45" s="4" t="n"/>
      <c r="I45" s="17">
        <f>IFERROR(VLOOKUP(C45,PARAMS_Rv,2,FALSE),"")</f>
        <v/>
      </c>
      <c r="J45" s="17">
        <f>IF(B45="Yes",0,PROJECT_Rainfall)</f>
        <v/>
      </c>
      <c r="K45" s="17">
        <f>IFERROR(E45*I45*J45/12,0)</f>
        <v/>
      </c>
      <c r="L45" s="17">
        <f>IFERROR(F45*I45*J45/12,0)</f>
        <v/>
      </c>
      <c r="M45" s="17">
        <f>IFERROR(G45*I45*J45/12,0)</f>
        <v/>
      </c>
      <c r="N45" s="17">
        <f>IFERROR(H45*I45*J45/12,0)</f>
        <v/>
      </c>
    </row>
    <row r="46">
      <c r="A46" s="4" t="n"/>
      <c r="B46" s="4" t="n"/>
      <c r="C46" s="4" t="n"/>
      <c r="D46" s="4" t="n"/>
      <c r="E46" s="4" t="n"/>
      <c r="F46" s="4" t="n"/>
      <c r="G46" s="4" t="n"/>
      <c r="H46" s="4" t="n"/>
      <c r="I46" s="17">
        <f>IFERROR(VLOOKUP(C46,PARAMS_Rv,2,FALSE),"")</f>
        <v/>
      </c>
      <c r="J46" s="17">
        <f>IF(B46="Yes",0,PROJECT_Rainfall)</f>
        <v/>
      </c>
      <c r="K46" s="17">
        <f>IFERROR(E46*I46*J46/12,0)</f>
        <v/>
      </c>
      <c r="L46" s="17">
        <f>IFERROR(F46*I46*J46/12,0)</f>
        <v/>
      </c>
      <c r="M46" s="17">
        <f>IFERROR(G46*I46*J46/12,0)</f>
        <v/>
      </c>
      <c r="N46" s="17">
        <f>IFERROR(H46*I46*J46/12,0)</f>
        <v/>
      </c>
    </row>
    <row r="47">
      <c r="A47" s="4" t="n"/>
      <c r="B47" s="4" t="n"/>
      <c r="C47" s="4" t="n"/>
      <c r="D47" s="4" t="n"/>
      <c r="E47" s="4" t="n"/>
      <c r="F47" s="4" t="n"/>
      <c r="G47" s="4" t="n"/>
      <c r="H47" s="4" t="n"/>
      <c r="I47" s="17">
        <f>IFERROR(VLOOKUP(C47,PARAMS_Rv,2,FALSE),"")</f>
        <v/>
      </c>
      <c r="J47" s="17">
        <f>IF(B47="Yes",0,PROJECT_Rainfall)</f>
        <v/>
      </c>
      <c r="K47" s="17">
        <f>IFERROR(E47*I47*J47/12,0)</f>
        <v/>
      </c>
      <c r="L47" s="17">
        <f>IFERROR(F47*I47*J47/12,0)</f>
        <v/>
      </c>
      <c r="M47" s="17">
        <f>IFERROR(G47*I47*J47/12,0)</f>
        <v/>
      </c>
      <c r="N47" s="17">
        <f>IFERROR(H47*I47*J47/12,0)</f>
        <v/>
      </c>
    </row>
    <row r="48">
      <c r="A48" s="4" t="n"/>
      <c r="B48" s="4" t="n"/>
      <c r="C48" s="4" t="n"/>
      <c r="D48" s="4" t="n"/>
      <c r="E48" s="4" t="n"/>
      <c r="F48" s="4" t="n"/>
      <c r="G48" s="4" t="n"/>
      <c r="H48" s="4" t="n"/>
      <c r="I48" s="17">
        <f>IFERROR(VLOOKUP(C48,PARAMS_Rv,2,FALSE),"")</f>
        <v/>
      </c>
      <c r="J48" s="17">
        <f>IF(B48="Yes",0,PROJECT_Rainfall)</f>
        <v/>
      </c>
      <c r="K48" s="17">
        <f>IFERROR(E48*I48*J48/12,0)</f>
        <v/>
      </c>
      <c r="L48" s="17">
        <f>IFERROR(F48*I48*J48/12,0)</f>
        <v/>
      </c>
      <c r="M48" s="17">
        <f>IFERROR(G48*I48*J48/12,0)</f>
        <v/>
      </c>
      <c r="N48" s="17">
        <f>IFERROR(H48*I48*J48/12,0)</f>
        <v/>
      </c>
    </row>
    <row r="49">
      <c r="A49" s="4" t="n"/>
      <c r="B49" s="4" t="n"/>
      <c r="C49" s="4" t="n"/>
      <c r="D49" s="4" t="n"/>
      <c r="E49" s="4" t="n"/>
      <c r="F49" s="4" t="n"/>
      <c r="G49" s="4" t="n"/>
      <c r="H49" s="4" t="n"/>
      <c r="I49" s="17">
        <f>IFERROR(VLOOKUP(C49,PARAMS_Rv,2,FALSE),"")</f>
        <v/>
      </c>
      <c r="J49" s="17">
        <f>IF(B49="Yes",0,PROJECT_Rainfall)</f>
        <v/>
      </c>
      <c r="K49" s="17">
        <f>IFERROR(E49*I49*J49/12,0)</f>
        <v/>
      </c>
      <c r="L49" s="17">
        <f>IFERROR(F49*I49*J49/12,0)</f>
        <v/>
      </c>
      <c r="M49" s="17">
        <f>IFERROR(G49*I49*J49/12,0)</f>
        <v/>
      </c>
      <c r="N49" s="17">
        <f>IFERROR(H49*I49*J49/12,0)</f>
        <v/>
      </c>
    </row>
    <row r="50">
      <c r="A50" s="4" t="n"/>
      <c r="B50" s="4" t="n"/>
      <c r="C50" s="4" t="n"/>
      <c r="D50" s="4" t="n"/>
      <c r="E50" s="4" t="n"/>
      <c r="F50" s="4" t="n"/>
      <c r="G50" s="4" t="n"/>
      <c r="H50" s="4" t="n"/>
      <c r="I50" s="17">
        <f>IFERROR(VLOOKUP(C50,PARAMS_Rv,2,FALSE),"")</f>
        <v/>
      </c>
      <c r="J50" s="17">
        <f>IF(B50="Yes",0,PROJECT_Rainfall)</f>
        <v/>
      </c>
      <c r="K50" s="17">
        <f>IFERROR(E50*I50*J50/12,0)</f>
        <v/>
      </c>
      <c r="L50" s="17">
        <f>IFERROR(F50*I50*J50/12,0)</f>
        <v/>
      </c>
      <c r="M50" s="17">
        <f>IFERROR(G50*I50*J50/12,0)</f>
        <v/>
      </c>
      <c r="N50" s="17">
        <f>IFERROR(H50*I50*J50/12,0)</f>
        <v/>
      </c>
    </row>
    <row r="51">
      <c r="A51" s="4" t="n"/>
      <c r="B51" s="4" t="n"/>
      <c r="C51" s="4" t="n"/>
      <c r="D51" s="4" t="n"/>
      <c r="E51" s="4" t="n"/>
      <c r="F51" s="4" t="n"/>
      <c r="G51" s="4" t="n"/>
      <c r="H51" s="4" t="n"/>
      <c r="I51" s="17">
        <f>IFERROR(VLOOKUP(C51,PARAMS_Rv,2,FALSE),"")</f>
        <v/>
      </c>
      <c r="J51" s="17">
        <f>IF(B51="Yes",0,PROJECT_Rainfall)</f>
        <v/>
      </c>
      <c r="K51" s="17">
        <f>IFERROR(E51*I51*J51/12,0)</f>
        <v/>
      </c>
      <c r="L51" s="17">
        <f>IFERROR(F51*I51*J51/12,0)</f>
        <v/>
      </c>
      <c r="M51" s="17">
        <f>IFERROR(G51*I51*J51/12,0)</f>
        <v/>
      </c>
      <c r="N51" s="17">
        <f>IFERROR(H51*I51*J51/12,0)</f>
        <v/>
      </c>
    </row>
    <row r="52">
      <c r="A52" s="4" t="n"/>
      <c r="B52" s="4" t="n"/>
      <c r="C52" s="4" t="n"/>
      <c r="D52" s="4" t="n"/>
      <c r="E52" s="4" t="n"/>
      <c r="F52" s="4" t="n"/>
      <c r="G52" s="4" t="n"/>
      <c r="H52" s="4" t="n"/>
      <c r="I52" s="17">
        <f>IFERROR(VLOOKUP(C52,PARAMS_Rv,2,FALSE),"")</f>
        <v/>
      </c>
      <c r="J52" s="17">
        <f>IF(B52="Yes",0,PROJECT_Rainfall)</f>
        <v/>
      </c>
      <c r="K52" s="17">
        <f>IFERROR(E52*I52*J52/12,0)</f>
        <v/>
      </c>
      <c r="L52" s="17">
        <f>IFERROR(F52*I52*J52/12,0)</f>
        <v/>
      </c>
      <c r="M52" s="17">
        <f>IFERROR(G52*I52*J52/12,0)</f>
        <v/>
      </c>
      <c r="N52" s="17">
        <f>IFERROR(H52*I52*J52/12,0)</f>
        <v/>
      </c>
    </row>
    <row r="53">
      <c r="A53" s="4" t="n"/>
      <c r="B53" s="4" t="n"/>
      <c r="C53" s="4" t="n"/>
      <c r="D53" s="4" t="n"/>
      <c r="E53" s="4" t="n"/>
      <c r="F53" s="4" t="n"/>
      <c r="G53" s="4" t="n"/>
      <c r="H53" s="4" t="n"/>
      <c r="I53" s="17">
        <f>IFERROR(VLOOKUP(C53,PARAMS_Rv,2,FALSE),"")</f>
        <v/>
      </c>
      <c r="J53" s="17">
        <f>IF(B53="Yes",0,PROJECT_Rainfall)</f>
        <v/>
      </c>
      <c r="K53" s="17">
        <f>IFERROR(E53*I53*J53/12,0)</f>
        <v/>
      </c>
      <c r="L53" s="17">
        <f>IFERROR(F53*I53*J53/12,0)</f>
        <v/>
      </c>
      <c r="M53" s="17">
        <f>IFERROR(G53*I53*J53/12,0)</f>
        <v/>
      </c>
      <c r="N53" s="17">
        <f>IFERROR(H53*I53*J53/12,0)</f>
        <v/>
      </c>
    </row>
    <row r="56">
      <c r="A56" s="18" t="inlineStr">
        <is>
          <t>SDA Summary (SUMIFS aggregation per SDA_ID)</t>
        </is>
      </c>
      <c r="B56" s="19" t="n"/>
      <c r="C56" s="19" t="n"/>
      <c r="D56" s="19" t="n"/>
      <c r="E56" s="19" t="n"/>
      <c r="F56" s="19" t="n"/>
      <c r="G56" s="19" t="n"/>
      <c r="H56" s="19" t="n"/>
      <c r="I56" s="19" t="n"/>
      <c r="J56" s="19" t="n"/>
      <c r="K56" s="19" t="n"/>
      <c r="L56" s="19" t="n"/>
      <c r="M56" s="19" t="n"/>
      <c r="N56" s="20" t="n"/>
    </row>
    <row r="57">
      <c r="A57" s="16" t="inlineStr">
        <is>
          <t>SDA_ID</t>
        </is>
      </c>
      <c r="B57" s="16" t="inlineStr">
        <is>
          <t>Pre Imp Total (SF)</t>
        </is>
      </c>
      <c r="C57" s="16" t="inlineStr">
        <is>
          <t>Pre Comp Total (SF)</t>
        </is>
      </c>
      <c r="D57" s="16" t="inlineStr">
        <is>
          <t>Pre Nat Total (SF)</t>
        </is>
      </c>
      <c r="E57" s="16" t="inlineStr">
        <is>
          <t>Pre BMP Total (SF)</t>
        </is>
      </c>
      <c r="F57" s="16" t="inlineStr">
        <is>
          <t>Post Imp Total (SF)</t>
        </is>
      </c>
      <c r="G57" s="16" t="inlineStr">
        <is>
          <t>Post Comp Total (SF)</t>
        </is>
      </c>
      <c r="H57" s="16" t="inlineStr">
        <is>
          <t>Post Nat Total (SF)</t>
        </is>
      </c>
      <c r="I57" s="16" t="inlineStr">
        <is>
          <t>Post BMP Total (SF)</t>
        </is>
      </c>
      <c r="J57" s="16" t="inlineStr">
        <is>
          <t>Post SWRv Required (CF)</t>
        </is>
      </c>
    </row>
    <row r="58">
      <c r="A58" s="9" t="inlineStr">
        <is>
          <t>SDA-1</t>
        </is>
      </c>
      <c r="B58" s="17">
        <f>SUMIFS($E$4:$E$53,$A$4:$A$53,A58,$C$4:$C$53,"Impervious Vehicular")+SUMIFS($E$4:$E$53,$A$4:$A$53,A58,$C$4:$C$53,"Impervious Non-Vehicular")</f>
        <v/>
      </c>
      <c r="C58" s="17">
        <f>SUMIFS($E$4:$E$53,$A$4:$A$53,A58,$C$4:$C$53,"Compacted (Open Space)")</f>
        <v/>
      </c>
      <c r="D58" s="17">
        <f>SUMIFS($E$4:$E$53,$A$4:$A$53,A58,$C$4:$C$53,"Natural (Woods)")</f>
        <v/>
      </c>
      <c r="E58" s="17">
        <f>SUMIFS($E$4:$E$53,$A$4:$A$53,A58,$C$4:$C$53,"BMP")</f>
        <v/>
      </c>
      <c r="F58" s="17">
        <f>SUMIFS($G$4:$G$53,$A$4:$A$53,A58,$C$4:$C$53,"Impervious Vehicular")+SUMIFS($G$4:$G$53,$A$4:$A$53,A58,$C$4:$C$53,"Impervious Non-Vehicular")</f>
        <v/>
      </c>
      <c r="G58" s="17">
        <f>SUMIFS($G$4:$G$53,$A$4:$A$53,A58,$C$4:$C$53,"Compacted (Open Space)")</f>
        <v/>
      </c>
      <c r="H58" s="17">
        <f>SUMIFS($G$4:$G$53,$A$4:$A$53,A58,$C$4:$C$53,"Natural (Woods)")</f>
        <v/>
      </c>
      <c r="I58" s="17">
        <f>SUMIFS($G$4:$G$53,$A$4:$A$53,A58,$C$4:$C$53,"BMP")</f>
        <v/>
      </c>
      <c r="J58" s="17">
        <f>SUMIFS($M$4:$M$53,$A$4:$A$53,A58)</f>
        <v/>
      </c>
    </row>
    <row r="59">
      <c r="A59" s="9" t="inlineStr">
        <is>
          <t>SDA-2</t>
        </is>
      </c>
      <c r="B59" s="17">
        <f>SUMIFS($E$4:$E$53,$A$4:$A$53,A59,$C$4:$C$53,"Impervious Vehicular")+SUMIFS($E$4:$E$53,$A$4:$A$53,A59,$C$4:$C$53,"Impervious Non-Vehicular")</f>
        <v/>
      </c>
      <c r="C59" s="17">
        <f>SUMIFS($E$4:$E$53,$A$4:$A$53,A59,$C$4:$C$53,"Compacted (Open Space)")</f>
        <v/>
      </c>
      <c r="D59" s="17">
        <f>SUMIFS($E$4:$E$53,$A$4:$A$53,A59,$C$4:$C$53,"Natural (Woods)")</f>
        <v/>
      </c>
      <c r="E59" s="17">
        <f>SUMIFS($E$4:$E$53,$A$4:$A$53,A59,$C$4:$C$53,"BMP")</f>
        <v/>
      </c>
      <c r="F59" s="17">
        <f>SUMIFS($G$4:$G$53,$A$4:$A$53,A59,$C$4:$C$53,"Impervious Vehicular")+SUMIFS($G$4:$G$53,$A$4:$A$53,A59,$C$4:$C$53,"Impervious Non-Vehicular")</f>
        <v/>
      </c>
      <c r="G59" s="17">
        <f>SUMIFS($G$4:$G$53,$A$4:$A$53,A59,$C$4:$C$53,"Compacted (Open Space)")</f>
        <v/>
      </c>
      <c r="H59" s="17">
        <f>SUMIFS($G$4:$G$53,$A$4:$A$53,A59,$C$4:$C$53,"Natural (Woods)")</f>
        <v/>
      </c>
      <c r="I59" s="17">
        <f>SUMIFS($G$4:$G$53,$A$4:$A$53,A59,$C$4:$C$53,"BMP")</f>
        <v/>
      </c>
      <c r="J59" s="17">
        <f>SUMIFS($M$4:$M$53,$A$4:$A$53,A59)</f>
        <v/>
      </c>
    </row>
    <row r="60">
      <c r="A60" s="9" t="inlineStr">
        <is>
          <t>SDA-3</t>
        </is>
      </c>
      <c r="B60" s="17">
        <f>SUMIFS($E$4:$E$53,$A$4:$A$53,A60,$C$4:$C$53,"Impervious Vehicular")+SUMIFS($E$4:$E$53,$A$4:$A$53,A60,$C$4:$C$53,"Impervious Non-Vehicular")</f>
        <v/>
      </c>
      <c r="C60" s="17">
        <f>SUMIFS($E$4:$E$53,$A$4:$A$53,A60,$C$4:$C$53,"Compacted (Open Space)")</f>
        <v/>
      </c>
      <c r="D60" s="17">
        <f>SUMIFS($E$4:$E$53,$A$4:$A$53,A60,$C$4:$C$53,"Natural (Woods)")</f>
        <v/>
      </c>
      <c r="E60" s="17">
        <f>SUMIFS($E$4:$E$53,$A$4:$A$53,A60,$C$4:$C$53,"BMP")</f>
        <v/>
      </c>
      <c r="F60" s="17">
        <f>SUMIFS($G$4:$G$53,$A$4:$A$53,A60,$C$4:$C$53,"Impervious Vehicular")+SUMIFS($G$4:$G$53,$A$4:$A$53,A60,$C$4:$C$53,"Impervious Non-Vehicular")</f>
        <v/>
      </c>
      <c r="G60" s="17">
        <f>SUMIFS($G$4:$G$53,$A$4:$A$53,A60,$C$4:$C$53,"Compacted (Open Space)")</f>
        <v/>
      </c>
      <c r="H60" s="17">
        <f>SUMIFS($G$4:$G$53,$A$4:$A$53,A60,$C$4:$C$53,"Natural (Woods)")</f>
        <v/>
      </c>
      <c r="I60" s="17">
        <f>SUMIFS($G$4:$G$53,$A$4:$A$53,A60,$C$4:$C$53,"BMP")</f>
        <v/>
      </c>
      <c r="J60" s="17">
        <f>SUMIFS($M$4:$M$53,$A$4:$A$53,A60)</f>
        <v/>
      </c>
    </row>
    <row r="61">
      <c r="A61" s="9" t="inlineStr">
        <is>
          <t>SDA-4</t>
        </is>
      </c>
      <c r="B61" s="17">
        <f>SUMIFS($E$4:$E$53,$A$4:$A$53,A61,$C$4:$C$53,"Impervious Vehicular")+SUMIFS($E$4:$E$53,$A$4:$A$53,A61,$C$4:$C$53,"Impervious Non-Vehicular")</f>
        <v/>
      </c>
      <c r="C61" s="17">
        <f>SUMIFS($E$4:$E$53,$A$4:$A$53,A61,$C$4:$C$53,"Compacted (Open Space)")</f>
        <v/>
      </c>
      <c r="D61" s="17">
        <f>SUMIFS($E$4:$E$53,$A$4:$A$53,A61,$C$4:$C$53,"Natural (Woods)")</f>
        <v/>
      </c>
      <c r="E61" s="17">
        <f>SUMIFS($E$4:$E$53,$A$4:$A$53,A61,$C$4:$C$53,"BMP")</f>
        <v/>
      </c>
      <c r="F61" s="17">
        <f>SUMIFS($G$4:$G$53,$A$4:$A$53,A61,$C$4:$C$53,"Impervious Vehicular")+SUMIFS($G$4:$G$53,$A$4:$A$53,A61,$C$4:$C$53,"Impervious Non-Vehicular")</f>
        <v/>
      </c>
      <c r="G61" s="17">
        <f>SUMIFS($G$4:$G$53,$A$4:$A$53,A61,$C$4:$C$53,"Compacted (Open Space)")</f>
        <v/>
      </c>
      <c r="H61" s="17">
        <f>SUMIFS($G$4:$G$53,$A$4:$A$53,A61,$C$4:$C$53,"Natural (Woods)")</f>
        <v/>
      </c>
      <c r="I61" s="17">
        <f>SUMIFS($G$4:$G$53,$A$4:$A$53,A61,$C$4:$C$53,"BMP")</f>
        <v/>
      </c>
      <c r="J61" s="17">
        <f>SUMIFS($M$4:$M$53,$A$4:$A$53,A61)</f>
        <v/>
      </c>
    </row>
    <row r="62">
      <c r="A62" s="9" t="inlineStr">
        <is>
          <t>SDA-5</t>
        </is>
      </c>
      <c r="B62" s="17">
        <f>SUMIFS($E$4:$E$53,$A$4:$A$53,A62,$C$4:$C$53,"Impervious Vehicular")+SUMIFS($E$4:$E$53,$A$4:$A$53,A62,$C$4:$C$53,"Impervious Non-Vehicular")</f>
        <v/>
      </c>
      <c r="C62" s="17">
        <f>SUMIFS($E$4:$E$53,$A$4:$A$53,A62,$C$4:$C$53,"Compacted (Open Space)")</f>
        <v/>
      </c>
      <c r="D62" s="17">
        <f>SUMIFS($E$4:$E$53,$A$4:$A$53,A62,$C$4:$C$53,"Natural (Woods)")</f>
        <v/>
      </c>
      <c r="E62" s="17">
        <f>SUMIFS($E$4:$E$53,$A$4:$A$53,A62,$C$4:$C$53,"BMP")</f>
        <v/>
      </c>
      <c r="F62" s="17">
        <f>SUMIFS($G$4:$G$53,$A$4:$A$53,A62,$C$4:$C$53,"Impervious Vehicular")+SUMIFS($G$4:$G$53,$A$4:$A$53,A62,$C$4:$C$53,"Impervious Non-Vehicular")</f>
        <v/>
      </c>
      <c r="G62" s="17">
        <f>SUMIFS($G$4:$G$53,$A$4:$A$53,A62,$C$4:$C$53,"Compacted (Open Space)")</f>
        <v/>
      </c>
      <c r="H62" s="17">
        <f>SUMIFS($G$4:$G$53,$A$4:$A$53,A62,$C$4:$C$53,"Natural (Woods)")</f>
        <v/>
      </c>
      <c r="I62" s="17">
        <f>SUMIFS($G$4:$G$53,$A$4:$A$53,A62,$C$4:$C$53,"BMP")</f>
        <v/>
      </c>
      <c r="J62" s="17">
        <f>SUMIFS($M$4:$M$53,$A$4:$A$53,A62)</f>
        <v/>
      </c>
    </row>
    <row r="63">
      <c r="A63" s="9" t="inlineStr">
        <is>
          <t>SDA-6</t>
        </is>
      </c>
      <c r="B63" s="17">
        <f>SUMIFS($E$4:$E$53,$A$4:$A$53,A63,$C$4:$C$53,"Impervious Vehicular")+SUMIFS($E$4:$E$53,$A$4:$A$53,A63,$C$4:$C$53,"Impervious Non-Vehicular")</f>
        <v/>
      </c>
      <c r="C63" s="17">
        <f>SUMIFS($E$4:$E$53,$A$4:$A$53,A63,$C$4:$C$53,"Compacted (Open Space)")</f>
        <v/>
      </c>
      <c r="D63" s="17">
        <f>SUMIFS($E$4:$E$53,$A$4:$A$53,A63,$C$4:$C$53,"Natural (Woods)")</f>
        <v/>
      </c>
      <c r="E63" s="17">
        <f>SUMIFS($E$4:$E$53,$A$4:$A$53,A63,$C$4:$C$53,"BMP")</f>
        <v/>
      </c>
      <c r="F63" s="17">
        <f>SUMIFS($G$4:$G$53,$A$4:$A$53,A63,$C$4:$C$53,"Impervious Vehicular")+SUMIFS($G$4:$G$53,$A$4:$A$53,A63,$C$4:$C$53,"Impervious Non-Vehicular")</f>
        <v/>
      </c>
      <c r="G63" s="17">
        <f>SUMIFS($G$4:$G$53,$A$4:$A$53,A63,$C$4:$C$53,"Compacted (Open Space)")</f>
        <v/>
      </c>
      <c r="H63" s="17">
        <f>SUMIFS($G$4:$G$53,$A$4:$A$53,A63,$C$4:$C$53,"Natural (Woods)")</f>
        <v/>
      </c>
      <c r="I63" s="17">
        <f>SUMIFS($G$4:$G$53,$A$4:$A$53,A63,$C$4:$C$53,"BMP")</f>
        <v/>
      </c>
      <c r="J63" s="17">
        <f>SUMIFS($M$4:$M$53,$A$4:$A$53,A63)</f>
        <v/>
      </c>
    </row>
    <row r="64">
      <c r="A64" s="9" t="inlineStr">
        <is>
          <t>SDA-7</t>
        </is>
      </c>
      <c r="B64" s="17">
        <f>SUMIFS($E$4:$E$53,$A$4:$A$53,A64,$C$4:$C$53,"Impervious Vehicular")+SUMIFS($E$4:$E$53,$A$4:$A$53,A64,$C$4:$C$53,"Impervious Non-Vehicular")</f>
        <v/>
      </c>
      <c r="C64" s="17">
        <f>SUMIFS($E$4:$E$53,$A$4:$A$53,A64,$C$4:$C$53,"Compacted (Open Space)")</f>
        <v/>
      </c>
      <c r="D64" s="17">
        <f>SUMIFS($E$4:$E$53,$A$4:$A$53,A64,$C$4:$C$53,"Natural (Woods)")</f>
        <v/>
      </c>
      <c r="E64" s="17">
        <f>SUMIFS($E$4:$E$53,$A$4:$A$53,A64,$C$4:$C$53,"BMP")</f>
        <v/>
      </c>
      <c r="F64" s="17">
        <f>SUMIFS($G$4:$G$53,$A$4:$A$53,A64,$C$4:$C$53,"Impervious Vehicular")+SUMIFS($G$4:$G$53,$A$4:$A$53,A64,$C$4:$C$53,"Impervious Non-Vehicular")</f>
        <v/>
      </c>
      <c r="G64" s="17">
        <f>SUMIFS($G$4:$G$53,$A$4:$A$53,A64,$C$4:$C$53,"Compacted (Open Space)")</f>
        <v/>
      </c>
      <c r="H64" s="17">
        <f>SUMIFS($G$4:$G$53,$A$4:$A$53,A64,$C$4:$C$53,"Natural (Woods)")</f>
        <v/>
      </c>
      <c r="I64" s="17">
        <f>SUMIFS($G$4:$G$53,$A$4:$A$53,A64,$C$4:$C$53,"BMP")</f>
        <v/>
      </c>
      <c r="J64" s="17">
        <f>SUMIFS($M$4:$M$53,$A$4:$A$53,A64)</f>
        <v/>
      </c>
    </row>
    <row r="65">
      <c r="A65" s="9" t="inlineStr">
        <is>
          <t>SDA-8</t>
        </is>
      </c>
      <c r="B65" s="17">
        <f>SUMIFS($E$4:$E$53,$A$4:$A$53,A65,$C$4:$C$53,"Impervious Vehicular")+SUMIFS($E$4:$E$53,$A$4:$A$53,A65,$C$4:$C$53,"Impervious Non-Vehicular")</f>
        <v/>
      </c>
      <c r="C65" s="17">
        <f>SUMIFS($E$4:$E$53,$A$4:$A$53,A65,$C$4:$C$53,"Compacted (Open Space)")</f>
        <v/>
      </c>
      <c r="D65" s="17">
        <f>SUMIFS($E$4:$E$53,$A$4:$A$53,A65,$C$4:$C$53,"Natural (Woods)")</f>
        <v/>
      </c>
      <c r="E65" s="17">
        <f>SUMIFS($E$4:$E$53,$A$4:$A$53,A65,$C$4:$C$53,"BMP")</f>
        <v/>
      </c>
      <c r="F65" s="17">
        <f>SUMIFS($G$4:$G$53,$A$4:$A$53,A65,$C$4:$C$53,"Impervious Vehicular")+SUMIFS($G$4:$G$53,$A$4:$A$53,A65,$C$4:$C$53,"Impervious Non-Vehicular")</f>
        <v/>
      </c>
      <c r="G65" s="17">
        <f>SUMIFS($G$4:$G$53,$A$4:$A$53,A65,$C$4:$C$53,"Compacted (Open Space)")</f>
        <v/>
      </c>
      <c r="H65" s="17">
        <f>SUMIFS($G$4:$G$53,$A$4:$A$53,A65,$C$4:$C$53,"Natural (Woods)")</f>
        <v/>
      </c>
      <c r="I65" s="17">
        <f>SUMIFS($G$4:$G$53,$A$4:$A$53,A65,$C$4:$C$53,"BMP")</f>
        <v/>
      </c>
      <c r="J65" s="17">
        <f>SUMIFS($M$4:$M$53,$A$4:$A$53,A65)</f>
        <v/>
      </c>
    </row>
    <row r="66">
      <c r="A66" s="9" t="inlineStr">
        <is>
          <t>SDA-9</t>
        </is>
      </c>
      <c r="B66" s="17">
        <f>SUMIFS($E$4:$E$53,$A$4:$A$53,A66,$C$4:$C$53,"Impervious Vehicular")+SUMIFS($E$4:$E$53,$A$4:$A$53,A66,$C$4:$C$53,"Impervious Non-Vehicular")</f>
        <v/>
      </c>
      <c r="C66" s="17">
        <f>SUMIFS($E$4:$E$53,$A$4:$A$53,A66,$C$4:$C$53,"Compacted (Open Space)")</f>
        <v/>
      </c>
      <c r="D66" s="17">
        <f>SUMIFS($E$4:$E$53,$A$4:$A$53,A66,$C$4:$C$53,"Natural (Woods)")</f>
        <v/>
      </c>
      <c r="E66" s="17">
        <f>SUMIFS($E$4:$E$53,$A$4:$A$53,A66,$C$4:$C$53,"BMP")</f>
        <v/>
      </c>
      <c r="F66" s="17">
        <f>SUMIFS($G$4:$G$53,$A$4:$A$53,A66,$C$4:$C$53,"Impervious Vehicular")+SUMIFS($G$4:$G$53,$A$4:$A$53,A66,$C$4:$C$53,"Impervious Non-Vehicular")</f>
        <v/>
      </c>
      <c r="G66" s="17">
        <f>SUMIFS($G$4:$G$53,$A$4:$A$53,A66,$C$4:$C$53,"Compacted (Open Space)")</f>
        <v/>
      </c>
      <c r="H66" s="17">
        <f>SUMIFS($G$4:$G$53,$A$4:$A$53,A66,$C$4:$C$53,"Natural (Woods)")</f>
        <v/>
      </c>
      <c r="I66" s="17">
        <f>SUMIFS($G$4:$G$53,$A$4:$A$53,A66,$C$4:$C$53,"BMP")</f>
        <v/>
      </c>
      <c r="J66" s="17">
        <f>SUMIFS($M$4:$M$53,$A$4:$A$53,A66)</f>
        <v/>
      </c>
    </row>
    <row r="67">
      <c r="A67" s="21" t="inlineStr">
        <is>
          <t>SDA-10</t>
        </is>
      </c>
      <c r="B67" s="22">
        <f>SUMIFS($E$4:$E$53,$A$4:$A$53,A67,$C$4:$C$53,"Impervious Vehicular")+SUMIFS($E$4:$E$53,$A$4:$A$53,A67,$C$4:$C$53,"Impervious Non-Vehicular")</f>
        <v/>
      </c>
      <c r="C67" s="22">
        <f>SUMIFS($E$4:$E$53,$A$4:$A$53,A67,$C$4:$C$53,"Compacted (Open Space)")</f>
        <v/>
      </c>
      <c r="D67" s="22">
        <f>SUMIFS($E$4:$E$53,$A$4:$A$53,A67,$C$4:$C$53,"Natural (Woods)")</f>
        <v/>
      </c>
      <c r="E67" s="22">
        <f>SUMIFS($E$4:$E$53,$A$4:$A$53,A67,$C$4:$C$53,"BMP")</f>
        <v/>
      </c>
      <c r="F67" s="22">
        <f>SUMIFS($G$4:$G$53,$A$4:$A$53,A67,$C$4:$C$53,"Impervious Vehicular")+SUMIFS($G$4:$G$53,$A$4:$A$53,A67,$C$4:$C$53,"Impervious Non-Vehicular")</f>
        <v/>
      </c>
      <c r="G67" s="22">
        <f>SUMIFS($G$4:$G$53,$A$4:$A$53,A67,$C$4:$C$53,"Compacted (Open Space)")</f>
        <v/>
      </c>
      <c r="H67" s="22">
        <f>SUMIFS($G$4:$G$53,$A$4:$A$53,A67,$C$4:$C$53,"Natural (Woods)")</f>
        <v/>
      </c>
      <c r="I67" s="22">
        <f>SUMIFS($G$4:$G$53,$A$4:$A$53,A67,$C$4:$C$53,"BMP")</f>
        <v/>
      </c>
      <c r="J67" s="22">
        <f>SUMIFS($M$4:$M$53,$A$4:$A$53,A67)</f>
        <v/>
      </c>
    </row>
  </sheetData>
  <mergeCells count="2">
    <mergeCell ref="A56:N56"/>
    <mergeCell ref="A1:N1"/>
  </mergeCells>
  <dataValidations count="3">
    <dataValidation sqref="B4:B53" showDropDown="0" showInputMessage="0" showErrorMessage="0" allowBlank="1" type="list">
      <formula1>"Yes,No"</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showGridLines="0" workbookViewId="0">
      <selection activeCell="A1" sqref="A1"/>
    </sheetView>
  </sheetViews>
  <sheetFormatPr baseColWidth="8" defaultRowHeight="15"/>
  <cols>
    <col width="14" customWidth="1" min="1" max="1"/>
    <col width="12" customWidth="1" min="2" max="2"/>
    <col width="24" customWidth="1" min="3" max="3"/>
    <col width="8" customWidth="1" min="4" max="4"/>
    <col width="14" customWidth="1" min="5" max="5"/>
    <col width="14" customWidth="1" min="6" max="6"/>
    <col width="8" customWidth="1" min="7" max="7"/>
    <col width="14" customWidth="1" min="8" max="8"/>
    <col width="14" customWidth="1" min="9" max="9"/>
  </cols>
  <sheetData>
    <row r="1" ht="24" customHeight="1">
      <c r="A1" s="1" t="inlineStr">
        <is>
          <t>CDA — Contributing Drainage Areas (one row per CDA × Land Use × HSG)</t>
        </is>
      </c>
      <c r="B1" s="5" t="n"/>
      <c r="C1" s="5" t="n"/>
      <c r="D1" s="5" t="n"/>
      <c r="E1" s="5" t="n"/>
      <c r="F1" s="5" t="n"/>
      <c r="G1" s="5" t="n"/>
      <c r="H1" s="5" t="n"/>
      <c r="I1" s="2" t="n"/>
    </row>
    <row r="3" ht="36" customHeight="1">
      <c r="A3" s="16" t="inlineStr">
        <is>
          <t>CDA_ID</t>
        </is>
      </c>
      <c r="B3" s="16" t="inlineStr">
        <is>
          <t>SDA_ID</t>
        </is>
      </c>
      <c r="C3" s="16" t="inlineStr">
        <is>
          <t>Land Use</t>
        </is>
      </c>
      <c r="D3" s="16" t="inlineStr">
        <is>
          <t>HSG</t>
        </is>
      </c>
      <c r="E3" s="16" t="inlineStr">
        <is>
          <t>Within LOD (SF)</t>
        </is>
      </c>
      <c r="F3" s="16" t="inlineStr">
        <is>
          <t>Outside LOD (SF)</t>
        </is>
      </c>
      <c r="G3" s="16" t="inlineStr">
        <is>
          <t>Rv</t>
        </is>
      </c>
      <c r="H3" s="16" t="inlineStr">
        <is>
          <t>CDA SWRv Within (CF)</t>
        </is>
      </c>
      <c r="I3" s="16" t="inlineStr">
        <is>
          <t>CDA SWRv Outside (CF)</t>
        </is>
      </c>
    </row>
    <row r="4">
      <c r="A4" s="4" t="n"/>
      <c r="B4" s="4" t="n"/>
      <c r="C4" s="4" t="n"/>
      <c r="D4" s="4" t="n"/>
      <c r="E4" s="4" t="n"/>
      <c r="F4" s="4" t="n"/>
      <c r="G4" s="17">
        <f>IFERROR(VLOOKUP(C4,PARAMS_Rv,2,FALSE),"")</f>
        <v/>
      </c>
      <c r="H4" s="17">
        <f>IFERROR(E4*G4*PROJECT_Rainfall/12,0)</f>
        <v/>
      </c>
      <c r="I4" s="17">
        <f>IFERROR(F4*G4*PROJECT_Rainfall/12,0)</f>
        <v/>
      </c>
    </row>
    <row r="5">
      <c r="A5" s="4" t="n"/>
      <c r="B5" s="4" t="n"/>
      <c r="C5" s="4" t="n"/>
      <c r="D5" s="4" t="n"/>
      <c r="E5" s="4" t="n"/>
      <c r="F5" s="4" t="n"/>
      <c r="G5" s="17">
        <f>IFERROR(VLOOKUP(C5,PARAMS_Rv,2,FALSE),"")</f>
        <v/>
      </c>
      <c r="H5" s="17">
        <f>IFERROR(E5*G5*PROJECT_Rainfall/12,0)</f>
        <v/>
      </c>
      <c r="I5" s="17">
        <f>IFERROR(F5*G5*PROJECT_Rainfall/12,0)</f>
        <v/>
      </c>
    </row>
    <row r="6">
      <c r="A6" s="4" t="n"/>
      <c r="B6" s="4" t="n"/>
      <c r="C6" s="4" t="n"/>
      <c r="D6" s="4" t="n"/>
      <c r="E6" s="4" t="n"/>
      <c r="F6" s="4" t="n"/>
      <c r="G6" s="17">
        <f>IFERROR(VLOOKUP(C6,PARAMS_Rv,2,FALSE),"")</f>
        <v/>
      </c>
      <c r="H6" s="17">
        <f>IFERROR(E6*G6*PROJECT_Rainfall/12,0)</f>
        <v/>
      </c>
      <c r="I6" s="17">
        <f>IFERROR(F6*G6*PROJECT_Rainfall/12,0)</f>
        <v/>
      </c>
    </row>
    <row r="7">
      <c r="A7" s="4" t="n"/>
      <c r="B7" s="4" t="n"/>
      <c r="C7" s="4" t="n"/>
      <c r="D7" s="4" t="n"/>
      <c r="E7" s="4" t="n"/>
      <c r="F7" s="4" t="n"/>
      <c r="G7" s="17">
        <f>IFERROR(VLOOKUP(C7,PARAMS_Rv,2,FALSE),"")</f>
        <v/>
      </c>
      <c r="H7" s="17">
        <f>IFERROR(E7*G7*PROJECT_Rainfall/12,0)</f>
        <v/>
      </c>
      <c r="I7" s="17">
        <f>IFERROR(F7*G7*PROJECT_Rainfall/12,0)</f>
        <v/>
      </c>
    </row>
    <row r="8">
      <c r="A8" s="4" t="n"/>
      <c r="B8" s="4" t="n"/>
      <c r="C8" s="4" t="n"/>
      <c r="D8" s="4" t="n"/>
      <c r="E8" s="4" t="n"/>
      <c r="F8" s="4" t="n"/>
      <c r="G8" s="17">
        <f>IFERROR(VLOOKUP(C8,PARAMS_Rv,2,FALSE),"")</f>
        <v/>
      </c>
      <c r="H8" s="17">
        <f>IFERROR(E8*G8*PROJECT_Rainfall/12,0)</f>
        <v/>
      </c>
      <c r="I8" s="17">
        <f>IFERROR(F8*G8*PROJECT_Rainfall/12,0)</f>
        <v/>
      </c>
    </row>
    <row r="9">
      <c r="A9" s="4" t="n"/>
      <c r="B9" s="4" t="n"/>
      <c r="C9" s="4" t="n"/>
      <c r="D9" s="4" t="n"/>
      <c r="E9" s="4" t="n"/>
      <c r="F9" s="4" t="n"/>
      <c r="G9" s="17">
        <f>IFERROR(VLOOKUP(C9,PARAMS_Rv,2,FALSE),"")</f>
        <v/>
      </c>
      <c r="H9" s="17">
        <f>IFERROR(E9*G9*PROJECT_Rainfall/12,0)</f>
        <v/>
      </c>
      <c r="I9" s="17">
        <f>IFERROR(F9*G9*PROJECT_Rainfall/12,0)</f>
        <v/>
      </c>
    </row>
    <row r="10">
      <c r="A10" s="4" t="n"/>
      <c r="B10" s="4" t="n"/>
      <c r="C10" s="4" t="n"/>
      <c r="D10" s="4" t="n"/>
      <c r="E10" s="4" t="n"/>
      <c r="F10" s="4" t="n"/>
      <c r="G10" s="17">
        <f>IFERROR(VLOOKUP(C10,PARAMS_Rv,2,FALSE),"")</f>
        <v/>
      </c>
      <c r="H10" s="17">
        <f>IFERROR(E10*G10*PROJECT_Rainfall/12,0)</f>
        <v/>
      </c>
      <c r="I10" s="17">
        <f>IFERROR(F10*G10*PROJECT_Rainfall/12,0)</f>
        <v/>
      </c>
    </row>
    <row r="11">
      <c r="A11" s="4" t="n"/>
      <c r="B11" s="4" t="n"/>
      <c r="C11" s="4" t="n"/>
      <c r="D11" s="4" t="n"/>
      <c r="E11" s="4" t="n"/>
      <c r="F11" s="4" t="n"/>
      <c r="G11" s="17">
        <f>IFERROR(VLOOKUP(C11,PARAMS_Rv,2,FALSE),"")</f>
        <v/>
      </c>
      <c r="H11" s="17">
        <f>IFERROR(E11*G11*PROJECT_Rainfall/12,0)</f>
        <v/>
      </c>
      <c r="I11" s="17">
        <f>IFERROR(F11*G11*PROJECT_Rainfall/12,0)</f>
        <v/>
      </c>
    </row>
    <row r="12">
      <c r="A12" s="4" t="n"/>
      <c r="B12" s="4" t="n"/>
      <c r="C12" s="4" t="n"/>
      <c r="D12" s="4" t="n"/>
      <c r="E12" s="4" t="n"/>
      <c r="F12" s="4" t="n"/>
      <c r="G12" s="17">
        <f>IFERROR(VLOOKUP(C12,PARAMS_Rv,2,FALSE),"")</f>
        <v/>
      </c>
      <c r="H12" s="17">
        <f>IFERROR(E12*G12*PROJECT_Rainfall/12,0)</f>
        <v/>
      </c>
      <c r="I12" s="17">
        <f>IFERROR(F12*G12*PROJECT_Rainfall/12,0)</f>
        <v/>
      </c>
    </row>
    <row r="13">
      <c r="A13" s="4" t="n"/>
      <c r="B13" s="4" t="n"/>
      <c r="C13" s="4" t="n"/>
      <c r="D13" s="4" t="n"/>
      <c r="E13" s="4" t="n"/>
      <c r="F13" s="4" t="n"/>
      <c r="G13" s="17">
        <f>IFERROR(VLOOKUP(C13,PARAMS_Rv,2,FALSE),"")</f>
        <v/>
      </c>
      <c r="H13" s="17">
        <f>IFERROR(E13*G13*PROJECT_Rainfall/12,0)</f>
        <v/>
      </c>
      <c r="I13" s="17">
        <f>IFERROR(F13*G13*PROJECT_Rainfall/12,0)</f>
        <v/>
      </c>
    </row>
    <row r="14">
      <c r="A14" s="4" t="n"/>
      <c r="B14" s="4" t="n"/>
      <c r="C14" s="4" t="n"/>
      <c r="D14" s="4" t="n"/>
      <c r="E14" s="4" t="n"/>
      <c r="F14" s="4" t="n"/>
      <c r="G14" s="17">
        <f>IFERROR(VLOOKUP(C14,PARAMS_Rv,2,FALSE),"")</f>
        <v/>
      </c>
      <c r="H14" s="17">
        <f>IFERROR(E14*G14*PROJECT_Rainfall/12,0)</f>
        <v/>
      </c>
      <c r="I14" s="17">
        <f>IFERROR(F14*G14*PROJECT_Rainfall/12,0)</f>
        <v/>
      </c>
    </row>
    <row r="15">
      <c r="A15" s="4" t="n"/>
      <c r="B15" s="4" t="n"/>
      <c r="C15" s="4" t="n"/>
      <c r="D15" s="4" t="n"/>
      <c r="E15" s="4" t="n"/>
      <c r="F15" s="4" t="n"/>
      <c r="G15" s="17">
        <f>IFERROR(VLOOKUP(C15,PARAMS_Rv,2,FALSE),"")</f>
        <v/>
      </c>
      <c r="H15" s="17">
        <f>IFERROR(E15*G15*PROJECT_Rainfall/12,0)</f>
        <v/>
      </c>
      <c r="I15" s="17">
        <f>IFERROR(F15*G15*PROJECT_Rainfall/12,0)</f>
        <v/>
      </c>
    </row>
    <row r="16">
      <c r="A16" s="4" t="n"/>
      <c r="B16" s="4" t="n"/>
      <c r="C16" s="4" t="n"/>
      <c r="D16" s="4" t="n"/>
      <c r="E16" s="4" t="n"/>
      <c r="F16" s="4" t="n"/>
      <c r="G16" s="17">
        <f>IFERROR(VLOOKUP(C16,PARAMS_Rv,2,FALSE),"")</f>
        <v/>
      </c>
      <c r="H16" s="17">
        <f>IFERROR(E16*G16*PROJECT_Rainfall/12,0)</f>
        <v/>
      </c>
      <c r="I16" s="17">
        <f>IFERROR(F16*G16*PROJECT_Rainfall/12,0)</f>
        <v/>
      </c>
    </row>
    <row r="17">
      <c r="A17" s="4" t="n"/>
      <c r="B17" s="4" t="n"/>
      <c r="C17" s="4" t="n"/>
      <c r="D17" s="4" t="n"/>
      <c r="E17" s="4" t="n"/>
      <c r="F17" s="4" t="n"/>
      <c r="G17" s="17">
        <f>IFERROR(VLOOKUP(C17,PARAMS_Rv,2,FALSE),"")</f>
        <v/>
      </c>
      <c r="H17" s="17">
        <f>IFERROR(E17*G17*PROJECT_Rainfall/12,0)</f>
        <v/>
      </c>
      <c r="I17" s="17">
        <f>IFERROR(F17*G17*PROJECT_Rainfall/12,0)</f>
        <v/>
      </c>
    </row>
    <row r="18">
      <c r="A18" s="4" t="n"/>
      <c r="B18" s="4" t="n"/>
      <c r="C18" s="4" t="n"/>
      <c r="D18" s="4" t="n"/>
      <c r="E18" s="4" t="n"/>
      <c r="F18" s="4" t="n"/>
      <c r="G18" s="17">
        <f>IFERROR(VLOOKUP(C18,PARAMS_Rv,2,FALSE),"")</f>
        <v/>
      </c>
      <c r="H18" s="17">
        <f>IFERROR(E18*G18*PROJECT_Rainfall/12,0)</f>
        <v/>
      </c>
      <c r="I18" s="17">
        <f>IFERROR(F18*G18*PROJECT_Rainfall/12,0)</f>
        <v/>
      </c>
    </row>
    <row r="19">
      <c r="A19" s="4" t="n"/>
      <c r="B19" s="4" t="n"/>
      <c r="C19" s="4" t="n"/>
      <c r="D19" s="4" t="n"/>
      <c r="E19" s="4" t="n"/>
      <c r="F19" s="4" t="n"/>
      <c r="G19" s="17">
        <f>IFERROR(VLOOKUP(C19,PARAMS_Rv,2,FALSE),"")</f>
        <v/>
      </c>
      <c r="H19" s="17">
        <f>IFERROR(E19*G19*PROJECT_Rainfall/12,0)</f>
        <v/>
      </c>
      <c r="I19" s="17">
        <f>IFERROR(F19*G19*PROJECT_Rainfall/12,0)</f>
        <v/>
      </c>
    </row>
    <row r="20">
      <c r="A20" s="4" t="n"/>
      <c r="B20" s="4" t="n"/>
      <c r="C20" s="4" t="n"/>
      <c r="D20" s="4" t="n"/>
      <c r="E20" s="4" t="n"/>
      <c r="F20" s="4" t="n"/>
      <c r="G20" s="17">
        <f>IFERROR(VLOOKUP(C20,PARAMS_Rv,2,FALSE),"")</f>
        <v/>
      </c>
      <c r="H20" s="17">
        <f>IFERROR(E20*G20*PROJECT_Rainfall/12,0)</f>
        <v/>
      </c>
      <c r="I20" s="17">
        <f>IFERROR(F20*G20*PROJECT_Rainfall/12,0)</f>
        <v/>
      </c>
    </row>
    <row r="21">
      <c r="A21" s="4" t="n"/>
      <c r="B21" s="4" t="n"/>
      <c r="C21" s="4" t="n"/>
      <c r="D21" s="4" t="n"/>
      <c r="E21" s="4" t="n"/>
      <c r="F21" s="4" t="n"/>
      <c r="G21" s="17">
        <f>IFERROR(VLOOKUP(C21,PARAMS_Rv,2,FALSE),"")</f>
        <v/>
      </c>
      <c r="H21" s="17">
        <f>IFERROR(E21*G21*PROJECT_Rainfall/12,0)</f>
        <v/>
      </c>
      <c r="I21" s="17">
        <f>IFERROR(F21*G21*PROJECT_Rainfall/12,0)</f>
        <v/>
      </c>
    </row>
    <row r="22">
      <c r="A22" s="4" t="n"/>
      <c r="B22" s="4" t="n"/>
      <c r="C22" s="4" t="n"/>
      <c r="D22" s="4" t="n"/>
      <c r="E22" s="4" t="n"/>
      <c r="F22" s="4" t="n"/>
      <c r="G22" s="17">
        <f>IFERROR(VLOOKUP(C22,PARAMS_Rv,2,FALSE),"")</f>
        <v/>
      </c>
      <c r="H22" s="17">
        <f>IFERROR(E22*G22*PROJECT_Rainfall/12,0)</f>
        <v/>
      </c>
      <c r="I22" s="17">
        <f>IFERROR(F22*G22*PROJECT_Rainfall/12,0)</f>
        <v/>
      </c>
    </row>
    <row r="23">
      <c r="A23" s="4" t="n"/>
      <c r="B23" s="4" t="n"/>
      <c r="C23" s="4" t="n"/>
      <c r="D23" s="4" t="n"/>
      <c r="E23" s="4" t="n"/>
      <c r="F23" s="4" t="n"/>
      <c r="G23" s="17">
        <f>IFERROR(VLOOKUP(C23,PARAMS_Rv,2,FALSE),"")</f>
        <v/>
      </c>
      <c r="H23" s="17">
        <f>IFERROR(E23*G23*PROJECT_Rainfall/12,0)</f>
        <v/>
      </c>
      <c r="I23" s="17">
        <f>IFERROR(F23*G23*PROJECT_Rainfall/12,0)</f>
        <v/>
      </c>
    </row>
    <row r="24">
      <c r="A24" s="4" t="n"/>
      <c r="B24" s="4" t="n"/>
      <c r="C24" s="4" t="n"/>
      <c r="D24" s="4" t="n"/>
      <c r="E24" s="4" t="n"/>
      <c r="F24" s="4" t="n"/>
      <c r="G24" s="17">
        <f>IFERROR(VLOOKUP(C24,PARAMS_Rv,2,FALSE),"")</f>
        <v/>
      </c>
      <c r="H24" s="17">
        <f>IFERROR(E24*G24*PROJECT_Rainfall/12,0)</f>
        <v/>
      </c>
      <c r="I24" s="17">
        <f>IFERROR(F24*G24*PROJECT_Rainfall/12,0)</f>
        <v/>
      </c>
    </row>
    <row r="25">
      <c r="A25" s="4" t="n"/>
      <c r="B25" s="4" t="n"/>
      <c r="C25" s="4" t="n"/>
      <c r="D25" s="4" t="n"/>
      <c r="E25" s="4" t="n"/>
      <c r="F25" s="4" t="n"/>
      <c r="G25" s="17">
        <f>IFERROR(VLOOKUP(C25,PARAMS_Rv,2,FALSE),"")</f>
        <v/>
      </c>
      <c r="H25" s="17">
        <f>IFERROR(E25*G25*PROJECT_Rainfall/12,0)</f>
        <v/>
      </c>
      <c r="I25" s="17">
        <f>IFERROR(F25*G25*PROJECT_Rainfall/12,0)</f>
        <v/>
      </c>
    </row>
    <row r="26">
      <c r="A26" s="4" t="n"/>
      <c r="B26" s="4" t="n"/>
      <c r="C26" s="4" t="n"/>
      <c r="D26" s="4" t="n"/>
      <c r="E26" s="4" t="n"/>
      <c r="F26" s="4" t="n"/>
      <c r="G26" s="17">
        <f>IFERROR(VLOOKUP(C26,PARAMS_Rv,2,FALSE),"")</f>
        <v/>
      </c>
      <c r="H26" s="17">
        <f>IFERROR(E26*G26*PROJECT_Rainfall/12,0)</f>
        <v/>
      </c>
      <c r="I26" s="17">
        <f>IFERROR(F26*G26*PROJECT_Rainfall/12,0)</f>
        <v/>
      </c>
    </row>
    <row r="27">
      <c r="A27" s="4" t="n"/>
      <c r="B27" s="4" t="n"/>
      <c r="C27" s="4" t="n"/>
      <c r="D27" s="4" t="n"/>
      <c r="E27" s="4" t="n"/>
      <c r="F27" s="4" t="n"/>
      <c r="G27" s="17">
        <f>IFERROR(VLOOKUP(C27,PARAMS_Rv,2,FALSE),"")</f>
        <v/>
      </c>
      <c r="H27" s="17">
        <f>IFERROR(E27*G27*PROJECT_Rainfall/12,0)</f>
        <v/>
      </c>
      <c r="I27" s="17">
        <f>IFERROR(F27*G27*PROJECT_Rainfall/12,0)</f>
        <v/>
      </c>
    </row>
    <row r="28">
      <c r="A28" s="4" t="n"/>
      <c r="B28" s="4" t="n"/>
      <c r="C28" s="4" t="n"/>
      <c r="D28" s="4" t="n"/>
      <c r="E28" s="4" t="n"/>
      <c r="F28" s="4" t="n"/>
      <c r="G28" s="17">
        <f>IFERROR(VLOOKUP(C28,PARAMS_Rv,2,FALSE),"")</f>
        <v/>
      </c>
      <c r="H28" s="17">
        <f>IFERROR(E28*G28*PROJECT_Rainfall/12,0)</f>
        <v/>
      </c>
      <c r="I28" s="17">
        <f>IFERROR(F28*G28*PROJECT_Rainfall/12,0)</f>
        <v/>
      </c>
    </row>
    <row r="29">
      <c r="A29" s="4" t="n"/>
      <c r="B29" s="4" t="n"/>
      <c r="C29" s="4" t="n"/>
      <c r="D29" s="4" t="n"/>
      <c r="E29" s="4" t="n"/>
      <c r="F29" s="4" t="n"/>
      <c r="G29" s="17">
        <f>IFERROR(VLOOKUP(C29,PARAMS_Rv,2,FALSE),"")</f>
        <v/>
      </c>
      <c r="H29" s="17">
        <f>IFERROR(E29*G29*PROJECT_Rainfall/12,0)</f>
        <v/>
      </c>
      <c r="I29" s="17">
        <f>IFERROR(F29*G29*PROJECT_Rainfall/12,0)</f>
        <v/>
      </c>
    </row>
    <row r="30">
      <c r="A30" s="4" t="n"/>
      <c r="B30" s="4" t="n"/>
      <c r="C30" s="4" t="n"/>
      <c r="D30" s="4" t="n"/>
      <c r="E30" s="4" t="n"/>
      <c r="F30" s="4" t="n"/>
      <c r="G30" s="17">
        <f>IFERROR(VLOOKUP(C30,PARAMS_Rv,2,FALSE),"")</f>
        <v/>
      </c>
      <c r="H30" s="17">
        <f>IFERROR(E30*G30*PROJECT_Rainfall/12,0)</f>
        <v/>
      </c>
      <c r="I30" s="17">
        <f>IFERROR(F30*G30*PROJECT_Rainfall/12,0)</f>
        <v/>
      </c>
    </row>
    <row r="31">
      <c r="A31" s="4" t="n"/>
      <c r="B31" s="4" t="n"/>
      <c r="C31" s="4" t="n"/>
      <c r="D31" s="4" t="n"/>
      <c r="E31" s="4" t="n"/>
      <c r="F31" s="4" t="n"/>
      <c r="G31" s="17">
        <f>IFERROR(VLOOKUP(C31,PARAMS_Rv,2,FALSE),"")</f>
        <v/>
      </c>
      <c r="H31" s="17">
        <f>IFERROR(E31*G31*PROJECT_Rainfall/12,0)</f>
        <v/>
      </c>
      <c r="I31" s="17">
        <f>IFERROR(F31*G31*PROJECT_Rainfall/12,0)</f>
        <v/>
      </c>
    </row>
    <row r="32">
      <c r="A32" s="4" t="n"/>
      <c r="B32" s="4" t="n"/>
      <c r="C32" s="4" t="n"/>
      <c r="D32" s="4" t="n"/>
      <c r="E32" s="4" t="n"/>
      <c r="F32" s="4" t="n"/>
      <c r="G32" s="17">
        <f>IFERROR(VLOOKUP(C32,PARAMS_Rv,2,FALSE),"")</f>
        <v/>
      </c>
      <c r="H32" s="17">
        <f>IFERROR(E32*G32*PROJECT_Rainfall/12,0)</f>
        <v/>
      </c>
      <c r="I32" s="17">
        <f>IFERROR(F32*G32*PROJECT_Rainfall/12,0)</f>
        <v/>
      </c>
    </row>
    <row r="33">
      <c r="A33" s="4" t="n"/>
      <c r="B33" s="4" t="n"/>
      <c r="C33" s="4" t="n"/>
      <c r="D33" s="4" t="n"/>
      <c r="E33" s="4" t="n"/>
      <c r="F33" s="4" t="n"/>
      <c r="G33" s="17">
        <f>IFERROR(VLOOKUP(C33,PARAMS_Rv,2,FALSE),"")</f>
        <v/>
      </c>
      <c r="H33" s="17">
        <f>IFERROR(E33*G33*PROJECT_Rainfall/12,0)</f>
        <v/>
      </c>
      <c r="I33" s="17">
        <f>IFERROR(F33*G33*PROJECT_Rainfall/12,0)</f>
        <v/>
      </c>
    </row>
    <row r="34">
      <c r="A34" s="4" t="n"/>
      <c r="B34" s="4" t="n"/>
      <c r="C34" s="4" t="n"/>
      <c r="D34" s="4" t="n"/>
      <c r="E34" s="4" t="n"/>
      <c r="F34" s="4" t="n"/>
      <c r="G34" s="17">
        <f>IFERROR(VLOOKUP(C34,PARAMS_Rv,2,FALSE),"")</f>
        <v/>
      </c>
      <c r="H34" s="17">
        <f>IFERROR(E34*G34*PROJECT_Rainfall/12,0)</f>
        <v/>
      </c>
      <c r="I34" s="17">
        <f>IFERROR(F34*G34*PROJECT_Rainfall/12,0)</f>
        <v/>
      </c>
    </row>
    <row r="35">
      <c r="A35" s="4" t="n"/>
      <c r="B35" s="4" t="n"/>
      <c r="C35" s="4" t="n"/>
      <c r="D35" s="4" t="n"/>
      <c r="E35" s="4" t="n"/>
      <c r="F35" s="4" t="n"/>
      <c r="G35" s="17">
        <f>IFERROR(VLOOKUP(C35,PARAMS_Rv,2,FALSE),"")</f>
        <v/>
      </c>
      <c r="H35" s="17">
        <f>IFERROR(E35*G35*PROJECT_Rainfall/12,0)</f>
        <v/>
      </c>
      <c r="I35" s="17">
        <f>IFERROR(F35*G35*PROJECT_Rainfall/12,0)</f>
        <v/>
      </c>
    </row>
    <row r="36">
      <c r="A36" s="4" t="n"/>
      <c r="B36" s="4" t="n"/>
      <c r="C36" s="4" t="n"/>
      <c r="D36" s="4" t="n"/>
      <c r="E36" s="4" t="n"/>
      <c r="F36" s="4" t="n"/>
      <c r="G36" s="17">
        <f>IFERROR(VLOOKUP(C36,PARAMS_Rv,2,FALSE),"")</f>
        <v/>
      </c>
      <c r="H36" s="17">
        <f>IFERROR(E36*G36*PROJECT_Rainfall/12,0)</f>
        <v/>
      </c>
      <c r="I36" s="17">
        <f>IFERROR(F36*G36*PROJECT_Rainfall/12,0)</f>
        <v/>
      </c>
    </row>
    <row r="37">
      <c r="A37" s="4" t="n"/>
      <c r="B37" s="4" t="n"/>
      <c r="C37" s="4" t="n"/>
      <c r="D37" s="4" t="n"/>
      <c r="E37" s="4" t="n"/>
      <c r="F37" s="4" t="n"/>
      <c r="G37" s="17">
        <f>IFERROR(VLOOKUP(C37,PARAMS_Rv,2,FALSE),"")</f>
        <v/>
      </c>
      <c r="H37" s="17">
        <f>IFERROR(E37*G37*PROJECT_Rainfall/12,0)</f>
        <v/>
      </c>
      <c r="I37" s="17">
        <f>IFERROR(F37*G37*PROJECT_Rainfall/12,0)</f>
        <v/>
      </c>
    </row>
    <row r="38">
      <c r="A38" s="4" t="n"/>
      <c r="B38" s="4" t="n"/>
      <c r="C38" s="4" t="n"/>
      <c r="D38" s="4" t="n"/>
      <c r="E38" s="4" t="n"/>
      <c r="F38" s="4" t="n"/>
      <c r="G38" s="17">
        <f>IFERROR(VLOOKUP(C38,PARAMS_Rv,2,FALSE),"")</f>
        <v/>
      </c>
      <c r="H38" s="17">
        <f>IFERROR(E38*G38*PROJECT_Rainfall/12,0)</f>
        <v/>
      </c>
      <c r="I38" s="17">
        <f>IFERROR(F38*G38*PROJECT_Rainfall/12,0)</f>
        <v/>
      </c>
    </row>
    <row r="39">
      <c r="A39" s="4" t="n"/>
      <c r="B39" s="4" t="n"/>
      <c r="C39" s="4" t="n"/>
      <c r="D39" s="4" t="n"/>
      <c r="E39" s="4" t="n"/>
      <c r="F39" s="4" t="n"/>
      <c r="G39" s="17">
        <f>IFERROR(VLOOKUP(C39,PARAMS_Rv,2,FALSE),"")</f>
        <v/>
      </c>
      <c r="H39" s="17">
        <f>IFERROR(E39*G39*PROJECT_Rainfall/12,0)</f>
        <v/>
      </c>
      <c r="I39" s="17">
        <f>IFERROR(F39*G39*PROJECT_Rainfall/12,0)</f>
        <v/>
      </c>
    </row>
    <row r="40">
      <c r="A40" s="4" t="n"/>
      <c r="B40" s="4" t="n"/>
      <c r="C40" s="4" t="n"/>
      <c r="D40" s="4" t="n"/>
      <c r="E40" s="4" t="n"/>
      <c r="F40" s="4" t="n"/>
      <c r="G40" s="17">
        <f>IFERROR(VLOOKUP(C40,PARAMS_Rv,2,FALSE),"")</f>
        <v/>
      </c>
      <c r="H40" s="17">
        <f>IFERROR(E40*G40*PROJECT_Rainfall/12,0)</f>
        <v/>
      </c>
      <c r="I40" s="17">
        <f>IFERROR(F40*G40*PROJECT_Rainfall/12,0)</f>
        <v/>
      </c>
    </row>
    <row r="41">
      <c r="A41" s="4" t="n"/>
      <c r="B41" s="4" t="n"/>
      <c r="C41" s="4" t="n"/>
      <c r="D41" s="4" t="n"/>
      <c r="E41" s="4" t="n"/>
      <c r="F41" s="4" t="n"/>
      <c r="G41" s="17">
        <f>IFERROR(VLOOKUP(C41,PARAMS_Rv,2,FALSE),"")</f>
        <v/>
      </c>
      <c r="H41" s="17">
        <f>IFERROR(E41*G41*PROJECT_Rainfall/12,0)</f>
        <v/>
      </c>
      <c r="I41" s="17">
        <f>IFERROR(F41*G41*PROJECT_Rainfall/12,0)</f>
        <v/>
      </c>
    </row>
    <row r="42">
      <c r="A42" s="4" t="n"/>
      <c r="B42" s="4" t="n"/>
      <c r="C42" s="4" t="n"/>
      <c r="D42" s="4" t="n"/>
      <c r="E42" s="4" t="n"/>
      <c r="F42" s="4" t="n"/>
      <c r="G42" s="17">
        <f>IFERROR(VLOOKUP(C42,PARAMS_Rv,2,FALSE),"")</f>
        <v/>
      </c>
      <c r="H42" s="17">
        <f>IFERROR(E42*G42*PROJECT_Rainfall/12,0)</f>
        <v/>
      </c>
      <c r="I42" s="17">
        <f>IFERROR(F42*G42*PROJECT_Rainfall/12,0)</f>
        <v/>
      </c>
    </row>
    <row r="43">
      <c r="A43" s="4" t="n"/>
      <c r="B43" s="4" t="n"/>
      <c r="C43" s="4" t="n"/>
      <c r="D43" s="4" t="n"/>
      <c r="E43" s="4" t="n"/>
      <c r="F43" s="4" t="n"/>
      <c r="G43" s="17">
        <f>IFERROR(VLOOKUP(C43,PARAMS_Rv,2,FALSE),"")</f>
        <v/>
      </c>
      <c r="H43" s="17">
        <f>IFERROR(E43*G43*PROJECT_Rainfall/12,0)</f>
        <v/>
      </c>
      <c r="I43" s="17">
        <f>IFERROR(F43*G43*PROJECT_Rainfall/12,0)</f>
        <v/>
      </c>
    </row>
    <row r="44">
      <c r="A44" s="4" t="n"/>
      <c r="B44" s="4" t="n"/>
      <c r="C44" s="4" t="n"/>
      <c r="D44" s="4" t="n"/>
      <c r="E44" s="4" t="n"/>
      <c r="F44" s="4" t="n"/>
      <c r="G44" s="17">
        <f>IFERROR(VLOOKUP(C44,PARAMS_Rv,2,FALSE),"")</f>
        <v/>
      </c>
      <c r="H44" s="17">
        <f>IFERROR(E44*G44*PROJECT_Rainfall/12,0)</f>
        <v/>
      </c>
      <c r="I44" s="17">
        <f>IFERROR(F44*G44*PROJECT_Rainfall/12,0)</f>
        <v/>
      </c>
    </row>
    <row r="45">
      <c r="A45" s="4" t="n"/>
      <c r="B45" s="4" t="n"/>
      <c r="C45" s="4" t="n"/>
      <c r="D45" s="4" t="n"/>
      <c r="E45" s="4" t="n"/>
      <c r="F45" s="4" t="n"/>
      <c r="G45" s="17">
        <f>IFERROR(VLOOKUP(C45,PARAMS_Rv,2,FALSE),"")</f>
        <v/>
      </c>
      <c r="H45" s="17">
        <f>IFERROR(E45*G45*PROJECT_Rainfall/12,0)</f>
        <v/>
      </c>
      <c r="I45" s="17">
        <f>IFERROR(F45*G45*PROJECT_Rainfall/12,0)</f>
        <v/>
      </c>
    </row>
    <row r="46">
      <c r="A46" s="4" t="n"/>
      <c r="B46" s="4" t="n"/>
      <c r="C46" s="4" t="n"/>
      <c r="D46" s="4" t="n"/>
      <c r="E46" s="4" t="n"/>
      <c r="F46" s="4" t="n"/>
      <c r="G46" s="17">
        <f>IFERROR(VLOOKUP(C46,PARAMS_Rv,2,FALSE),"")</f>
        <v/>
      </c>
      <c r="H46" s="17">
        <f>IFERROR(E46*G46*PROJECT_Rainfall/12,0)</f>
        <v/>
      </c>
      <c r="I46" s="17">
        <f>IFERROR(F46*G46*PROJECT_Rainfall/12,0)</f>
        <v/>
      </c>
    </row>
    <row r="47">
      <c r="A47" s="4" t="n"/>
      <c r="B47" s="4" t="n"/>
      <c r="C47" s="4" t="n"/>
      <c r="D47" s="4" t="n"/>
      <c r="E47" s="4" t="n"/>
      <c r="F47" s="4" t="n"/>
      <c r="G47" s="17">
        <f>IFERROR(VLOOKUP(C47,PARAMS_Rv,2,FALSE),"")</f>
        <v/>
      </c>
      <c r="H47" s="17">
        <f>IFERROR(E47*G47*PROJECT_Rainfall/12,0)</f>
        <v/>
      </c>
      <c r="I47" s="17">
        <f>IFERROR(F47*G47*PROJECT_Rainfall/12,0)</f>
        <v/>
      </c>
    </row>
    <row r="48">
      <c r="A48" s="4" t="n"/>
      <c r="B48" s="4" t="n"/>
      <c r="C48" s="4" t="n"/>
      <c r="D48" s="4" t="n"/>
      <c r="E48" s="4" t="n"/>
      <c r="F48" s="4" t="n"/>
      <c r="G48" s="17">
        <f>IFERROR(VLOOKUP(C48,PARAMS_Rv,2,FALSE),"")</f>
        <v/>
      </c>
      <c r="H48" s="17">
        <f>IFERROR(E48*G48*PROJECT_Rainfall/12,0)</f>
        <v/>
      </c>
      <c r="I48" s="17">
        <f>IFERROR(F48*G48*PROJECT_Rainfall/12,0)</f>
        <v/>
      </c>
    </row>
    <row r="49">
      <c r="A49" s="4" t="n"/>
      <c r="B49" s="4" t="n"/>
      <c r="C49" s="4" t="n"/>
      <c r="D49" s="4" t="n"/>
      <c r="E49" s="4" t="n"/>
      <c r="F49" s="4" t="n"/>
      <c r="G49" s="17">
        <f>IFERROR(VLOOKUP(C49,PARAMS_Rv,2,FALSE),"")</f>
        <v/>
      </c>
      <c r="H49" s="17">
        <f>IFERROR(E49*G49*PROJECT_Rainfall/12,0)</f>
        <v/>
      </c>
      <c r="I49" s="17">
        <f>IFERROR(F49*G49*PROJECT_Rainfall/12,0)</f>
        <v/>
      </c>
    </row>
    <row r="50">
      <c r="A50" s="4" t="n"/>
      <c r="B50" s="4" t="n"/>
      <c r="C50" s="4" t="n"/>
      <c r="D50" s="4" t="n"/>
      <c r="E50" s="4" t="n"/>
      <c r="F50" s="4" t="n"/>
      <c r="G50" s="17">
        <f>IFERROR(VLOOKUP(C50,PARAMS_Rv,2,FALSE),"")</f>
        <v/>
      </c>
      <c r="H50" s="17">
        <f>IFERROR(E50*G50*PROJECT_Rainfall/12,0)</f>
        <v/>
      </c>
      <c r="I50" s="17">
        <f>IFERROR(F50*G50*PROJECT_Rainfall/12,0)</f>
        <v/>
      </c>
    </row>
    <row r="51">
      <c r="A51" s="4" t="n"/>
      <c r="B51" s="4" t="n"/>
      <c r="C51" s="4" t="n"/>
      <c r="D51" s="4" t="n"/>
      <c r="E51" s="4" t="n"/>
      <c r="F51" s="4" t="n"/>
      <c r="G51" s="17">
        <f>IFERROR(VLOOKUP(C51,PARAMS_Rv,2,FALSE),"")</f>
        <v/>
      </c>
      <c r="H51" s="17">
        <f>IFERROR(E51*G51*PROJECT_Rainfall/12,0)</f>
        <v/>
      </c>
      <c r="I51" s="17">
        <f>IFERROR(F51*G51*PROJECT_Rainfall/12,0)</f>
        <v/>
      </c>
    </row>
    <row r="52">
      <c r="A52" s="4" t="n"/>
      <c r="B52" s="4" t="n"/>
      <c r="C52" s="4" t="n"/>
      <c r="D52" s="4" t="n"/>
      <c r="E52" s="4" t="n"/>
      <c r="F52" s="4" t="n"/>
      <c r="G52" s="17">
        <f>IFERROR(VLOOKUP(C52,PARAMS_Rv,2,FALSE),"")</f>
        <v/>
      </c>
      <c r="H52" s="17">
        <f>IFERROR(E52*G52*PROJECT_Rainfall/12,0)</f>
        <v/>
      </c>
      <c r="I52" s="17">
        <f>IFERROR(F52*G52*PROJECT_Rainfall/12,0)</f>
        <v/>
      </c>
    </row>
    <row r="53">
      <c r="A53" s="4" t="n"/>
      <c r="B53" s="4" t="n"/>
      <c r="C53" s="4" t="n"/>
      <c r="D53" s="4" t="n"/>
      <c r="E53" s="4" t="n"/>
      <c r="F53" s="4" t="n"/>
      <c r="G53" s="17">
        <f>IFERROR(VLOOKUP(C53,PARAMS_Rv,2,FALSE),"")</f>
        <v/>
      </c>
      <c r="H53" s="17">
        <f>IFERROR(E53*G53*PROJECT_Rainfall/12,0)</f>
        <v/>
      </c>
      <c r="I53" s="17">
        <f>IFERROR(F53*G53*PROJECT_Rainfall/12,0)</f>
        <v/>
      </c>
    </row>
    <row r="56">
      <c r="A56" s="18" t="inlineStr">
        <is>
          <t>CDA Summary — Max BMP Credit per CDA (DOEE 1.7" cap)</t>
        </is>
      </c>
      <c r="B56" s="19" t="n"/>
      <c r="C56" s="19" t="n"/>
      <c r="D56" s="19" t="n"/>
      <c r="E56" s="19" t="n"/>
      <c r="F56" s="19" t="n"/>
      <c r="G56" s="19" t="n"/>
      <c r="H56" s="19" t="n"/>
      <c r="I56" s="20" t="n"/>
    </row>
    <row r="57">
      <c r="A57" s="16" t="inlineStr">
        <is>
          <t>CDA_ID</t>
        </is>
      </c>
      <c r="B57" s="16" t="inlineStr">
        <is>
          <t>SDA_ID</t>
        </is>
      </c>
      <c r="C57" s="16" t="inlineStr">
        <is>
          <t>Total CDA Within LOD (SF)</t>
        </is>
      </c>
      <c r="D57" s="16" t="inlineStr">
        <is>
          <t>Max BMP Credit (CF)</t>
        </is>
      </c>
    </row>
    <row r="58">
      <c r="A58" s="9" t="inlineStr">
        <is>
          <t>CDA-1</t>
        </is>
      </c>
      <c r="B58" s="17">
        <f>IFERROR(INDEX($B$4:$B$53,MATCH(A58,$A$4:$A$53,0)),"")</f>
        <v/>
      </c>
      <c r="C58" s="17">
        <f>SUMIFS($E$4:$E$53,$A$4:$A$53,A58)</f>
        <v/>
      </c>
      <c r="D58" s="17">
        <f>C58*1.7/12</f>
        <v/>
      </c>
    </row>
    <row r="59">
      <c r="A59" s="9" t="inlineStr">
        <is>
          <t>CDA-2</t>
        </is>
      </c>
      <c r="B59" s="17">
        <f>IFERROR(INDEX($B$4:$B$53,MATCH(A59,$A$4:$A$53,0)),"")</f>
        <v/>
      </c>
      <c r="C59" s="17">
        <f>SUMIFS($E$4:$E$53,$A$4:$A$53,A59)</f>
        <v/>
      </c>
      <c r="D59" s="17">
        <f>C59*1.7/12</f>
        <v/>
      </c>
    </row>
    <row r="60">
      <c r="A60" s="9" t="inlineStr">
        <is>
          <t>CDA-3</t>
        </is>
      </c>
      <c r="B60" s="17">
        <f>IFERROR(INDEX($B$4:$B$53,MATCH(A60,$A$4:$A$53,0)),"")</f>
        <v/>
      </c>
      <c r="C60" s="17">
        <f>SUMIFS($E$4:$E$53,$A$4:$A$53,A60)</f>
        <v/>
      </c>
      <c r="D60" s="17">
        <f>C60*1.7/12</f>
        <v/>
      </c>
    </row>
    <row r="61">
      <c r="A61" s="9" t="inlineStr">
        <is>
          <t>CDA-4</t>
        </is>
      </c>
      <c r="B61" s="17">
        <f>IFERROR(INDEX($B$4:$B$53,MATCH(A61,$A$4:$A$53,0)),"")</f>
        <v/>
      </c>
      <c r="C61" s="17">
        <f>SUMIFS($E$4:$E$53,$A$4:$A$53,A61)</f>
        <v/>
      </c>
      <c r="D61" s="17">
        <f>C61*1.7/12</f>
        <v/>
      </c>
    </row>
    <row r="62">
      <c r="A62" s="9" t="inlineStr">
        <is>
          <t>CDA-5</t>
        </is>
      </c>
      <c r="B62" s="17">
        <f>IFERROR(INDEX($B$4:$B$53,MATCH(A62,$A$4:$A$53,0)),"")</f>
        <v/>
      </c>
      <c r="C62" s="17">
        <f>SUMIFS($E$4:$E$53,$A$4:$A$53,A62)</f>
        <v/>
      </c>
      <c r="D62" s="17">
        <f>C62*1.7/12</f>
        <v/>
      </c>
    </row>
    <row r="63">
      <c r="A63" s="9" t="inlineStr">
        <is>
          <t>CDA-6</t>
        </is>
      </c>
      <c r="B63" s="17">
        <f>IFERROR(INDEX($B$4:$B$53,MATCH(A63,$A$4:$A$53,0)),"")</f>
        <v/>
      </c>
      <c r="C63" s="17">
        <f>SUMIFS($E$4:$E$53,$A$4:$A$53,A63)</f>
        <v/>
      </c>
      <c r="D63" s="17">
        <f>C63*1.7/12</f>
        <v/>
      </c>
    </row>
    <row r="64">
      <c r="A64" s="9" t="inlineStr">
        <is>
          <t>CDA-7</t>
        </is>
      </c>
      <c r="B64" s="17">
        <f>IFERROR(INDEX($B$4:$B$53,MATCH(A64,$A$4:$A$53,0)),"")</f>
        <v/>
      </c>
      <c r="C64" s="17">
        <f>SUMIFS($E$4:$E$53,$A$4:$A$53,A64)</f>
        <v/>
      </c>
      <c r="D64" s="17">
        <f>C64*1.7/12</f>
        <v/>
      </c>
    </row>
    <row r="65">
      <c r="A65" s="9" t="inlineStr">
        <is>
          <t>CDA-8</t>
        </is>
      </c>
      <c r="B65" s="17">
        <f>IFERROR(INDEX($B$4:$B$53,MATCH(A65,$A$4:$A$53,0)),"")</f>
        <v/>
      </c>
      <c r="C65" s="17">
        <f>SUMIFS($E$4:$E$53,$A$4:$A$53,A65)</f>
        <v/>
      </c>
      <c r="D65" s="17">
        <f>C65*1.7/12</f>
        <v/>
      </c>
    </row>
    <row r="66">
      <c r="A66" s="9" t="inlineStr">
        <is>
          <t>CDA-9</t>
        </is>
      </c>
      <c r="B66" s="17">
        <f>IFERROR(INDEX($B$4:$B$53,MATCH(A66,$A$4:$A$53,0)),"")</f>
        <v/>
      </c>
      <c r="C66" s="17">
        <f>SUMIFS($E$4:$E$53,$A$4:$A$53,A66)</f>
        <v/>
      </c>
      <c r="D66" s="17">
        <f>C66*1.7/12</f>
        <v/>
      </c>
    </row>
    <row r="67">
      <c r="A67" s="21" t="inlineStr">
        <is>
          <t>CDA-10</t>
        </is>
      </c>
      <c r="B67" s="22">
        <f>IFERROR(INDEX($B$4:$B$53,MATCH(A67,$A$4:$A$53,0)),"")</f>
        <v/>
      </c>
      <c r="C67" s="22">
        <f>SUMIFS($E$4:$E$53,$A$4:$A$53,A67)</f>
        <v/>
      </c>
      <c r="D67" s="22">
        <f>C67*1.7/12</f>
        <v/>
      </c>
    </row>
  </sheetData>
  <mergeCells count="2">
    <mergeCell ref="A1:I1"/>
    <mergeCell ref="A56:I56"/>
  </mergeCells>
  <dataValidations count="3">
    <dataValidation sqref="B4:B53" showDropDown="0" showInputMessage="0" showErrorMessage="0" allowBlank="1" type="list">
      <formula1>=SDA_IDs</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67"/>
  <sheetViews>
    <sheetView showGridLines="0" workbookViewId="0">
      <selection activeCell="A1" sqref="A1"/>
    </sheetView>
  </sheetViews>
  <sheetFormatPr baseColWidth="8" defaultRowHeight="15"/>
  <cols>
    <col width="18" customWidth="1" min="1" max="1"/>
    <col width="12" customWidth="1" min="2" max="2"/>
    <col width="12" customWidth="1" min="3" max="3"/>
    <col width="20" customWidth="1" min="4" max="4"/>
    <col width="2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s>
  <sheetData>
    <row r="1" ht="24" customHeight="1">
      <c r="A1" s="1" t="inlineStr">
        <is>
          <t>BMP — Best Management Practices (sizing + retention credits)</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2" t="n"/>
    </row>
    <row r="2" ht="24" customHeight="1">
      <c r="A2" s="23" t="inlineStr">
        <is>
          <t>Ksat auto-populates from PARAMS_Ksat (by CDA dominant HSG) only for Enhanced sub-types. Standard/lined BMPs show 0 (no native-soil infiltration). Override with a site-measured value if testing is available.</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c r="AA2" s="24" t="n"/>
      <c r="AB2" s="24" t="n"/>
      <c r="AC2" s="24" t="n"/>
      <c r="AD2" s="24" t="n"/>
      <c r="AE2" s="24" t="n"/>
      <c r="AF2" s="24" t="n"/>
      <c r="AG2" s="24" t="n"/>
      <c r="AH2" s="24" t="n"/>
      <c r="AI2" s="24" t="n"/>
      <c r="AJ2" s="24" t="n"/>
      <c r="AK2" s="24" t="n"/>
      <c r="AL2" s="24" t="n"/>
      <c r="AM2" s="25" t="n"/>
    </row>
    <row r="3" ht="48" customHeight="1">
      <c r="A3" s="16" t="inlineStr">
        <is>
          <t>BMP Name</t>
        </is>
      </c>
      <c r="B3" s="16" t="inlineStr">
        <is>
          <t>SDA_ID</t>
        </is>
      </c>
      <c r="C3" s="16" t="inlineStr">
        <is>
          <t>CDA_ID</t>
        </is>
      </c>
      <c r="D3" s="16" t="inlineStr">
        <is>
          <t>BMP Type</t>
        </is>
      </c>
      <c r="E3" s="26" t="inlineStr">
        <is>
          <t>Sub-Type</t>
        </is>
      </c>
      <c r="F3" s="16" t="inlineStr">
        <is>
          <t>PP Surface Area Aₚ (SF)</t>
        </is>
      </c>
      <c r="G3" s="16" t="inlineStr">
        <is>
          <t>PP Reservoir dₚ (ft)</t>
        </is>
      </c>
      <c r="H3" s="16" t="inlineStr">
        <is>
          <t>PP Sump d_sump (ft)</t>
        </is>
      </c>
      <c r="I3" s="16" t="inlineStr">
        <is>
          <t>PP Ksat (ft/day)</t>
        </is>
      </c>
      <c r="J3" s="16" t="inlineStr">
        <is>
          <t>PP n_reservoir</t>
        </is>
      </c>
      <c r="K3" s="16" t="inlineStr">
        <is>
          <t>PP Sv (CF)</t>
        </is>
      </c>
      <c r="L3" s="16" t="inlineStr">
        <is>
          <t>PP Drawdown (days)</t>
        </is>
      </c>
      <c r="M3" s="26" t="inlineStr">
        <is>
          <t>PP Drawdown ≤ 2?</t>
        </is>
      </c>
      <c r="N3" s="16" t="inlineStr">
        <is>
          <t>Bio SA_top (SF)</t>
        </is>
      </c>
      <c r="O3" s="16" t="inlineStr">
        <is>
          <t>Bio SA_bot (SF)</t>
        </is>
      </c>
      <c r="P3" s="16" t="inlineStr">
        <is>
          <t>Bio SA_avg (SF)</t>
        </is>
      </c>
      <c r="Q3" s="16" t="inlineStr">
        <is>
          <t>Bio d_media (ft)</t>
        </is>
      </c>
      <c r="R3" s="16" t="inlineStr">
        <is>
          <t>Bio n_media</t>
        </is>
      </c>
      <c r="S3" s="16" t="inlineStr">
        <is>
          <t>Bio d_gravel (ft)</t>
        </is>
      </c>
      <c r="T3" s="16" t="inlineStr">
        <is>
          <t>Bio n_gravel</t>
        </is>
      </c>
      <c r="U3" s="16" t="inlineStr">
        <is>
          <t>Bio d_pond (ft)</t>
        </is>
      </c>
      <c r="V3" s="16" t="inlineStr">
        <is>
          <t>Bio Ksat (ft/day)</t>
        </is>
      </c>
      <c r="W3" s="16" t="inlineStr">
        <is>
          <t>Bio Sv (CF)</t>
        </is>
      </c>
      <c r="X3" s="26" t="inlineStr">
        <is>
          <t>Bio Drawdown (days)</t>
        </is>
      </c>
      <c r="Y3" s="16" t="inlineStr">
        <is>
          <t>WS Pool Vol (CF)</t>
        </is>
      </c>
      <c r="Z3" s="16" t="inlineStr">
        <is>
          <t>WS ED Vol (CF)</t>
        </is>
      </c>
      <c r="AA3" s="26" t="inlineStr">
        <is>
          <t>WS Sv (CF)</t>
        </is>
      </c>
      <c r="AB3" s="16" t="inlineStr">
        <is>
          <t># Planted Small</t>
        </is>
      </c>
      <c r="AC3" s="16" t="inlineStr">
        <is>
          <t># Planted Large</t>
        </is>
      </c>
      <c r="AD3" s="16" t="inlineStr">
        <is>
          <t># Preserved Small</t>
        </is>
      </c>
      <c r="AE3" s="16" t="inlineStr">
        <is>
          <t># Preserved Large</t>
        </is>
      </c>
      <c r="AF3" s="16" t="inlineStr">
        <is>
          <t># Preserved Special</t>
        </is>
      </c>
      <c r="AG3" s="16" t="inlineStr">
        <is>
          <t># Preserved Heritage</t>
        </is>
      </c>
      <c r="AH3" s="26" t="inlineStr">
        <is>
          <t>Tree Rv Total (CF)</t>
        </is>
      </c>
      <c r="AI3" s="16" t="inlineStr">
        <is>
          <t>Sv Total (CF)</t>
        </is>
      </c>
      <c r="AJ3" s="16" t="inlineStr">
        <is>
          <t>Ret. Multiplier</t>
        </is>
      </c>
      <c r="AK3" s="16" t="inlineStr">
        <is>
          <t>Rv Uncapped (CF)</t>
        </is>
      </c>
      <c r="AL3" s="16" t="inlineStr">
        <is>
          <t>Max BMP Credit (CF)</t>
        </is>
      </c>
      <c r="AM3" s="26" t="inlineStr">
        <is>
          <t>Rv Applied (CF)</t>
        </is>
      </c>
    </row>
    <row r="4">
      <c r="A4" s="4" t="n"/>
      <c r="B4" s="4" t="n"/>
      <c r="C4" s="4" t="n"/>
      <c r="D4" s="4" t="n"/>
      <c r="E4" s="27" t="n"/>
      <c r="F4" s="4" t="n"/>
      <c r="G4" s="4" t="n"/>
      <c r="H4" s="4" t="n"/>
      <c r="I4" s="4">
        <f>IFERROR(IF(OR(E4="Enhanced",E4="Underdrained Enhanced"),VLOOKUP(IF(SUMIFS('CDA'!$E$4:$E$53,'CDA'!$A$4:$A$53,C4,'CDA'!$D$4:$D$53,"D")&gt;0,"D",IF(SUMIFS('CDA'!$E$4:$E$53,'CDA'!$A$4:$A$53,C4,'CDA'!$D$4:$D$53,"C")&gt;0,"C",IF(SUMIFS('CDA'!$E$4:$E$53,'CDA'!$A$4:$A$53,C4,'CDA'!$D$4:$D$53,"B")&gt;0,"B",IF(SUMIFS('CDA'!$E$4:$E$53,'CDA'!$A$4:$A$53,C4,'CDA'!$D$4:$D$53,"A")&gt;0,"A","")))),PARAMS_Ksat,2,FALSE),0),0)</f>
        <v/>
      </c>
      <c r="J4" s="17">
        <f>IFERROR(IF(AND(D4="Permeable Pavement",E4="Enhanced"),INDEX(PARAMS_BMP,1,5),IF(AND(D4="Permeable Pavement",E4="Underdrained Enhanced"),INDEX(PARAMS_BMP,2,5),IF(AND(D4="Bioretention",E4="Standard"),INDEX(PARAMS_BMP,3,5),IF(AND(D4="Bioretention",E4="Enhanced"),INDEX(PARAMS_BMP,4,5),IF(AND(D4="Bioretention",E4="Enhanced w/ Underdrain"),INDEX(PARAMS_BMP,5,5),IF(AND(D4="Dry Swale",E4="—"),INDEX(PARAMS_BMP,6,5),IF(AND(D4="Wet Swale",E4="—"),INDEX(PARAMS_BMP,7,5),""))))))),"")</f>
        <v/>
      </c>
      <c r="K4" s="17">
        <f>IFERROR(F4*G4*J4,0)</f>
        <v/>
      </c>
      <c r="L4" s="17">
        <f>IFERROR(IF(I4=0,"",G4/I4),"")</f>
        <v/>
      </c>
      <c r="M4" s="28">
        <f>IFERROR(IF(L4="","",IF(L4&lt;=2,"✓","✗")),"")</f>
        <v/>
      </c>
      <c r="N4" s="4" t="n"/>
      <c r="O4" s="4" t="n"/>
      <c r="P4" s="17">
        <f>IFERROR((N4+O4)/2,0)</f>
        <v/>
      </c>
      <c r="Q4" s="4" t="n"/>
      <c r="R4" s="17">
        <f>IFERROR(IF(AND(D4="Permeable Pavement",E4="Enhanced"),INDEX(PARAMS_BMP,1,3),IF(AND(D4="Permeable Pavement",E4="Underdrained Enhanced"),INDEX(PARAMS_BMP,2,3),IF(AND(D4="Bioretention",E4="Standard"),INDEX(PARAMS_BMP,3,3),IF(AND(D4="Bioretention",E4="Enhanced"),INDEX(PARAMS_BMP,4,3),IF(AND(D4="Bioretention",E4="Enhanced w/ Underdrain"),INDEX(PARAMS_BMP,5,3),IF(AND(D4="Dry Swale",E4="—"),INDEX(PARAMS_BMP,6,3),IF(AND(D4="Wet Swale",E4="—"),INDEX(PARAMS_BMP,7,3),""))))))),"")</f>
        <v/>
      </c>
      <c r="S4" s="4" t="n"/>
      <c r="T4" s="17">
        <f>IFERROR(IF(AND(D4="Permeable Pavement",E4="Enhanced"),INDEX(PARAMS_BMP,1,4),IF(AND(D4="Permeable Pavement",E4="Underdrained Enhanced"),INDEX(PARAMS_BMP,2,4),IF(AND(D4="Bioretention",E4="Standard"),INDEX(PARAMS_BMP,3,4),IF(AND(D4="Bioretention",E4="Enhanced"),INDEX(PARAMS_BMP,4,4),IF(AND(D4="Bioretention",E4="Enhanced w/ Underdrain"),INDEX(PARAMS_BMP,5,4),IF(AND(D4="Dry Swale",E4="—"),INDEX(PARAMS_BMP,6,4),IF(AND(D4="Wet Swale",E4="—"),INDEX(PARAMS_BMP,7,4),""))))))),"")</f>
        <v/>
      </c>
      <c r="U4" s="4" t="n"/>
      <c r="V4" s="4">
        <f>IFERROR(IF(OR(E4="Enhanced",E4="Enhanced w/ Underdrain"),VLOOKUP(IF(SUMIFS('CDA'!$E$4:$E$53,'CDA'!$A$4:$A$53,C4,'CDA'!$D$4:$D$53,"D")&gt;0,"D",IF(SUMIFS('CDA'!$E$4:$E$53,'CDA'!$A$4:$A$53,C4,'CDA'!$D$4:$D$53,"C")&gt;0,"C",IF(SUMIFS('CDA'!$E$4:$E$53,'CDA'!$A$4:$A$53,C4,'CDA'!$D$4:$D$53,"B")&gt;0,"B",IF(SUMIFS('CDA'!$E$4:$E$53,'CDA'!$A$4:$A$53,C4,'CDA'!$D$4:$D$53,"A")&gt;0,"A","")))),PARAMS_Ksat,2,FALSE),0),0)</f>
        <v/>
      </c>
      <c r="W4" s="17">
        <f>IFERROR(P4*(Q4*R4+S4*T4+U4),0)</f>
        <v/>
      </c>
      <c r="X4" s="28">
        <f>IFERROR(IF(V4=0,"",(Q4+S4)/V4),"")</f>
        <v/>
      </c>
      <c r="Y4" s="4" t="n"/>
      <c r="Z4" s="4" t="n"/>
      <c r="AA4" s="28">
        <f>IFERROR(Y4+Z4,0)</f>
        <v/>
      </c>
      <c r="AB4" s="4" t="n"/>
      <c r="AC4" s="4" t="n"/>
      <c r="AD4" s="4" t="n"/>
      <c r="AE4" s="4" t="n"/>
      <c r="AF4" s="4" t="n"/>
      <c r="AG4" s="4" t="n"/>
      <c r="AH4" s="28">
        <f>IFERROR(AB4*INDEX(PARAMS_Trees,1,3)+AC4*INDEX(PARAMS_Trees,2,3)+AD4*INDEX(PARAMS_Trees,3,3)+AE4*INDEX(PARAMS_Trees,4,3)+AF4*INDEX(PARAMS_Trees,5,3)+AG4*INDEX(PARAMS_Trees,6,3),0)</f>
        <v/>
      </c>
      <c r="AI4" s="17">
        <f>IFERROR(K4+W4+AA4,0)</f>
        <v/>
      </c>
      <c r="AJ4" s="17">
        <f>IFERROR(IF(AND(D4="Permeable Pavement",E4="Enhanced"),INDEX(PARAMS_BMP,1,6),IF(AND(D4="Permeable Pavement",E4="Underdrained Enhanced"),INDEX(PARAMS_BMP,2,6),IF(AND(D4="Bioretention",E4="Standard"),INDEX(PARAMS_BMP,3,6),IF(AND(D4="Bioretention",E4="Enhanced"),INDEX(PARAMS_BMP,4,6),IF(AND(D4="Bioretention",E4="Enhanced w/ Underdrain"),INDEX(PARAMS_BMP,5,6),IF(AND(D4="Dry Swale",E4="—"),INDEX(PARAMS_BMP,6,6),IF(AND(D4="Wet Swale",E4="—"),INDEX(PARAMS_BMP,7,6),""))))))),"")</f>
        <v/>
      </c>
      <c r="AK4" s="17">
        <f>IFERROR(AI4*AJ4+AH4,0)</f>
        <v/>
      </c>
      <c r="AL4" s="17">
        <f>IFERROR(VLOOKUP(C4,'CDA'!$A$58:$D$67,4,FALSE),0)</f>
        <v/>
      </c>
      <c r="AM4" s="28">
        <f>IFERROR(IF(AL4=0,AK4,MIN(AK4,AL4)),0)</f>
        <v/>
      </c>
    </row>
    <row r="5">
      <c r="A5" s="4" t="n"/>
      <c r="B5" s="4" t="n"/>
      <c r="C5" s="4" t="n"/>
      <c r="D5" s="4" t="n"/>
      <c r="E5" s="27" t="n"/>
      <c r="F5" s="4" t="n"/>
      <c r="G5" s="4" t="n"/>
      <c r="H5" s="4" t="n"/>
      <c r="I5" s="4">
        <f>IFERROR(IF(OR(E5="Enhanced",E5="Underdrained Enhanced"),VLOOKUP(IF(SUMIFS('CDA'!$E$4:$E$53,'CDA'!$A$4:$A$53,C5,'CDA'!$D$4:$D$53,"D")&gt;0,"D",IF(SUMIFS('CDA'!$E$4:$E$53,'CDA'!$A$4:$A$53,C5,'CDA'!$D$4:$D$53,"C")&gt;0,"C",IF(SUMIFS('CDA'!$E$4:$E$53,'CDA'!$A$4:$A$53,C5,'CDA'!$D$4:$D$53,"B")&gt;0,"B",IF(SUMIFS('CDA'!$E$4:$E$53,'CDA'!$A$4:$A$53,C5,'CDA'!$D$4:$D$53,"A")&gt;0,"A","")))),PARAMS_Ksat,2,FALSE),0),0)</f>
        <v/>
      </c>
      <c r="J5" s="17">
        <f>IFERROR(IF(AND(D5="Permeable Pavement",E5="Enhanced"),INDEX(PARAMS_BMP,1,5),IF(AND(D5="Permeable Pavement",E5="Underdrained Enhanced"),INDEX(PARAMS_BMP,2,5),IF(AND(D5="Bioretention",E5="Standard"),INDEX(PARAMS_BMP,3,5),IF(AND(D5="Bioretention",E5="Enhanced"),INDEX(PARAMS_BMP,4,5),IF(AND(D5="Bioretention",E5="Enhanced w/ Underdrain"),INDEX(PARAMS_BMP,5,5),IF(AND(D5="Dry Swale",E5="—"),INDEX(PARAMS_BMP,6,5),IF(AND(D5="Wet Swale",E5="—"),INDEX(PARAMS_BMP,7,5),""))))))),"")</f>
        <v/>
      </c>
      <c r="K5" s="17">
        <f>IFERROR(F5*G5*J5,0)</f>
        <v/>
      </c>
      <c r="L5" s="17">
        <f>IFERROR(IF(I5=0,"",G5/I5),"")</f>
        <v/>
      </c>
      <c r="M5" s="28">
        <f>IFERROR(IF(L5="","",IF(L5&lt;=2,"✓","✗")),"")</f>
        <v/>
      </c>
      <c r="N5" s="4" t="n"/>
      <c r="O5" s="4" t="n"/>
      <c r="P5" s="17">
        <f>IFERROR((N5+O5)/2,0)</f>
        <v/>
      </c>
      <c r="Q5" s="4" t="n"/>
      <c r="R5" s="17">
        <f>IFERROR(IF(AND(D5="Permeable Pavement",E5="Enhanced"),INDEX(PARAMS_BMP,1,3),IF(AND(D5="Permeable Pavement",E5="Underdrained Enhanced"),INDEX(PARAMS_BMP,2,3),IF(AND(D5="Bioretention",E5="Standard"),INDEX(PARAMS_BMP,3,3),IF(AND(D5="Bioretention",E5="Enhanced"),INDEX(PARAMS_BMP,4,3),IF(AND(D5="Bioretention",E5="Enhanced w/ Underdrain"),INDEX(PARAMS_BMP,5,3),IF(AND(D5="Dry Swale",E5="—"),INDEX(PARAMS_BMP,6,3),IF(AND(D5="Wet Swale",E5="—"),INDEX(PARAMS_BMP,7,3),""))))))),"")</f>
        <v/>
      </c>
      <c r="S5" s="4" t="n"/>
      <c r="T5" s="17">
        <f>IFERROR(IF(AND(D5="Permeable Pavement",E5="Enhanced"),INDEX(PARAMS_BMP,1,4),IF(AND(D5="Permeable Pavement",E5="Underdrained Enhanced"),INDEX(PARAMS_BMP,2,4),IF(AND(D5="Bioretention",E5="Standard"),INDEX(PARAMS_BMP,3,4),IF(AND(D5="Bioretention",E5="Enhanced"),INDEX(PARAMS_BMP,4,4),IF(AND(D5="Bioretention",E5="Enhanced w/ Underdrain"),INDEX(PARAMS_BMP,5,4),IF(AND(D5="Dry Swale",E5="—"),INDEX(PARAMS_BMP,6,4),IF(AND(D5="Wet Swale",E5="—"),INDEX(PARAMS_BMP,7,4),""))))))),"")</f>
        <v/>
      </c>
      <c r="U5" s="4" t="n"/>
      <c r="V5" s="4">
        <f>IFERROR(IF(OR(E5="Enhanced",E5="Enhanced w/ Underdrain"),VLOOKUP(IF(SUMIFS('CDA'!$E$4:$E$53,'CDA'!$A$4:$A$53,C5,'CDA'!$D$4:$D$53,"D")&gt;0,"D",IF(SUMIFS('CDA'!$E$4:$E$53,'CDA'!$A$4:$A$53,C5,'CDA'!$D$4:$D$53,"C")&gt;0,"C",IF(SUMIFS('CDA'!$E$4:$E$53,'CDA'!$A$4:$A$53,C5,'CDA'!$D$4:$D$53,"B")&gt;0,"B",IF(SUMIFS('CDA'!$E$4:$E$53,'CDA'!$A$4:$A$53,C5,'CDA'!$D$4:$D$53,"A")&gt;0,"A","")))),PARAMS_Ksat,2,FALSE),0),0)</f>
        <v/>
      </c>
      <c r="W5" s="17">
        <f>IFERROR(P5*(Q5*R5+S5*T5+U5),0)</f>
        <v/>
      </c>
      <c r="X5" s="28">
        <f>IFERROR(IF(V5=0,"",(Q5+S5)/V5),"")</f>
        <v/>
      </c>
      <c r="Y5" s="4" t="n"/>
      <c r="Z5" s="4" t="n"/>
      <c r="AA5" s="28">
        <f>IFERROR(Y5+Z5,0)</f>
        <v/>
      </c>
      <c r="AB5" s="4" t="n"/>
      <c r="AC5" s="4" t="n"/>
      <c r="AD5" s="4" t="n"/>
      <c r="AE5" s="4" t="n"/>
      <c r="AF5" s="4" t="n"/>
      <c r="AG5" s="4" t="n"/>
      <c r="AH5" s="28">
        <f>IFERROR(AB5*INDEX(PARAMS_Trees,1,3)+AC5*INDEX(PARAMS_Trees,2,3)+AD5*INDEX(PARAMS_Trees,3,3)+AE5*INDEX(PARAMS_Trees,4,3)+AF5*INDEX(PARAMS_Trees,5,3)+AG5*INDEX(PARAMS_Trees,6,3),0)</f>
        <v/>
      </c>
      <c r="AI5" s="17">
        <f>IFERROR(K5+W5+AA5,0)</f>
        <v/>
      </c>
      <c r="AJ5" s="17">
        <f>IFERROR(IF(AND(D5="Permeable Pavement",E5="Enhanced"),INDEX(PARAMS_BMP,1,6),IF(AND(D5="Permeable Pavement",E5="Underdrained Enhanced"),INDEX(PARAMS_BMP,2,6),IF(AND(D5="Bioretention",E5="Standard"),INDEX(PARAMS_BMP,3,6),IF(AND(D5="Bioretention",E5="Enhanced"),INDEX(PARAMS_BMP,4,6),IF(AND(D5="Bioretention",E5="Enhanced w/ Underdrain"),INDEX(PARAMS_BMP,5,6),IF(AND(D5="Dry Swale",E5="—"),INDEX(PARAMS_BMP,6,6),IF(AND(D5="Wet Swale",E5="—"),INDEX(PARAMS_BMP,7,6),""))))))),"")</f>
        <v/>
      </c>
      <c r="AK5" s="17">
        <f>IFERROR(AI5*AJ5+AH5,0)</f>
        <v/>
      </c>
      <c r="AL5" s="17">
        <f>IFERROR(VLOOKUP(C5,'CDA'!$A$58:$D$67,4,FALSE),0)</f>
        <v/>
      </c>
      <c r="AM5" s="28">
        <f>IFERROR(IF(AL5=0,AK5,MIN(AK5,AL5)),0)</f>
        <v/>
      </c>
    </row>
    <row r="6">
      <c r="A6" s="4" t="n"/>
      <c r="B6" s="4" t="n"/>
      <c r="C6" s="4" t="n"/>
      <c r="D6" s="4" t="n"/>
      <c r="E6" s="27" t="n"/>
      <c r="F6" s="4" t="n"/>
      <c r="G6" s="4" t="n"/>
      <c r="H6" s="4" t="n"/>
      <c r="I6" s="4">
        <f>IFERROR(IF(OR(E6="Enhanced",E6="Underdrained Enhanced"),VLOOKUP(IF(SUMIFS('CDA'!$E$4:$E$53,'CDA'!$A$4:$A$53,C6,'CDA'!$D$4:$D$53,"D")&gt;0,"D",IF(SUMIFS('CDA'!$E$4:$E$53,'CDA'!$A$4:$A$53,C6,'CDA'!$D$4:$D$53,"C")&gt;0,"C",IF(SUMIFS('CDA'!$E$4:$E$53,'CDA'!$A$4:$A$53,C6,'CDA'!$D$4:$D$53,"B")&gt;0,"B",IF(SUMIFS('CDA'!$E$4:$E$53,'CDA'!$A$4:$A$53,C6,'CDA'!$D$4:$D$53,"A")&gt;0,"A","")))),PARAMS_Ksat,2,FALSE),0),0)</f>
        <v/>
      </c>
      <c r="J6" s="17">
        <f>IFERROR(IF(AND(D6="Permeable Pavement",E6="Enhanced"),INDEX(PARAMS_BMP,1,5),IF(AND(D6="Permeable Pavement",E6="Underdrained Enhanced"),INDEX(PARAMS_BMP,2,5),IF(AND(D6="Bioretention",E6="Standard"),INDEX(PARAMS_BMP,3,5),IF(AND(D6="Bioretention",E6="Enhanced"),INDEX(PARAMS_BMP,4,5),IF(AND(D6="Bioretention",E6="Enhanced w/ Underdrain"),INDEX(PARAMS_BMP,5,5),IF(AND(D6="Dry Swale",E6="—"),INDEX(PARAMS_BMP,6,5),IF(AND(D6="Wet Swale",E6="—"),INDEX(PARAMS_BMP,7,5),""))))))),"")</f>
        <v/>
      </c>
      <c r="K6" s="17">
        <f>IFERROR(F6*G6*J6,0)</f>
        <v/>
      </c>
      <c r="L6" s="17">
        <f>IFERROR(IF(I6=0,"",G6/I6),"")</f>
        <v/>
      </c>
      <c r="M6" s="28">
        <f>IFERROR(IF(L6="","",IF(L6&lt;=2,"✓","✗")),"")</f>
        <v/>
      </c>
      <c r="N6" s="4" t="n"/>
      <c r="O6" s="4" t="n"/>
      <c r="P6" s="17">
        <f>IFERROR((N6+O6)/2,0)</f>
        <v/>
      </c>
      <c r="Q6" s="4" t="n"/>
      <c r="R6" s="17">
        <f>IFERROR(IF(AND(D6="Permeable Pavement",E6="Enhanced"),INDEX(PARAMS_BMP,1,3),IF(AND(D6="Permeable Pavement",E6="Underdrained Enhanced"),INDEX(PARAMS_BMP,2,3),IF(AND(D6="Bioretention",E6="Standard"),INDEX(PARAMS_BMP,3,3),IF(AND(D6="Bioretention",E6="Enhanced"),INDEX(PARAMS_BMP,4,3),IF(AND(D6="Bioretention",E6="Enhanced w/ Underdrain"),INDEX(PARAMS_BMP,5,3),IF(AND(D6="Dry Swale",E6="—"),INDEX(PARAMS_BMP,6,3),IF(AND(D6="Wet Swale",E6="—"),INDEX(PARAMS_BMP,7,3),""))))))),"")</f>
        <v/>
      </c>
      <c r="S6" s="4" t="n"/>
      <c r="T6" s="17">
        <f>IFERROR(IF(AND(D6="Permeable Pavement",E6="Enhanced"),INDEX(PARAMS_BMP,1,4),IF(AND(D6="Permeable Pavement",E6="Underdrained Enhanced"),INDEX(PARAMS_BMP,2,4),IF(AND(D6="Bioretention",E6="Standard"),INDEX(PARAMS_BMP,3,4),IF(AND(D6="Bioretention",E6="Enhanced"),INDEX(PARAMS_BMP,4,4),IF(AND(D6="Bioretention",E6="Enhanced w/ Underdrain"),INDEX(PARAMS_BMP,5,4),IF(AND(D6="Dry Swale",E6="—"),INDEX(PARAMS_BMP,6,4),IF(AND(D6="Wet Swale",E6="—"),INDEX(PARAMS_BMP,7,4),""))))))),"")</f>
        <v/>
      </c>
      <c r="U6" s="4" t="n"/>
      <c r="V6" s="4">
        <f>IFERROR(IF(OR(E6="Enhanced",E6="Enhanced w/ Underdrain"),VLOOKUP(IF(SUMIFS('CDA'!$E$4:$E$53,'CDA'!$A$4:$A$53,C6,'CDA'!$D$4:$D$53,"D")&gt;0,"D",IF(SUMIFS('CDA'!$E$4:$E$53,'CDA'!$A$4:$A$53,C6,'CDA'!$D$4:$D$53,"C")&gt;0,"C",IF(SUMIFS('CDA'!$E$4:$E$53,'CDA'!$A$4:$A$53,C6,'CDA'!$D$4:$D$53,"B")&gt;0,"B",IF(SUMIFS('CDA'!$E$4:$E$53,'CDA'!$A$4:$A$53,C6,'CDA'!$D$4:$D$53,"A")&gt;0,"A","")))),PARAMS_Ksat,2,FALSE),0),0)</f>
        <v/>
      </c>
      <c r="W6" s="17">
        <f>IFERROR(P6*(Q6*R6+S6*T6+U6),0)</f>
        <v/>
      </c>
      <c r="X6" s="28">
        <f>IFERROR(IF(V6=0,"",(Q6+S6)/V6),"")</f>
        <v/>
      </c>
      <c r="Y6" s="4" t="n"/>
      <c r="Z6" s="4" t="n"/>
      <c r="AA6" s="28">
        <f>IFERROR(Y6+Z6,0)</f>
        <v/>
      </c>
      <c r="AB6" s="4" t="n"/>
      <c r="AC6" s="4" t="n"/>
      <c r="AD6" s="4" t="n"/>
      <c r="AE6" s="4" t="n"/>
      <c r="AF6" s="4" t="n"/>
      <c r="AG6" s="4" t="n"/>
      <c r="AH6" s="28">
        <f>IFERROR(AB6*INDEX(PARAMS_Trees,1,3)+AC6*INDEX(PARAMS_Trees,2,3)+AD6*INDEX(PARAMS_Trees,3,3)+AE6*INDEX(PARAMS_Trees,4,3)+AF6*INDEX(PARAMS_Trees,5,3)+AG6*INDEX(PARAMS_Trees,6,3),0)</f>
        <v/>
      </c>
      <c r="AI6" s="17">
        <f>IFERROR(K6+W6+AA6,0)</f>
        <v/>
      </c>
      <c r="AJ6" s="17">
        <f>IFERROR(IF(AND(D6="Permeable Pavement",E6="Enhanced"),INDEX(PARAMS_BMP,1,6),IF(AND(D6="Permeable Pavement",E6="Underdrained Enhanced"),INDEX(PARAMS_BMP,2,6),IF(AND(D6="Bioretention",E6="Standard"),INDEX(PARAMS_BMP,3,6),IF(AND(D6="Bioretention",E6="Enhanced"),INDEX(PARAMS_BMP,4,6),IF(AND(D6="Bioretention",E6="Enhanced w/ Underdrain"),INDEX(PARAMS_BMP,5,6),IF(AND(D6="Dry Swale",E6="—"),INDEX(PARAMS_BMP,6,6),IF(AND(D6="Wet Swale",E6="—"),INDEX(PARAMS_BMP,7,6),""))))))),"")</f>
        <v/>
      </c>
      <c r="AK6" s="17">
        <f>IFERROR(AI6*AJ6+AH6,0)</f>
        <v/>
      </c>
      <c r="AL6" s="17">
        <f>IFERROR(VLOOKUP(C6,'CDA'!$A$58:$D$67,4,FALSE),0)</f>
        <v/>
      </c>
      <c r="AM6" s="28">
        <f>IFERROR(IF(AL6=0,AK6,MIN(AK6,AL6)),0)</f>
        <v/>
      </c>
    </row>
    <row r="7">
      <c r="A7" s="4" t="n"/>
      <c r="B7" s="4" t="n"/>
      <c r="C7" s="4" t="n"/>
      <c r="D7" s="4" t="n"/>
      <c r="E7" s="27" t="n"/>
      <c r="F7" s="4" t="n"/>
      <c r="G7" s="4" t="n"/>
      <c r="H7" s="4" t="n"/>
      <c r="I7" s="4">
        <f>IFERROR(IF(OR(E7="Enhanced",E7="Underdrained Enhanced"),VLOOKUP(IF(SUMIFS('CDA'!$E$4:$E$53,'CDA'!$A$4:$A$53,C7,'CDA'!$D$4:$D$53,"D")&gt;0,"D",IF(SUMIFS('CDA'!$E$4:$E$53,'CDA'!$A$4:$A$53,C7,'CDA'!$D$4:$D$53,"C")&gt;0,"C",IF(SUMIFS('CDA'!$E$4:$E$53,'CDA'!$A$4:$A$53,C7,'CDA'!$D$4:$D$53,"B")&gt;0,"B",IF(SUMIFS('CDA'!$E$4:$E$53,'CDA'!$A$4:$A$53,C7,'CDA'!$D$4:$D$53,"A")&gt;0,"A","")))),PARAMS_Ksat,2,FALSE),0),0)</f>
        <v/>
      </c>
      <c r="J7" s="17">
        <f>IFERROR(IF(AND(D7="Permeable Pavement",E7="Enhanced"),INDEX(PARAMS_BMP,1,5),IF(AND(D7="Permeable Pavement",E7="Underdrained Enhanced"),INDEX(PARAMS_BMP,2,5),IF(AND(D7="Bioretention",E7="Standard"),INDEX(PARAMS_BMP,3,5),IF(AND(D7="Bioretention",E7="Enhanced"),INDEX(PARAMS_BMP,4,5),IF(AND(D7="Bioretention",E7="Enhanced w/ Underdrain"),INDEX(PARAMS_BMP,5,5),IF(AND(D7="Dry Swale",E7="—"),INDEX(PARAMS_BMP,6,5),IF(AND(D7="Wet Swale",E7="—"),INDEX(PARAMS_BMP,7,5),""))))))),"")</f>
        <v/>
      </c>
      <c r="K7" s="17">
        <f>IFERROR(F7*G7*J7,0)</f>
        <v/>
      </c>
      <c r="L7" s="17">
        <f>IFERROR(IF(I7=0,"",G7/I7),"")</f>
        <v/>
      </c>
      <c r="M7" s="28">
        <f>IFERROR(IF(L7="","",IF(L7&lt;=2,"✓","✗")),"")</f>
        <v/>
      </c>
      <c r="N7" s="4" t="n"/>
      <c r="O7" s="4" t="n"/>
      <c r="P7" s="17">
        <f>IFERROR((N7+O7)/2,0)</f>
        <v/>
      </c>
      <c r="Q7" s="4" t="n"/>
      <c r="R7" s="17">
        <f>IFERROR(IF(AND(D7="Permeable Pavement",E7="Enhanced"),INDEX(PARAMS_BMP,1,3),IF(AND(D7="Permeable Pavement",E7="Underdrained Enhanced"),INDEX(PARAMS_BMP,2,3),IF(AND(D7="Bioretention",E7="Standard"),INDEX(PARAMS_BMP,3,3),IF(AND(D7="Bioretention",E7="Enhanced"),INDEX(PARAMS_BMP,4,3),IF(AND(D7="Bioretention",E7="Enhanced w/ Underdrain"),INDEX(PARAMS_BMP,5,3),IF(AND(D7="Dry Swale",E7="—"),INDEX(PARAMS_BMP,6,3),IF(AND(D7="Wet Swale",E7="—"),INDEX(PARAMS_BMP,7,3),""))))))),"")</f>
        <v/>
      </c>
      <c r="S7" s="4" t="n"/>
      <c r="T7" s="17">
        <f>IFERROR(IF(AND(D7="Permeable Pavement",E7="Enhanced"),INDEX(PARAMS_BMP,1,4),IF(AND(D7="Permeable Pavement",E7="Underdrained Enhanced"),INDEX(PARAMS_BMP,2,4),IF(AND(D7="Bioretention",E7="Standard"),INDEX(PARAMS_BMP,3,4),IF(AND(D7="Bioretention",E7="Enhanced"),INDEX(PARAMS_BMP,4,4),IF(AND(D7="Bioretention",E7="Enhanced w/ Underdrain"),INDEX(PARAMS_BMP,5,4),IF(AND(D7="Dry Swale",E7="—"),INDEX(PARAMS_BMP,6,4),IF(AND(D7="Wet Swale",E7="—"),INDEX(PARAMS_BMP,7,4),""))))))),"")</f>
        <v/>
      </c>
      <c r="U7" s="4" t="n"/>
      <c r="V7" s="4">
        <f>IFERROR(IF(OR(E7="Enhanced",E7="Enhanced w/ Underdrain"),VLOOKUP(IF(SUMIFS('CDA'!$E$4:$E$53,'CDA'!$A$4:$A$53,C7,'CDA'!$D$4:$D$53,"D")&gt;0,"D",IF(SUMIFS('CDA'!$E$4:$E$53,'CDA'!$A$4:$A$53,C7,'CDA'!$D$4:$D$53,"C")&gt;0,"C",IF(SUMIFS('CDA'!$E$4:$E$53,'CDA'!$A$4:$A$53,C7,'CDA'!$D$4:$D$53,"B")&gt;0,"B",IF(SUMIFS('CDA'!$E$4:$E$53,'CDA'!$A$4:$A$53,C7,'CDA'!$D$4:$D$53,"A")&gt;0,"A","")))),PARAMS_Ksat,2,FALSE),0),0)</f>
        <v/>
      </c>
      <c r="W7" s="17">
        <f>IFERROR(P7*(Q7*R7+S7*T7+U7),0)</f>
        <v/>
      </c>
      <c r="X7" s="28">
        <f>IFERROR(IF(V7=0,"",(Q7+S7)/V7),"")</f>
        <v/>
      </c>
      <c r="Y7" s="4" t="n"/>
      <c r="Z7" s="4" t="n"/>
      <c r="AA7" s="28">
        <f>IFERROR(Y7+Z7,0)</f>
        <v/>
      </c>
      <c r="AB7" s="4" t="n"/>
      <c r="AC7" s="4" t="n"/>
      <c r="AD7" s="4" t="n"/>
      <c r="AE7" s="4" t="n"/>
      <c r="AF7" s="4" t="n"/>
      <c r="AG7" s="4" t="n"/>
      <c r="AH7" s="28">
        <f>IFERROR(AB7*INDEX(PARAMS_Trees,1,3)+AC7*INDEX(PARAMS_Trees,2,3)+AD7*INDEX(PARAMS_Trees,3,3)+AE7*INDEX(PARAMS_Trees,4,3)+AF7*INDEX(PARAMS_Trees,5,3)+AG7*INDEX(PARAMS_Trees,6,3),0)</f>
        <v/>
      </c>
      <c r="AI7" s="17">
        <f>IFERROR(K7+W7+AA7,0)</f>
        <v/>
      </c>
      <c r="AJ7" s="17">
        <f>IFERROR(IF(AND(D7="Permeable Pavement",E7="Enhanced"),INDEX(PARAMS_BMP,1,6),IF(AND(D7="Permeable Pavement",E7="Underdrained Enhanced"),INDEX(PARAMS_BMP,2,6),IF(AND(D7="Bioretention",E7="Standard"),INDEX(PARAMS_BMP,3,6),IF(AND(D7="Bioretention",E7="Enhanced"),INDEX(PARAMS_BMP,4,6),IF(AND(D7="Bioretention",E7="Enhanced w/ Underdrain"),INDEX(PARAMS_BMP,5,6),IF(AND(D7="Dry Swale",E7="—"),INDEX(PARAMS_BMP,6,6),IF(AND(D7="Wet Swale",E7="—"),INDEX(PARAMS_BMP,7,6),""))))))),"")</f>
        <v/>
      </c>
      <c r="AK7" s="17">
        <f>IFERROR(AI7*AJ7+AH7,0)</f>
        <v/>
      </c>
      <c r="AL7" s="17">
        <f>IFERROR(VLOOKUP(C7,'CDA'!$A$58:$D$67,4,FALSE),0)</f>
        <v/>
      </c>
      <c r="AM7" s="28">
        <f>IFERROR(IF(AL7=0,AK7,MIN(AK7,AL7)),0)</f>
        <v/>
      </c>
    </row>
    <row r="8">
      <c r="A8" s="4" t="n"/>
      <c r="B8" s="4" t="n"/>
      <c r="C8" s="4" t="n"/>
      <c r="D8" s="4" t="n"/>
      <c r="E8" s="27" t="n"/>
      <c r="F8" s="4" t="n"/>
      <c r="G8" s="4" t="n"/>
      <c r="H8" s="4" t="n"/>
      <c r="I8" s="4">
        <f>IFERROR(IF(OR(E8="Enhanced",E8="Underdrained Enhanced"),VLOOKUP(IF(SUMIFS('CDA'!$E$4:$E$53,'CDA'!$A$4:$A$53,C8,'CDA'!$D$4:$D$53,"D")&gt;0,"D",IF(SUMIFS('CDA'!$E$4:$E$53,'CDA'!$A$4:$A$53,C8,'CDA'!$D$4:$D$53,"C")&gt;0,"C",IF(SUMIFS('CDA'!$E$4:$E$53,'CDA'!$A$4:$A$53,C8,'CDA'!$D$4:$D$53,"B")&gt;0,"B",IF(SUMIFS('CDA'!$E$4:$E$53,'CDA'!$A$4:$A$53,C8,'CDA'!$D$4:$D$53,"A")&gt;0,"A","")))),PARAMS_Ksat,2,FALSE),0),0)</f>
        <v/>
      </c>
      <c r="J8" s="17">
        <f>IFERROR(IF(AND(D8="Permeable Pavement",E8="Enhanced"),INDEX(PARAMS_BMP,1,5),IF(AND(D8="Permeable Pavement",E8="Underdrained Enhanced"),INDEX(PARAMS_BMP,2,5),IF(AND(D8="Bioretention",E8="Standard"),INDEX(PARAMS_BMP,3,5),IF(AND(D8="Bioretention",E8="Enhanced"),INDEX(PARAMS_BMP,4,5),IF(AND(D8="Bioretention",E8="Enhanced w/ Underdrain"),INDEX(PARAMS_BMP,5,5),IF(AND(D8="Dry Swale",E8="—"),INDEX(PARAMS_BMP,6,5),IF(AND(D8="Wet Swale",E8="—"),INDEX(PARAMS_BMP,7,5),""))))))),"")</f>
        <v/>
      </c>
      <c r="K8" s="17">
        <f>IFERROR(F8*G8*J8,0)</f>
        <v/>
      </c>
      <c r="L8" s="17">
        <f>IFERROR(IF(I8=0,"",G8/I8),"")</f>
        <v/>
      </c>
      <c r="M8" s="28">
        <f>IFERROR(IF(L8="","",IF(L8&lt;=2,"✓","✗")),"")</f>
        <v/>
      </c>
      <c r="N8" s="4" t="n"/>
      <c r="O8" s="4" t="n"/>
      <c r="P8" s="17">
        <f>IFERROR((N8+O8)/2,0)</f>
        <v/>
      </c>
      <c r="Q8" s="4" t="n"/>
      <c r="R8" s="17">
        <f>IFERROR(IF(AND(D8="Permeable Pavement",E8="Enhanced"),INDEX(PARAMS_BMP,1,3),IF(AND(D8="Permeable Pavement",E8="Underdrained Enhanced"),INDEX(PARAMS_BMP,2,3),IF(AND(D8="Bioretention",E8="Standard"),INDEX(PARAMS_BMP,3,3),IF(AND(D8="Bioretention",E8="Enhanced"),INDEX(PARAMS_BMP,4,3),IF(AND(D8="Bioretention",E8="Enhanced w/ Underdrain"),INDEX(PARAMS_BMP,5,3),IF(AND(D8="Dry Swale",E8="—"),INDEX(PARAMS_BMP,6,3),IF(AND(D8="Wet Swale",E8="—"),INDEX(PARAMS_BMP,7,3),""))))))),"")</f>
        <v/>
      </c>
      <c r="S8" s="4" t="n"/>
      <c r="T8" s="17">
        <f>IFERROR(IF(AND(D8="Permeable Pavement",E8="Enhanced"),INDEX(PARAMS_BMP,1,4),IF(AND(D8="Permeable Pavement",E8="Underdrained Enhanced"),INDEX(PARAMS_BMP,2,4),IF(AND(D8="Bioretention",E8="Standard"),INDEX(PARAMS_BMP,3,4),IF(AND(D8="Bioretention",E8="Enhanced"),INDEX(PARAMS_BMP,4,4),IF(AND(D8="Bioretention",E8="Enhanced w/ Underdrain"),INDEX(PARAMS_BMP,5,4),IF(AND(D8="Dry Swale",E8="—"),INDEX(PARAMS_BMP,6,4),IF(AND(D8="Wet Swale",E8="—"),INDEX(PARAMS_BMP,7,4),""))))))),"")</f>
        <v/>
      </c>
      <c r="U8" s="4" t="n"/>
      <c r="V8" s="4">
        <f>IFERROR(IF(OR(E8="Enhanced",E8="Enhanced w/ Underdrain"),VLOOKUP(IF(SUMIFS('CDA'!$E$4:$E$53,'CDA'!$A$4:$A$53,C8,'CDA'!$D$4:$D$53,"D")&gt;0,"D",IF(SUMIFS('CDA'!$E$4:$E$53,'CDA'!$A$4:$A$53,C8,'CDA'!$D$4:$D$53,"C")&gt;0,"C",IF(SUMIFS('CDA'!$E$4:$E$53,'CDA'!$A$4:$A$53,C8,'CDA'!$D$4:$D$53,"B")&gt;0,"B",IF(SUMIFS('CDA'!$E$4:$E$53,'CDA'!$A$4:$A$53,C8,'CDA'!$D$4:$D$53,"A")&gt;0,"A","")))),PARAMS_Ksat,2,FALSE),0),0)</f>
        <v/>
      </c>
      <c r="W8" s="17">
        <f>IFERROR(P8*(Q8*R8+S8*T8+U8),0)</f>
        <v/>
      </c>
      <c r="X8" s="28">
        <f>IFERROR(IF(V8=0,"",(Q8+S8)/V8),"")</f>
        <v/>
      </c>
      <c r="Y8" s="4" t="n"/>
      <c r="Z8" s="4" t="n"/>
      <c r="AA8" s="28">
        <f>IFERROR(Y8+Z8,0)</f>
        <v/>
      </c>
      <c r="AB8" s="4" t="n"/>
      <c r="AC8" s="4" t="n"/>
      <c r="AD8" s="4" t="n"/>
      <c r="AE8" s="4" t="n"/>
      <c r="AF8" s="4" t="n"/>
      <c r="AG8" s="4" t="n"/>
      <c r="AH8" s="28">
        <f>IFERROR(AB8*INDEX(PARAMS_Trees,1,3)+AC8*INDEX(PARAMS_Trees,2,3)+AD8*INDEX(PARAMS_Trees,3,3)+AE8*INDEX(PARAMS_Trees,4,3)+AF8*INDEX(PARAMS_Trees,5,3)+AG8*INDEX(PARAMS_Trees,6,3),0)</f>
        <v/>
      </c>
      <c r="AI8" s="17">
        <f>IFERROR(K8+W8+AA8,0)</f>
        <v/>
      </c>
      <c r="AJ8" s="17">
        <f>IFERROR(IF(AND(D8="Permeable Pavement",E8="Enhanced"),INDEX(PARAMS_BMP,1,6),IF(AND(D8="Permeable Pavement",E8="Underdrained Enhanced"),INDEX(PARAMS_BMP,2,6),IF(AND(D8="Bioretention",E8="Standard"),INDEX(PARAMS_BMP,3,6),IF(AND(D8="Bioretention",E8="Enhanced"),INDEX(PARAMS_BMP,4,6),IF(AND(D8="Bioretention",E8="Enhanced w/ Underdrain"),INDEX(PARAMS_BMP,5,6),IF(AND(D8="Dry Swale",E8="—"),INDEX(PARAMS_BMP,6,6),IF(AND(D8="Wet Swale",E8="—"),INDEX(PARAMS_BMP,7,6),""))))))),"")</f>
        <v/>
      </c>
      <c r="AK8" s="17">
        <f>IFERROR(AI8*AJ8+AH8,0)</f>
        <v/>
      </c>
      <c r="AL8" s="17">
        <f>IFERROR(VLOOKUP(C8,'CDA'!$A$58:$D$67,4,FALSE),0)</f>
        <v/>
      </c>
      <c r="AM8" s="28">
        <f>IFERROR(IF(AL8=0,AK8,MIN(AK8,AL8)),0)</f>
        <v/>
      </c>
    </row>
    <row r="9">
      <c r="A9" s="4" t="n"/>
      <c r="B9" s="4" t="n"/>
      <c r="C9" s="4" t="n"/>
      <c r="D9" s="4" t="n"/>
      <c r="E9" s="27" t="n"/>
      <c r="F9" s="4" t="n"/>
      <c r="G9" s="4" t="n"/>
      <c r="H9" s="4" t="n"/>
      <c r="I9" s="4">
        <f>IFERROR(IF(OR(E9="Enhanced",E9="Underdrained Enhanced"),VLOOKUP(IF(SUMIFS('CDA'!$E$4:$E$53,'CDA'!$A$4:$A$53,C9,'CDA'!$D$4:$D$53,"D")&gt;0,"D",IF(SUMIFS('CDA'!$E$4:$E$53,'CDA'!$A$4:$A$53,C9,'CDA'!$D$4:$D$53,"C")&gt;0,"C",IF(SUMIFS('CDA'!$E$4:$E$53,'CDA'!$A$4:$A$53,C9,'CDA'!$D$4:$D$53,"B")&gt;0,"B",IF(SUMIFS('CDA'!$E$4:$E$53,'CDA'!$A$4:$A$53,C9,'CDA'!$D$4:$D$53,"A")&gt;0,"A","")))),PARAMS_Ksat,2,FALSE),0),0)</f>
        <v/>
      </c>
      <c r="J9" s="17">
        <f>IFERROR(IF(AND(D9="Permeable Pavement",E9="Enhanced"),INDEX(PARAMS_BMP,1,5),IF(AND(D9="Permeable Pavement",E9="Underdrained Enhanced"),INDEX(PARAMS_BMP,2,5),IF(AND(D9="Bioretention",E9="Standard"),INDEX(PARAMS_BMP,3,5),IF(AND(D9="Bioretention",E9="Enhanced"),INDEX(PARAMS_BMP,4,5),IF(AND(D9="Bioretention",E9="Enhanced w/ Underdrain"),INDEX(PARAMS_BMP,5,5),IF(AND(D9="Dry Swale",E9="—"),INDEX(PARAMS_BMP,6,5),IF(AND(D9="Wet Swale",E9="—"),INDEX(PARAMS_BMP,7,5),""))))))),"")</f>
        <v/>
      </c>
      <c r="K9" s="17">
        <f>IFERROR(F9*G9*J9,0)</f>
        <v/>
      </c>
      <c r="L9" s="17">
        <f>IFERROR(IF(I9=0,"",G9/I9),"")</f>
        <v/>
      </c>
      <c r="M9" s="28">
        <f>IFERROR(IF(L9="","",IF(L9&lt;=2,"✓","✗")),"")</f>
        <v/>
      </c>
      <c r="N9" s="4" t="n"/>
      <c r="O9" s="4" t="n"/>
      <c r="P9" s="17">
        <f>IFERROR((N9+O9)/2,0)</f>
        <v/>
      </c>
      <c r="Q9" s="4" t="n"/>
      <c r="R9" s="17">
        <f>IFERROR(IF(AND(D9="Permeable Pavement",E9="Enhanced"),INDEX(PARAMS_BMP,1,3),IF(AND(D9="Permeable Pavement",E9="Underdrained Enhanced"),INDEX(PARAMS_BMP,2,3),IF(AND(D9="Bioretention",E9="Standard"),INDEX(PARAMS_BMP,3,3),IF(AND(D9="Bioretention",E9="Enhanced"),INDEX(PARAMS_BMP,4,3),IF(AND(D9="Bioretention",E9="Enhanced w/ Underdrain"),INDEX(PARAMS_BMP,5,3),IF(AND(D9="Dry Swale",E9="—"),INDEX(PARAMS_BMP,6,3),IF(AND(D9="Wet Swale",E9="—"),INDEX(PARAMS_BMP,7,3),""))))))),"")</f>
        <v/>
      </c>
      <c r="S9" s="4" t="n"/>
      <c r="T9" s="17">
        <f>IFERROR(IF(AND(D9="Permeable Pavement",E9="Enhanced"),INDEX(PARAMS_BMP,1,4),IF(AND(D9="Permeable Pavement",E9="Underdrained Enhanced"),INDEX(PARAMS_BMP,2,4),IF(AND(D9="Bioretention",E9="Standard"),INDEX(PARAMS_BMP,3,4),IF(AND(D9="Bioretention",E9="Enhanced"),INDEX(PARAMS_BMP,4,4),IF(AND(D9="Bioretention",E9="Enhanced w/ Underdrain"),INDEX(PARAMS_BMP,5,4),IF(AND(D9="Dry Swale",E9="—"),INDEX(PARAMS_BMP,6,4),IF(AND(D9="Wet Swale",E9="—"),INDEX(PARAMS_BMP,7,4),""))))))),"")</f>
        <v/>
      </c>
      <c r="U9" s="4" t="n"/>
      <c r="V9" s="4">
        <f>IFERROR(IF(OR(E9="Enhanced",E9="Enhanced w/ Underdrain"),VLOOKUP(IF(SUMIFS('CDA'!$E$4:$E$53,'CDA'!$A$4:$A$53,C9,'CDA'!$D$4:$D$53,"D")&gt;0,"D",IF(SUMIFS('CDA'!$E$4:$E$53,'CDA'!$A$4:$A$53,C9,'CDA'!$D$4:$D$53,"C")&gt;0,"C",IF(SUMIFS('CDA'!$E$4:$E$53,'CDA'!$A$4:$A$53,C9,'CDA'!$D$4:$D$53,"B")&gt;0,"B",IF(SUMIFS('CDA'!$E$4:$E$53,'CDA'!$A$4:$A$53,C9,'CDA'!$D$4:$D$53,"A")&gt;0,"A","")))),PARAMS_Ksat,2,FALSE),0),0)</f>
        <v/>
      </c>
      <c r="W9" s="17">
        <f>IFERROR(P9*(Q9*R9+S9*T9+U9),0)</f>
        <v/>
      </c>
      <c r="X9" s="28">
        <f>IFERROR(IF(V9=0,"",(Q9+S9)/V9),"")</f>
        <v/>
      </c>
      <c r="Y9" s="4" t="n"/>
      <c r="Z9" s="4" t="n"/>
      <c r="AA9" s="28">
        <f>IFERROR(Y9+Z9,0)</f>
        <v/>
      </c>
      <c r="AB9" s="4" t="n"/>
      <c r="AC9" s="4" t="n"/>
      <c r="AD9" s="4" t="n"/>
      <c r="AE9" s="4" t="n"/>
      <c r="AF9" s="4" t="n"/>
      <c r="AG9" s="4" t="n"/>
      <c r="AH9" s="28">
        <f>IFERROR(AB9*INDEX(PARAMS_Trees,1,3)+AC9*INDEX(PARAMS_Trees,2,3)+AD9*INDEX(PARAMS_Trees,3,3)+AE9*INDEX(PARAMS_Trees,4,3)+AF9*INDEX(PARAMS_Trees,5,3)+AG9*INDEX(PARAMS_Trees,6,3),0)</f>
        <v/>
      </c>
      <c r="AI9" s="17">
        <f>IFERROR(K9+W9+AA9,0)</f>
        <v/>
      </c>
      <c r="AJ9" s="17">
        <f>IFERROR(IF(AND(D9="Permeable Pavement",E9="Enhanced"),INDEX(PARAMS_BMP,1,6),IF(AND(D9="Permeable Pavement",E9="Underdrained Enhanced"),INDEX(PARAMS_BMP,2,6),IF(AND(D9="Bioretention",E9="Standard"),INDEX(PARAMS_BMP,3,6),IF(AND(D9="Bioretention",E9="Enhanced"),INDEX(PARAMS_BMP,4,6),IF(AND(D9="Bioretention",E9="Enhanced w/ Underdrain"),INDEX(PARAMS_BMP,5,6),IF(AND(D9="Dry Swale",E9="—"),INDEX(PARAMS_BMP,6,6),IF(AND(D9="Wet Swale",E9="—"),INDEX(PARAMS_BMP,7,6),""))))))),"")</f>
        <v/>
      </c>
      <c r="AK9" s="17">
        <f>IFERROR(AI9*AJ9+AH9,0)</f>
        <v/>
      </c>
      <c r="AL9" s="17">
        <f>IFERROR(VLOOKUP(C9,'CDA'!$A$58:$D$67,4,FALSE),0)</f>
        <v/>
      </c>
      <c r="AM9" s="28">
        <f>IFERROR(IF(AL9=0,AK9,MIN(AK9,AL9)),0)</f>
        <v/>
      </c>
    </row>
    <row r="10">
      <c r="A10" s="4" t="n"/>
      <c r="B10" s="4" t="n"/>
      <c r="C10" s="4" t="n"/>
      <c r="D10" s="4" t="n"/>
      <c r="E10" s="27" t="n"/>
      <c r="F10" s="4" t="n"/>
      <c r="G10" s="4" t="n"/>
      <c r="H10" s="4" t="n"/>
      <c r="I10" s="4">
        <f>IFERROR(IF(OR(E10="Enhanced",E10="Underdrained Enhanced"),VLOOKUP(IF(SUMIFS('CDA'!$E$4:$E$53,'CDA'!$A$4:$A$53,C10,'CDA'!$D$4:$D$53,"D")&gt;0,"D",IF(SUMIFS('CDA'!$E$4:$E$53,'CDA'!$A$4:$A$53,C10,'CDA'!$D$4:$D$53,"C")&gt;0,"C",IF(SUMIFS('CDA'!$E$4:$E$53,'CDA'!$A$4:$A$53,C10,'CDA'!$D$4:$D$53,"B")&gt;0,"B",IF(SUMIFS('CDA'!$E$4:$E$53,'CDA'!$A$4:$A$53,C10,'CDA'!$D$4:$D$53,"A")&gt;0,"A","")))),PARAMS_Ksat,2,FALSE),0),0)</f>
        <v/>
      </c>
      <c r="J10" s="17">
        <f>IFERROR(IF(AND(D10="Permeable Pavement",E10="Enhanced"),INDEX(PARAMS_BMP,1,5),IF(AND(D10="Permeable Pavement",E10="Underdrained Enhanced"),INDEX(PARAMS_BMP,2,5),IF(AND(D10="Bioretention",E10="Standard"),INDEX(PARAMS_BMP,3,5),IF(AND(D10="Bioretention",E10="Enhanced"),INDEX(PARAMS_BMP,4,5),IF(AND(D10="Bioretention",E10="Enhanced w/ Underdrain"),INDEX(PARAMS_BMP,5,5),IF(AND(D10="Dry Swale",E10="—"),INDEX(PARAMS_BMP,6,5),IF(AND(D10="Wet Swale",E10="—"),INDEX(PARAMS_BMP,7,5),""))))))),"")</f>
        <v/>
      </c>
      <c r="K10" s="17">
        <f>IFERROR(F10*G10*J10,0)</f>
        <v/>
      </c>
      <c r="L10" s="17">
        <f>IFERROR(IF(I10=0,"",G10/I10),"")</f>
        <v/>
      </c>
      <c r="M10" s="28">
        <f>IFERROR(IF(L10="","",IF(L10&lt;=2,"✓","✗")),"")</f>
        <v/>
      </c>
      <c r="N10" s="4" t="n"/>
      <c r="O10" s="4" t="n"/>
      <c r="P10" s="17">
        <f>IFERROR((N10+O10)/2,0)</f>
        <v/>
      </c>
      <c r="Q10" s="4" t="n"/>
      <c r="R10" s="17">
        <f>IFERROR(IF(AND(D10="Permeable Pavement",E10="Enhanced"),INDEX(PARAMS_BMP,1,3),IF(AND(D10="Permeable Pavement",E10="Underdrained Enhanced"),INDEX(PARAMS_BMP,2,3),IF(AND(D10="Bioretention",E10="Standard"),INDEX(PARAMS_BMP,3,3),IF(AND(D10="Bioretention",E10="Enhanced"),INDEX(PARAMS_BMP,4,3),IF(AND(D10="Bioretention",E10="Enhanced w/ Underdrain"),INDEX(PARAMS_BMP,5,3),IF(AND(D10="Dry Swale",E10="—"),INDEX(PARAMS_BMP,6,3),IF(AND(D10="Wet Swale",E10="—"),INDEX(PARAMS_BMP,7,3),""))))))),"")</f>
        <v/>
      </c>
      <c r="S10" s="4" t="n"/>
      <c r="T10" s="17">
        <f>IFERROR(IF(AND(D10="Permeable Pavement",E10="Enhanced"),INDEX(PARAMS_BMP,1,4),IF(AND(D10="Permeable Pavement",E10="Underdrained Enhanced"),INDEX(PARAMS_BMP,2,4),IF(AND(D10="Bioretention",E10="Standard"),INDEX(PARAMS_BMP,3,4),IF(AND(D10="Bioretention",E10="Enhanced"),INDEX(PARAMS_BMP,4,4),IF(AND(D10="Bioretention",E10="Enhanced w/ Underdrain"),INDEX(PARAMS_BMP,5,4),IF(AND(D10="Dry Swale",E10="—"),INDEX(PARAMS_BMP,6,4),IF(AND(D10="Wet Swale",E10="—"),INDEX(PARAMS_BMP,7,4),""))))))),"")</f>
        <v/>
      </c>
      <c r="U10" s="4" t="n"/>
      <c r="V10" s="4">
        <f>IFERROR(IF(OR(E10="Enhanced",E10="Enhanced w/ Underdrain"),VLOOKUP(IF(SUMIFS('CDA'!$E$4:$E$53,'CDA'!$A$4:$A$53,C10,'CDA'!$D$4:$D$53,"D")&gt;0,"D",IF(SUMIFS('CDA'!$E$4:$E$53,'CDA'!$A$4:$A$53,C10,'CDA'!$D$4:$D$53,"C")&gt;0,"C",IF(SUMIFS('CDA'!$E$4:$E$53,'CDA'!$A$4:$A$53,C10,'CDA'!$D$4:$D$53,"B")&gt;0,"B",IF(SUMIFS('CDA'!$E$4:$E$53,'CDA'!$A$4:$A$53,C10,'CDA'!$D$4:$D$53,"A")&gt;0,"A","")))),PARAMS_Ksat,2,FALSE),0),0)</f>
        <v/>
      </c>
      <c r="W10" s="17">
        <f>IFERROR(P10*(Q10*R10+S10*T10+U10),0)</f>
        <v/>
      </c>
      <c r="X10" s="28">
        <f>IFERROR(IF(V10=0,"",(Q10+S10)/V10),"")</f>
        <v/>
      </c>
      <c r="Y10" s="4" t="n"/>
      <c r="Z10" s="4" t="n"/>
      <c r="AA10" s="28">
        <f>IFERROR(Y10+Z10,0)</f>
        <v/>
      </c>
      <c r="AB10" s="4" t="n"/>
      <c r="AC10" s="4" t="n"/>
      <c r="AD10" s="4" t="n"/>
      <c r="AE10" s="4" t="n"/>
      <c r="AF10" s="4" t="n"/>
      <c r="AG10" s="4" t="n"/>
      <c r="AH10" s="28">
        <f>IFERROR(AB10*INDEX(PARAMS_Trees,1,3)+AC10*INDEX(PARAMS_Trees,2,3)+AD10*INDEX(PARAMS_Trees,3,3)+AE10*INDEX(PARAMS_Trees,4,3)+AF10*INDEX(PARAMS_Trees,5,3)+AG10*INDEX(PARAMS_Trees,6,3),0)</f>
        <v/>
      </c>
      <c r="AI10" s="17">
        <f>IFERROR(K10+W10+AA10,0)</f>
        <v/>
      </c>
      <c r="AJ10" s="17">
        <f>IFERROR(IF(AND(D10="Permeable Pavement",E10="Enhanced"),INDEX(PARAMS_BMP,1,6),IF(AND(D10="Permeable Pavement",E10="Underdrained Enhanced"),INDEX(PARAMS_BMP,2,6),IF(AND(D10="Bioretention",E10="Standard"),INDEX(PARAMS_BMP,3,6),IF(AND(D10="Bioretention",E10="Enhanced"),INDEX(PARAMS_BMP,4,6),IF(AND(D10="Bioretention",E10="Enhanced w/ Underdrain"),INDEX(PARAMS_BMP,5,6),IF(AND(D10="Dry Swale",E10="—"),INDEX(PARAMS_BMP,6,6),IF(AND(D10="Wet Swale",E10="—"),INDEX(PARAMS_BMP,7,6),""))))))),"")</f>
        <v/>
      </c>
      <c r="AK10" s="17">
        <f>IFERROR(AI10*AJ10+AH10,0)</f>
        <v/>
      </c>
      <c r="AL10" s="17">
        <f>IFERROR(VLOOKUP(C10,'CDA'!$A$58:$D$67,4,FALSE),0)</f>
        <v/>
      </c>
      <c r="AM10" s="28">
        <f>IFERROR(IF(AL10=0,AK10,MIN(AK10,AL10)),0)</f>
        <v/>
      </c>
    </row>
    <row r="11">
      <c r="A11" s="4" t="n"/>
      <c r="B11" s="4" t="n"/>
      <c r="C11" s="4" t="n"/>
      <c r="D11" s="4" t="n"/>
      <c r="E11" s="27" t="n"/>
      <c r="F11" s="4" t="n"/>
      <c r="G11" s="4" t="n"/>
      <c r="H11" s="4" t="n"/>
      <c r="I11" s="4">
        <f>IFERROR(IF(OR(E11="Enhanced",E11="Underdrained Enhanced"),VLOOKUP(IF(SUMIFS('CDA'!$E$4:$E$53,'CDA'!$A$4:$A$53,C11,'CDA'!$D$4:$D$53,"D")&gt;0,"D",IF(SUMIFS('CDA'!$E$4:$E$53,'CDA'!$A$4:$A$53,C11,'CDA'!$D$4:$D$53,"C")&gt;0,"C",IF(SUMIFS('CDA'!$E$4:$E$53,'CDA'!$A$4:$A$53,C11,'CDA'!$D$4:$D$53,"B")&gt;0,"B",IF(SUMIFS('CDA'!$E$4:$E$53,'CDA'!$A$4:$A$53,C11,'CDA'!$D$4:$D$53,"A")&gt;0,"A","")))),PARAMS_Ksat,2,FALSE),0),0)</f>
        <v/>
      </c>
      <c r="J11" s="17">
        <f>IFERROR(IF(AND(D11="Permeable Pavement",E11="Enhanced"),INDEX(PARAMS_BMP,1,5),IF(AND(D11="Permeable Pavement",E11="Underdrained Enhanced"),INDEX(PARAMS_BMP,2,5),IF(AND(D11="Bioretention",E11="Standard"),INDEX(PARAMS_BMP,3,5),IF(AND(D11="Bioretention",E11="Enhanced"),INDEX(PARAMS_BMP,4,5),IF(AND(D11="Bioretention",E11="Enhanced w/ Underdrain"),INDEX(PARAMS_BMP,5,5),IF(AND(D11="Dry Swale",E11="—"),INDEX(PARAMS_BMP,6,5),IF(AND(D11="Wet Swale",E11="—"),INDEX(PARAMS_BMP,7,5),""))))))),"")</f>
        <v/>
      </c>
      <c r="K11" s="17">
        <f>IFERROR(F11*G11*J11,0)</f>
        <v/>
      </c>
      <c r="L11" s="17">
        <f>IFERROR(IF(I11=0,"",G11/I11),"")</f>
        <v/>
      </c>
      <c r="M11" s="28">
        <f>IFERROR(IF(L11="","",IF(L11&lt;=2,"✓","✗")),"")</f>
        <v/>
      </c>
      <c r="N11" s="4" t="n"/>
      <c r="O11" s="4" t="n"/>
      <c r="P11" s="17">
        <f>IFERROR((N11+O11)/2,0)</f>
        <v/>
      </c>
      <c r="Q11" s="4" t="n"/>
      <c r="R11" s="17">
        <f>IFERROR(IF(AND(D11="Permeable Pavement",E11="Enhanced"),INDEX(PARAMS_BMP,1,3),IF(AND(D11="Permeable Pavement",E11="Underdrained Enhanced"),INDEX(PARAMS_BMP,2,3),IF(AND(D11="Bioretention",E11="Standard"),INDEX(PARAMS_BMP,3,3),IF(AND(D11="Bioretention",E11="Enhanced"),INDEX(PARAMS_BMP,4,3),IF(AND(D11="Bioretention",E11="Enhanced w/ Underdrain"),INDEX(PARAMS_BMP,5,3),IF(AND(D11="Dry Swale",E11="—"),INDEX(PARAMS_BMP,6,3),IF(AND(D11="Wet Swale",E11="—"),INDEX(PARAMS_BMP,7,3),""))))))),"")</f>
        <v/>
      </c>
      <c r="S11" s="4" t="n"/>
      <c r="T11" s="17">
        <f>IFERROR(IF(AND(D11="Permeable Pavement",E11="Enhanced"),INDEX(PARAMS_BMP,1,4),IF(AND(D11="Permeable Pavement",E11="Underdrained Enhanced"),INDEX(PARAMS_BMP,2,4),IF(AND(D11="Bioretention",E11="Standard"),INDEX(PARAMS_BMP,3,4),IF(AND(D11="Bioretention",E11="Enhanced"),INDEX(PARAMS_BMP,4,4),IF(AND(D11="Bioretention",E11="Enhanced w/ Underdrain"),INDEX(PARAMS_BMP,5,4),IF(AND(D11="Dry Swale",E11="—"),INDEX(PARAMS_BMP,6,4),IF(AND(D11="Wet Swale",E11="—"),INDEX(PARAMS_BMP,7,4),""))))))),"")</f>
        <v/>
      </c>
      <c r="U11" s="4" t="n"/>
      <c r="V11" s="4">
        <f>IFERROR(IF(OR(E11="Enhanced",E11="Enhanced w/ Underdrain"),VLOOKUP(IF(SUMIFS('CDA'!$E$4:$E$53,'CDA'!$A$4:$A$53,C11,'CDA'!$D$4:$D$53,"D")&gt;0,"D",IF(SUMIFS('CDA'!$E$4:$E$53,'CDA'!$A$4:$A$53,C11,'CDA'!$D$4:$D$53,"C")&gt;0,"C",IF(SUMIFS('CDA'!$E$4:$E$53,'CDA'!$A$4:$A$53,C11,'CDA'!$D$4:$D$53,"B")&gt;0,"B",IF(SUMIFS('CDA'!$E$4:$E$53,'CDA'!$A$4:$A$53,C11,'CDA'!$D$4:$D$53,"A")&gt;0,"A","")))),PARAMS_Ksat,2,FALSE),0),0)</f>
        <v/>
      </c>
      <c r="W11" s="17">
        <f>IFERROR(P11*(Q11*R11+S11*T11+U11),0)</f>
        <v/>
      </c>
      <c r="X11" s="28">
        <f>IFERROR(IF(V11=0,"",(Q11+S11)/V11),"")</f>
        <v/>
      </c>
      <c r="Y11" s="4" t="n"/>
      <c r="Z11" s="4" t="n"/>
      <c r="AA11" s="28">
        <f>IFERROR(Y11+Z11,0)</f>
        <v/>
      </c>
      <c r="AB11" s="4" t="n"/>
      <c r="AC11" s="4" t="n"/>
      <c r="AD11" s="4" t="n"/>
      <c r="AE11" s="4" t="n"/>
      <c r="AF11" s="4" t="n"/>
      <c r="AG11" s="4" t="n"/>
      <c r="AH11" s="28">
        <f>IFERROR(AB11*INDEX(PARAMS_Trees,1,3)+AC11*INDEX(PARAMS_Trees,2,3)+AD11*INDEX(PARAMS_Trees,3,3)+AE11*INDEX(PARAMS_Trees,4,3)+AF11*INDEX(PARAMS_Trees,5,3)+AG11*INDEX(PARAMS_Trees,6,3),0)</f>
        <v/>
      </c>
      <c r="AI11" s="17">
        <f>IFERROR(K11+W11+AA11,0)</f>
        <v/>
      </c>
      <c r="AJ11" s="17">
        <f>IFERROR(IF(AND(D11="Permeable Pavement",E11="Enhanced"),INDEX(PARAMS_BMP,1,6),IF(AND(D11="Permeable Pavement",E11="Underdrained Enhanced"),INDEX(PARAMS_BMP,2,6),IF(AND(D11="Bioretention",E11="Standard"),INDEX(PARAMS_BMP,3,6),IF(AND(D11="Bioretention",E11="Enhanced"),INDEX(PARAMS_BMP,4,6),IF(AND(D11="Bioretention",E11="Enhanced w/ Underdrain"),INDEX(PARAMS_BMP,5,6),IF(AND(D11="Dry Swale",E11="—"),INDEX(PARAMS_BMP,6,6),IF(AND(D11="Wet Swale",E11="—"),INDEX(PARAMS_BMP,7,6),""))))))),"")</f>
        <v/>
      </c>
      <c r="AK11" s="17">
        <f>IFERROR(AI11*AJ11+AH11,0)</f>
        <v/>
      </c>
      <c r="AL11" s="17">
        <f>IFERROR(VLOOKUP(C11,'CDA'!$A$58:$D$67,4,FALSE),0)</f>
        <v/>
      </c>
      <c r="AM11" s="28">
        <f>IFERROR(IF(AL11=0,AK11,MIN(AK11,AL11)),0)</f>
        <v/>
      </c>
    </row>
    <row r="12">
      <c r="A12" s="4" t="n"/>
      <c r="B12" s="4" t="n"/>
      <c r="C12" s="4" t="n"/>
      <c r="D12" s="4" t="n"/>
      <c r="E12" s="27" t="n"/>
      <c r="F12" s="4" t="n"/>
      <c r="G12" s="4" t="n"/>
      <c r="H12" s="4" t="n"/>
      <c r="I12" s="4">
        <f>IFERROR(IF(OR(E12="Enhanced",E12="Underdrained Enhanced"),VLOOKUP(IF(SUMIFS('CDA'!$E$4:$E$53,'CDA'!$A$4:$A$53,C12,'CDA'!$D$4:$D$53,"D")&gt;0,"D",IF(SUMIFS('CDA'!$E$4:$E$53,'CDA'!$A$4:$A$53,C12,'CDA'!$D$4:$D$53,"C")&gt;0,"C",IF(SUMIFS('CDA'!$E$4:$E$53,'CDA'!$A$4:$A$53,C12,'CDA'!$D$4:$D$53,"B")&gt;0,"B",IF(SUMIFS('CDA'!$E$4:$E$53,'CDA'!$A$4:$A$53,C12,'CDA'!$D$4:$D$53,"A")&gt;0,"A","")))),PARAMS_Ksat,2,FALSE),0),0)</f>
        <v/>
      </c>
      <c r="J12" s="17">
        <f>IFERROR(IF(AND(D12="Permeable Pavement",E12="Enhanced"),INDEX(PARAMS_BMP,1,5),IF(AND(D12="Permeable Pavement",E12="Underdrained Enhanced"),INDEX(PARAMS_BMP,2,5),IF(AND(D12="Bioretention",E12="Standard"),INDEX(PARAMS_BMP,3,5),IF(AND(D12="Bioretention",E12="Enhanced"),INDEX(PARAMS_BMP,4,5),IF(AND(D12="Bioretention",E12="Enhanced w/ Underdrain"),INDEX(PARAMS_BMP,5,5),IF(AND(D12="Dry Swale",E12="—"),INDEX(PARAMS_BMP,6,5),IF(AND(D12="Wet Swale",E12="—"),INDEX(PARAMS_BMP,7,5),""))))))),"")</f>
        <v/>
      </c>
      <c r="K12" s="17">
        <f>IFERROR(F12*G12*J12,0)</f>
        <v/>
      </c>
      <c r="L12" s="17">
        <f>IFERROR(IF(I12=0,"",G12/I12),"")</f>
        <v/>
      </c>
      <c r="M12" s="28">
        <f>IFERROR(IF(L12="","",IF(L12&lt;=2,"✓","✗")),"")</f>
        <v/>
      </c>
      <c r="N12" s="4" t="n"/>
      <c r="O12" s="4" t="n"/>
      <c r="P12" s="17">
        <f>IFERROR((N12+O12)/2,0)</f>
        <v/>
      </c>
      <c r="Q12" s="4" t="n"/>
      <c r="R12" s="17">
        <f>IFERROR(IF(AND(D12="Permeable Pavement",E12="Enhanced"),INDEX(PARAMS_BMP,1,3),IF(AND(D12="Permeable Pavement",E12="Underdrained Enhanced"),INDEX(PARAMS_BMP,2,3),IF(AND(D12="Bioretention",E12="Standard"),INDEX(PARAMS_BMP,3,3),IF(AND(D12="Bioretention",E12="Enhanced"),INDEX(PARAMS_BMP,4,3),IF(AND(D12="Bioretention",E12="Enhanced w/ Underdrain"),INDEX(PARAMS_BMP,5,3),IF(AND(D12="Dry Swale",E12="—"),INDEX(PARAMS_BMP,6,3),IF(AND(D12="Wet Swale",E12="—"),INDEX(PARAMS_BMP,7,3),""))))))),"")</f>
        <v/>
      </c>
      <c r="S12" s="4" t="n"/>
      <c r="T12" s="17">
        <f>IFERROR(IF(AND(D12="Permeable Pavement",E12="Enhanced"),INDEX(PARAMS_BMP,1,4),IF(AND(D12="Permeable Pavement",E12="Underdrained Enhanced"),INDEX(PARAMS_BMP,2,4),IF(AND(D12="Bioretention",E12="Standard"),INDEX(PARAMS_BMP,3,4),IF(AND(D12="Bioretention",E12="Enhanced"),INDEX(PARAMS_BMP,4,4),IF(AND(D12="Bioretention",E12="Enhanced w/ Underdrain"),INDEX(PARAMS_BMP,5,4),IF(AND(D12="Dry Swale",E12="—"),INDEX(PARAMS_BMP,6,4),IF(AND(D12="Wet Swale",E12="—"),INDEX(PARAMS_BMP,7,4),""))))))),"")</f>
        <v/>
      </c>
      <c r="U12" s="4" t="n"/>
      <c r="V12" s="4">
        <f>IFERROR(IF(OR(E12="Enhanced",E12="Enhanced w/ Underdrain"),VLOOKUP(IF(SUMIFS('CDA'!$E$4:$E$53,'CDA'!$A$4:$A$53,C12,'CDA'!$D$4:$D$53,"D")&gt;0,"D",IF(SUMIFS('CDA'!$E$4:$E$53,'CDA'!$A$4:$A$53,C12,'CDA'!$D$4:$D$53,"C")&gt;0,"C",IF(SUMIFS('CDA'!$E$4:$E$53,'CDA'!$A$4:$A$53,C12,'CDA'!$D$4:$D$53,"B")&gt;0,"B",IF(SUMIFS('CDA'!$E$4:$E$53,'CDA'!$A$4:$A$53,C12,'CDA'!$D$4:$D$53,"A")&gt;0,"A","")))),PARAMS_Ksat,2,FALSE),0),0)</f>
        <v/>
      </c>
      <c r="W12" s="17">
        <f>IFERROR(P12*(Q12*R12+S12*T12+U12),0)</f>
        <v/>
      </c>
      <c r="X12" s="28">
        <f>IFERROR(IF(V12=0,"",(Q12+S12)/V12),"")</f>
        <v/>
      </c>
      <c r="Y12" s="4" t="n"/>
      <c r="Z12" s="4" t="n"/>
      <c r="AA12" s="28">
        <f>IFERROR(Y12+Z12,0)</f>
        <v/>
      </c>
      <c r="AB12" s="4" t="n"/>
      <c r="AC12" s="4" t="n"/>
      <c r="AD12" s="4" t="n"/>
      <c r="AE12" s="4" t="n"/>
      <c r="AF12" s="4" t="n"/>
      <c r="AG12" s="4" t="n"/>
      <c r="AH12" s="28">
        <f>IFERROR(AB12*INDEX(PARAMS_Trees,1,3)+AC12*INDEX(PARAMS_Trees,2,3)+AD12*INDEX(PARAMS_Trees,3,3)+AE12*INDEX(PARAMS_Trees,4,3)+AF12*INDEX(PARAMS_Trees,5,3)+AG12*INDEX(PARAMS_Trees,6,3),0)</f>
        <v/>
      </c>
      <c r="AI12" s="17">
        <f>IFERROR(K12+W12+AA12,0)</f>
        <v/>
      </c>
      <c r="AJ12" s="17">
        <f>IFERROR(IF(AND(D12="Permeable Pavement",E12="Enhanced"),INDEX(PARAMS_BMP,1,6),IF(AND(D12="Permeable Pavement",E12="Underdrained Enhanced"),INDEX(PARAMS_BMP,2,6),IF(AND(D12="Bioretention",E12="Standard"),INDEX(PARAMS_BMP,3,6),IF(AND(D12="Bioretention",E12="Enhanced"),INDEX(PARAMS_BMP,4,6),IF(AND(D12="Bioretention",E12="Enhanced w/ Underdrain"),INDEX(PARAMS_BMP,5,6),IF(AND(D12="Dry Swale",E12="—"),INDEX(PARAMS_BMP,6,6),IF(AND(D12="Wet Swale",E12="—"),INDEX(PARAMS_BMP,7,6),""))))))),"")</f>
        <v/>
      </c>
      <c r="AK12" s="17">
        <f>IFERROR(AI12*AJ12+AH12,0)</f>
        <v/>
      </c>
      <c r="AL12" s="17">
        <f>IFERROR(VLOOKUP(C12,'CDA'!$A$58:$D$67,4,FALSE),0)</f>
        <v/>
      </c>
      <c r="AM12" s="28">
        <f>IFERROR(IF(AL12=0,AK12,MIN(AK12,AL12)),0)</f>
        <v/>
      </c>
    </row>
    <row r="13">
      <c r="A13" s="4" t="n"/>
      <c r="B13" s="4" t="n"/>
      <c r="C13" s="4" t="n"/>
      <c r="D13" s="4" t="n"/>
      <c r="E13" s="27" t="n"/>
      <c r="F13" s="4" t="n"/>
      <c r="G13" s="4" t="n"/>
      <c r="H13" s="4" t="n"/>
      <c r="I13" s="4">
        <f>IFERROR(IF(OR(E13="Enhanced",E13="Underdrained Enhanced"),VLOOKUP(IF(SUMIFS('CDA'!$E$4:$E$53,'CDA'!$A$4:$A$53,C13,'CDA'!$D$4:$D$53,"D")&gt;0,"D",IF(SUMIFS('CDA'!$E$4:$E$53,'CDA'!$A$4:$A$53,C13,'CDA'!$D$4:$D$53,"C")&gt;0,"C",IF(SUMIFS('CDA'!$E$4:$E$53,'CDA'!$A$4:$A$53,C13,'CDA'!$D$4:$D$53,"B")&gt;0,"B",IF(SUMIFS('CDA'!$E$4:$E$53,'CDA'!$A$4:$A$53,C13,'CDA'!$D$4:$D$53,"A")&gt;0,"A","")))),PARAMS_Ksat,2,FALSE),0),0)</f>
        <v/>
      </c>
      <c r="J13" s="17">
        <f>IFERROR(IF(AND(D13="Permeable Pavement",E13="Enhanced"),INDEX(PARAMS_BMP,1,5),IF(AND(D13="Permeable Pavement",E13="Underdrained Enhanced"),INDEX(PARAMS_BMP,2,5),IF(AND(D13="Bioretention",E13="Standard"),INDEX(PARAMS_BMP,3,5),IF(AND(D13="Bioretention",E13="Enhanced"),INDEX(PARAMS_BMP,4,5),IF(AND(D13="Bioretention",E13="Enhanced w/ Underdrain"),INDEX(PARAMS_BMP,5,5),IF(AND(D13="Dry Swale",E13="—"),INDEX(PARAMS_BMP,6,5),IF(AND(D13="Wet Swale",E13="—"),INDEX(PARAMS_BMP,7,5),""))))))),"")</f>
        <v/>
      </c>
      <c r="K13" s="17">
        <f>IFERROR(F13*G13*J13,0)</f>
        <v/>
      </c>
      <c r="L13" s="17">
        <f>IFERROR(IF(I13=0,"",G13/I13),"")</f>
        <v/>
      </c>
      <c r="M13" s="28">
        <f>IFERROR(IF(L13="","",IF(L13&lt;=2,"✓","✗")),"")</f>
        <v/>
      </c>
      <c r="N13" s="4" t="n"/>
      <c r="O13" s="4" t="n"/>
      <c r="P13" s="17">
        <f>IFERROR((N13+O13)/2,0)</f>
        <v/>
      </c>
      <c r="Q13" s="4" t="n"/>
      <c r="R13" s="17">
        <f>IFERROR(IF(AND(D13="Permeable Pavement",E13="Enhanced"),INDEX(PARAMS_BMP,1,3),IF(AND(D13="Permeable Pavement",E13="Underdrained Enhanced"),INDEX(PARAMS_BMP,2,3),IF(AND(D13="Bioretention",E13="Standard"),INDEX(PARAMS_BMP,3,3),IF(AND(D13="Bioretention",E13="Enhanced"),INDEX(PARAMS_BMP,4,3),IF(AND(D13="Bioretention",E13="Enhanced w/ Underdrain"),INDEX(PARAMS_BMP,5,3),IF(AND(D13="Dry Swale",E13="—"),INDEX(PARAMS_BMP,6,3),IF(AND(D13="Wet Swale",E13="—"),INDEX(PARAMS_BMP,7,3),""))))))),"")</f>
        <v/>
      </c>
      <c r="S13" s="4" t="n"/>
      <c r="T13" s="17">
        <f>IFERROR(IF(AND(D13="Permeable Pavement",E13="Enhanced"),INDEX(PARAMS_BMP,1,4),IF(AND(D13="Permeable Pavement",E13="Underdrained Enhanced"),INDEX(PARAMS_BMP,2,4),IF(AND(D13="Bioretention",E13="Standard"),INDEX(PARAMS_BMP,3,4),IF(AND(D13="Bioretention",E13="Enhanced"),INDEX(PARAMS_BMP,4,4),IF(AND(D13="Bioretention",E13="Enhanced w/ Underdrain"),INDEX(PARAMS_BMP,5,4),IF(AND(D13="Dry Swale",E13="—"),INDEX(PARAMS_BMP,6,4),IF(AND(D13="Wet Swale",E13="—"),INDEX(PARAMS_BMP,7,4),""))))))),"")</f>
        <v/>
      </c>
      <c r="U13" s="4" t="n"/>
      <c r="V13" s="4">
        <f>IFERROR(IF(OR(E13="Enhanced",E13="Enhanced w/ Underdrain"),VLOOKUP(IF(SUMIFS('CDA'!$E$4:$E$53,'CDA'!$A$4:$A$53,C13,'CDA'!$D$4:$D$53,"D")&gt;0,"D",IF(SUMIFS('CDA'!$E$4:$E$53,'CDA'!$A$4:$A$53,C13,'CDA'!$D$4:$D$53,"C")&gt;0,"C",IF(SUMIFS('CDA'!$E$4:$E$53,'CDA'!$A$4:$A$53,C13,'CDA'!$D$4:$D$53,"B")&gt;0,"B",IF(SUMIFS('CDA'!$E$4:$E$53,'CDA'!$A$4:$A$53,C13,'CDA'!$D$4:$D$53,"A")&gt;0,"A","")))),PARAMS_Ksat,2,FALSE),0),0)</f>
        <v/>
      </c>
      <c r="W13" s="17">
        <f>IFERROR(P13*(Q13*R13+S13*T13+U13),0)</f>
        <v/>
      </c>
      <c r="X13" s="28">
        <f>IFERROR(IF(V13=0,"",(Q13+S13)/V13),"")</f>
        <v/>
      </c>
      <c r="Y13" s="4" t="n"/>
      <c r="Z13" s="4" t="n"/>
      <c r="AA13" s="28">
        <f>IFERROR(Y13+Z13,0)</f>
        <v/>
      </c>
      <c r="AB13" s="4" t="n"/>
      <c r="AC13" s="4" t="n"/>
      <c r="AD13" s="4" t="n"/>
      <c r="AE13" s="4" t="n"/>
      <c r="AF13" s="4" t="n"/>
      <c r="AG13" s="4" t="n"/>
      <c r="AH13" s="28">
        <f>IFERROR(AB13*INDEX(PARAMS_Trees,1,3)+AC13*INDEX(PARAMS_Trees,2,3)+AD13*INDEX(PARAMS_Trees,3,3)+AE13*INDEX(PARAMS_Trees,4,3)+AF13*INDEX(PARAMS_Trees,5,3)+AG13*INDEX(PARAMS_Trees,6,3),0)</f>
        <v/>
      </c>
      <c r="AI13" s="17">
        <f>IFERROR(K13+W13+AA13,0)</f>
        <v/>
      </c>
      <c r="AJ13" s="17">
        <f>IFERROR(IF(AND(D13="Permeable Pavement",E13="Enhanced"),INDEX(PARAMS_BMP,1,6),IF(AND(D13="Permeable Pavement",E13="Underdrained Enhanced"),INDEX(PARAMS_BMP,2,6),IF(AND(D13="Bioretention",E13="Standard"),INDEX(PARAMS_BMP,3,6),IF(AND(D13="Bioretention",E13="Enhanced"),INDEX(PARAMS_BMP,4,6),IF(AND(D13="Bioretention",E13="Enhanced w/ Underdrain"),INDEX(PARAMS_BMP,5,6),IF(AND(D13="Dry Swale",E13="—"),INDEX(PARAMS_BMP,6,6),IF(AND(D13="Wet Swale",E13="—"),INDEX(PARAMS_BMP,7,6),""))))))),"")</f>
        <v/>
      </c>
      <c r="AK13" s="17">
        <f>IFERROR(AI13*AJ13+AH13,0)</f>
        <v/>
      </c>
      <c r="AL13" s="17">
        <f>IFERROR(VLOOKUP(C13,'CDA'!$A$58:$D$67,4,FALSE),0)</f>
        <v/>
      </c>
      <c r="AM13" s="28">
        <f>IFERROR(IF(AL13=0,AK13,MIN(AK13,AL13)),0)</f>
        <v/>
      </c>
    </row>
    <row r="14">
      <c r="A14" s="4" t="n"/>
      <c r="B14" s="4" t="n"/>
      <c r="C14" s="4" t="n"/>
      <c r="D14" s="4" t="n"/>
      <c r="E14" s="27" t="n"/>
      <c r="F14" s="4" t="n"/>
      <c r="G14" s="4" t="n"/>
      <c r="H14" s="4" t="n"/>
      <c r="I14" s="4">
        <f>IFERROR(IF(OR(E14="Enhanced",E14="Underdrained Enhanced"),VLOOKUP(IF(SUMIFS('CDA'!$E$4:$E$53,'CDA'!$A$4:$A$53,C14,'CDA'!$D$4:$D$53,"D")&gt;0,"D",IF(SUMIFS('CDA'!$E$4:$E$53,'CDA'!$A$4:$A$53,C14,'CDA'!$D$4:$D$53,"C")&gt;0,"C",IF(SUMIFS('CDA'!$E$4:$E$53,'CDA'!$A$4:$A$53,C14,'CDA'!$D$4:$D$53,"B")&gt;0,"B",IF(SUMIFS('CDA'!$E$4:$E$53,'CDA'!$A$4:$A$53,C14,'CDA'!$D$4:$D$53,"A")&gt;0,"A","")))),PARAMS_Ksat,2,FALSE),0),0)</f>
        <v/>
      </c>
      <c r="J14" s="17">
        <f>IFERROR(IF(AND(D14="Permeable Pavement",E14="Enhanced"),INDEX(PARAMS_BMP,1,5),IF(AND(D14="Permeable Pavement",E14="Underdrained Enhanced"),INDEX(PARAMS_BMP,2,5),IF(AND(D14="Bioretention",E14="Standard"),INDEX(PARAMS_BMP,3,5),IF(AND(D14="Bioretention",E14="Enhanced"),INDEX(PARAMS_BMP,4,5),IF(AND(D14="Bioretention",E14="Enhanced w/ Underdrain"),INDEX(PARAMS_BMP,5,5),IF(AND(D14="Dry Swale",E14="—"),INDEX(PARAMS_BMP,6,5),IF(AND(D14="Wet Swale",E14="—"),INDEX(PARAMS_BMP,7,5),""))))))),"")</f>
        <v/>
      </c>
      <c r="K14" s="17">
        <f>IFERROR(F14*G14*J14,0)</f>
        <v/>
      </c>
      <c r="L14" s="17">
        <f>IFERROR(IF(I14=0,"",G14/I14),"")</f>
        <v/>
      </c>
      <c r="M14" s="28">
        <f>IFERROR(IF(L14="","",IF(L14&lt;=2,"✓","✗")),"")</f>
        <v/>
      </c>
      <c r="N14" s="4" t="n"/>
      <c r="O14" s="4" t="n"/>
      <c r="P14" s="17">
        <f>IFERROR((N14+O14)/2,0)</f>
        <v/>
      </c>
      <c r="Q14" s="4" t="n"/>
      <c r="R14" s="17">
        <f>IFERROR(IF(AND(D14="Permeable Pavement",E14="Enhanced"),INDEX(PARAMS_BMP,1,3),IF(AND(D14="Permeable Pavement",E14="Underdrained Enhanced"),INDEX(PARAMS_BMP,2,3),IF(AND(D14="Bioretention",E14="Standard"),INDEX(PARAMS_BMP,3,3),IF(AND(D14="Bioretention",E14="Enhanced"),INDEX(PARAMS_BMP,4,3),IF(AND(D14="Bioretention",E14="Enhanced w/ Underdrain"),INDEX(PARAMS_BMP,5,3),IF(AND(D14="Dry Swale",E14="—"),INDEX(PARAMS_BMP,6,3),IF(AND(D14="Wet Swale",E14="—"),INDEX(PARAMS_BMP,7,3),""))))))),"")</f>
        <v/>
      </c>
      <c r="S14" s="4" t="n"/>
      <c r="T14" s="17">
        <f>IFERROR(IF(AND(D14="Permeable Pavement",E14="Enhanced"),INDEX(PARAMS_BMP,1,4),IF(AND(D14="Permeable Pavement",E14="Underdrained Enhanced"),INDEX(PARAMS_BMP,2,4),IF(AND(D14="Bioretention",E14="Standard"),INDEX(PARAMS_BMP,3,4),IF(AND(D14="Bioretention",E14="Enhanced"),INDEX(PARAMS_BMP,4,4),IF(AND(D14="Bioretention",E14="Enhanced w/ Underdrain"),INDEX(PARAMS_BMP,5,4),IF(AND(D14="Dry Swale",E14="—"),INDEX(PARAMS_BMP,6,4),IF(AND(D14="Wet Swale",E14="—"),INDEX(PARAMS_BMP,7,4),""))))))),"")</f>
        <v/>
      </c>
      <c r="U14" s="4" t="n"/>
      <c r="V14" s="4">
        <f>IFERROR(IF(OR(E14="Enhanced",E14="Enhanced w/ Underdrain"),VLOOKUP(IF(SUMIFS('CDA'!$E$4:$E$53,'CDA'!$A$4:$A$53,C14,'CDA'!$D$4:$D$53,"D")&gt;0,"D",IF(SUMIFS('CDA'!$E$4:$E$53,'CDA'!$A$4:$A$53,C14,'CDA'!$D$4:$D$53,"C")&gt;0,"C",IF(SUMIFS('CDA'!$E$4:$E$53,'CDA'!$A$4:$A$53,C14,'CDA'!$D$4:$D$53,"B")&gt;0,"B",IF(SUMIFS('CDA'!$E$4:$E$53,'CDA'!$A$4:$A$53,C14,'CDA'!$D$4:$D$53,"A")&gt;0,"A","")))),PARAMS_Ksat,2,FALSE),0),0)</f>
        <v/>
      </c>
      <c r="W14" s="17">
        <f>IFERROR(P14*(Q14*R14+S14*T14+U14),0)</f>
        <v/>
      </c>
      <c r="X14" s="28">
        <f>IFERROR(IF(V14=0,"",(Q14+S14)/V14),"")</f>
        <v/>
      </c>
      <c r="Y14" s="4" t="n"/>
      <c r="Z14" s="4" t="n"/>
      <c r="AA14" s="28">
        <f>IFERROR(Y14+Z14,0)</f>
        <v/>
      </c>
      <c r="AB14" s="4" t="n"/>
      <c r="AC14" s="4" t="n"/>
      <c r="AD14" s="4" t="n"/>
      <c r="AE14" s="4" t="n"/>
      <c r="AF14" s="4" t="n"/>
      <c r="AG14" s="4" t="n"/>
      <c r="AH14" s="28">
        <f>IFERROR(AB14*INDEX(PARAMS_Trees,1,3)+AC14*INDEX(PARAMS_Trees,2,3)+AD14*INDEX(PARAMS_Trees,3,3)+AE14*INDEX(PARAMS_Trees,4,3)+AF14*INDEX(PARAMS_Trees,5,3)+AG14*INDEX(PARAMS_Trees,6,3),0)</f>
        <v/>
      </c>
      <c r="AI14" s="17">
        <f>IFERROR(K14+W14+AA14,0)</f>
        <v/>
      </c>
      <c r="AJ14" s="17">
        <f>IFERROR(IF(AND(D14="Permeable Pavement",E14="Enhanced"),INDEX(PARAMS_BMP,1,6),IF(AND(D14="Permeable Pavement",E14="Underdrained Enhanced"),INDEX(PARAMS_BMP,2,6),IF(AND(D14="Bioretention",E14="Standard"),INDEX(PARAMS_BMP,3,6),IF(AND(D14="Bioretention",E14="Enhanced"),INDEX(PARAMS_BMP,4,6),IF(AND(D14="Bioretention",E14="Enhanced w/ Underdrain"),INDEX(PARAMS_BMP,5,6),IF(AND(D14="Dry Swale",E14="—"),INDEX(PARAMS_BMP,6,6),IF(AND(D14="Wet Swale",E14="—"),INDEX(PARAMS_BMP,7,6),""))))))),"")</f>
        <v/>
      </c>
      <c r="AK14" s="17">
        <f>IFERROR(AI14*AJ14+AH14,0)</f>
        <v/>
      </c>
      <c r="AL14" s="17">
        <f>IFERROR(VLOOKUP(C14,'CDA'!$A$58:$D$67,4,FALSE),0)</f>
        <v/>
      </c>
      <c r="AM14" s="28">
        <f>IFERROR(IF(AL14=0,AK14,MIN(AK14,AL14)),0)</f>
        <v/>
      </c>
    </row>
    <row r="15">
      <c r="A15" s="4" t="n"/>
      <c r="B15" s="4" t="n"/>
      <c r="C15" s="4" t="n"/>
      <c r="D15" s="4" t="n"/>
      <c r="E15" s="27" t="n"/>
      <c r="F15" s="4" t="n"/>
      <c r="G15" s="4" t="n"/>
      <c r="H15" s="4" t="n"/>
      <c r="I15" s="4">
        <f>IFERROR(IF(OR(E15="Enhanced",E15="Underdrained Enhanced"),VLOOKUP(IF(SUMIFS('CDA'!$E$4:$E$53,'CDA'!$A$4:$A$53,C15,'CDA'!$D$4:$D$53,"D")&gt;0,"D",IF(SUMIFS('CDA'!$E$4:$E$53,'CDA'!$A$4:$A$53,C15,'CDA'!$D$4:$D$53,"C")&gt;0,"C",IF(SUMIFS('CDA'!$E$4:$E$53,'CDA'!$A$4:$A$53,C15,'CDA'!$D$4:$D$53,"B")&gt;0,"B",IF(SUMIFS('CDA'!$E$4:$E$53,'CDA'!$A$4:$A$53,C15,'CDA'!$D$4:$D$53,"A")&gt;0,"A","")))),PARAMS_Ksat,2,FALSE),0),0)</f>
        <v/>
      </c>
      <c r="J15" s="17">
        <f>IFERROR(IF(AND(D15="Permeable Pavement",E15="Enhanced"),INDEX(PARAMS_BMP,1,5),IF(AND(D15="Permeable Pavement",E15="Underdrained Enhanced"),INDEX(PARAMS_BMP,2,5),IF(AND(D15="Bioretention",E15="Standard"),INDEX(PARAMS_BMP,3,5),IF(AND(D15="Bioretention",E15="Enhanced"),INDEX(PARAMS_BMP,4,5),IF(AND(D15="Bioretention",E15="Enhanced w/ Underdrain"),INDEX(PARAMS_BMP,5,5),IF(AND(D15="Dry Swale",E15="—"),INDEX(PARAMS_BMP,6,5),IF(AND(D15="Wet Swale",E15="—"),INDEX(PARAMS_BMP,7,5),""))))))),"")</f>
        <v/>
      </c>
      <c r="K15" s="17">
        <f>IFERROR(F15*G15*J15,0)</f>
        <v/>
      </c>
      <c r="L15" s="17">
        <f>IFERROR(IF(I15=0,"",G15/I15),"")</f>
        <v/>
      </c>
      <c r="M15" s="28">
        <f>IFERROR(IF(L15="","",IF(L15&lt;=2,"✓","✗")),"")</f>
        <v/>
      </c>
      <c r="N15" s="4" t="n"/>
      <c r="O15" s="4" t="n"/>
      <c r="P15" s="17">
        <f>IFERROR((N15+O15)/2,0)</f>
        <v/>
      </c>
      <c r="Q15" s="4" t="n"/>
      <c r="R15" s="17">
        <f>IFERROR(IF(AND(D15="Permeable Pavement",E15="Enhanced"),INDEX(PARAMS_BMP,1,3),IF(AND(D15="Permeable Pavement",E15="Underdrained Enhanced"),INDEX(PARAMS_BMP,2,3),IF(AND(D15="Bioretention",E15="Standard"),INDEX(PARAMS_BMP,3,3),IF(AND(D15="Bioretention",E15="Enhanced"),INDEX(PARAMS_BMP,4,3),IF(AND(D15="Bioretention",E15="Enhanced w/ Underdrain"),INDEX(PARAMS_BMP,5,3),IF(AND(D15="Dry Swale",E15="—"),INDEX(PARAMS_BMP,6,3),IF(AND(D15="Wet Swale",E15="—"),INDEX(PARAMS_BMP,7,3),""))))))),"")</f>
        <v/>
      </c>
      <c r="S15" s="4" t="n"/>
      <c r="T15" s="17">
        <f>IFERROR(IF(AND(D15="Permeable Pavement",E15="Enhanced"),INDEX(PARAMS_BMP,1,4),IF(AND(D15="Permeable Pavement",E15="Underdrained Enhanced"),INDEX(PARAMS_BMP,2,4),IF(AND(D15="Bioretention",E15="Standard"),INDEX(PARAMS_BMP,3,4),IF(AND(D15="Bioretention",E15="Enhanced"),INDEX(PARAMS_BMP,4,4),IF(AND(D15="Bioretention",E15="Enhanced w/ Underdrain"),INDEX(PARAMS_BMP,5,4),IF(AND(D15="Dry Swale",E15="—"),INDEX(PARAMS_BMP,6,4),IF(AND(D15="Wet Swale",E15="—"),INDEX(PARAMS_BMP,7,4),""))))))),"")</f>
        <v/>
      </c>
      <c r="U15" s="4" t="n"/>
      <c r="V15" s="4">
        <f>IFERROR(IF(OR(E15="Enhanced",E15="Enhanced w/ Underdrain"),VLOOKUP(IF(SUMIFS('CDA'!$E$4:$E$53,'CDA'!$A$4:$A$53,C15,'CDA'!$D$4:$D$53,"D")&gt;0,"D",IF(SUMIFS('CDA'!$E$4:$E$53,'CDA'!$A$4:$A$53,C15,'CDA'!$D$4:$D$53,"C")&gt;0,"C",IF(SUMIFS('CDA'!$E$4:$E$53,'CDA'!$A$4:$A$53,C15,'CDA'!$D$4:$D$53,"B")&gt;0,"B",IF(SUMIFS('CDA'!$E$4:$E$53,'CDA'!$A$4:$A$53,C15,'CDA'!$D$4:$D$53,"A")&gt;0,"A","")))),PARAMS_Ksat,2,FALSE),0),0)</f>
        <v/>
      </c>
      <c r="W15" s="17">
        <f>IFERROR(P15*(Q15*R15+S15*T15+U15),0)</f>
        <v/>
      </c>
      <c r="X15" s="28">
        <f>IFERROR(IF(V15=0,"",(Q15+S15)/V15),"")</f>
        <v/>
      </c>
      <c r="Y15" s="4" t="n"/>
      <c r="Z15" s="4" t="n"/>
      <c r="AA15" s="28">
        <f>IFERROR(Y15+Z15,0)</f>
        <v/>
      </c>
      <c r="AB15" s="4" t="n"/>
      <c r="AC15" s="4" t="n"/>
      <c r="AD15" s="4" t="n"/>
      <c r="AE15" s="4" t="n"/>
      <c r="AF15" s="4" t="n"/>
      <c r="AG15" s="4" t="n"/>
      <c r="AH15" s="28">
        <f>IFERROR(AB15*INDEX(PARAMS_Trees,1,3)+AC15*INDEX(PARAMS_Trees,2,3)+AD15*INDEX(PARAMS_Trees,3,3)+AE15*INDEX(PARAMS_Trees,4,3)+AF15*INDEX(PARAMS_Trees,5,3)+AG15*INDEX(PARAMS_Trees,6,3),0)</f>
        <v/>
      </c>
      <c r="AI15" s="17">
        <f>IFERROR(K15+W15+AA15,0)</f>
        <v/>
      </c>
      <c r="AJ15" s="17">
        <f>IFERROR(IF(AND(D15="Permeable Pavement",E15="Enhanced"),INDEX(PARAMS_BMP,1,6),IF(AND(D15="Permeable Pavement",E15="Underdrained Enhanced"),INDEX(PARAMS_BMP,2,6),IF(AND(D15="Bioretention",E15="Standard"),INDEX(PARAMS_BMP,3,6),IF(AND(D15="Bioretention",E15="Enhanced"),INDEX(PARAMS_BMP,4,6),IF(AND(D15="Bioretention",E15="Enhanced w/ Underdrain"),INDEX(PARAMS_BMP,5,6),IF(AND(D15="Dry Swale",E15="—"),INDEX(PARAMS_BMP,6,6),IF(AND(D15="Wet Swale",E15="—"),INDEX(PARAMS_BMP,7,6),""))))))),"")</f>
        <v/>
      </c>
      <c r="AK15" s="17">
        <f>IFERROR(AI15*AJ15+AH15,0)</f>
        <v/>
      </c>
      <c r="AL15" s="17">
        <f>IFERROR(VLOOKUP(C15,'CDA'!$A$58:$D$67,4,FALSE),0)</f>
        <v/>
      </c>
      <c r="AM15" s="28">
        <f>IFERROR(IF(AL15=0,AK15,MIN(AK15,AL15)),0)</f>
        <v/>
      </c>
    </row>
    <row r="16">
      <c r="A16" s="4" t="n"/>
      <c r="B16" s="4" t="n"/>
      <c r="C16" s="4" t="n"/>
      <c r="D16" s="4" t="n"/>
      <c r="E16" s="27" t="n"/>
      <c r="F16" s="4" t="n"/>
      <c r="G16" s="4" t="n"/>
      <c r="H16" s="4" t="n"/>
      <c r="I16" s="4">
        <f>IFERROR(IF(OR(E16="Enhanced",E16="Underdrained Enhanced"),VLOOKUP(IF(SUMIFS('CDA'!$E$4:$E$53,'CDA'!$A$4:$A$53,C16,'CDA'!$D$4:$D$53,"D")&gt;0,"D",IF(SUMIFS('CDA'!$E$4:$E$53,'CDA'!$A$4:$A$53,C16,'CDA'!$D$4:$D$53,"C")&gt;0,"C",IF(SUMIFS('CDA'!$E$4:$E$53,'CDA'!$A$4:$A$53,C16,'CDA'!$D$4:$D$53,"B")&gt;0,"B",IF(SUMIFS('CDA'!$E$4:$E$53,'CDA'!$A$4:$A$53,C16,'CDA'!$D$4:$D$53,"A")&gt;0,"A","")))),PARAMS_Ksat,2,FALSE),0),0)</f>
        <v/>
      </c>
      <c r="J16" s="17">
        <f>IFERROR(IF(AND(D16="Permeable Pavement",E16="Enhanced"),INDEX(PARAMS_BMP,1,5),IF(AND(D16="Permeable Pavement",E16="Underdrained Enhanced"),INDEX(PARAMS_BMP,2,5),IF(AND(D16="Bioretention",E16="Standard"),INDEX(PARAMS_BMP,3,5),IF(AND(D16="Bioretention",E16="Enhanced"),INDEX(PARAMS_BMP,4,5),IF(AND(D16="Bioretention",E16="Enhanced w/ Underdrain"),INDEX(PARAMS_BMP,5,5),IF(AND(D16="Dry Swale",E16="—"),INDEX(PARAMS_BMP,6,5),IF(AND(D16="Wet Swale",E16="—"),INDEX(PARAMS_BMP,7,5),""))))))),"")</f>
        <v/>
      </c>
      <c r="K16" s="17">
        <f>IFERROR(F16*G16*J16,0)</f>
        <v/>
      </c>
      <c r="L16" s="17">
        <f>IFERROR(IF(I16=0,"",G16/I16),"")</f>
        <v/>
      </c>
      <c r="M16" s="28">
        <f>IFERROR(IF(L16="","",IF(L16&lt;=2,"✓","✗")),"")</f>
        <v/>
      </c>
      <c r="N16" s="4" t="n"/>
      <c r="O16" s="4" t="n"/>
      <c r="P16" s="17">
        <f>IFERROR((N16+O16)/2,0)</f>
        <v/>
      </c>
      <c r="Q16" s="4" t="n"/>
      <c r="R16" s="17">
        <f>IFERROR(IF(AND(D16="Permeable Pavement",E16="Enhanced"),INDEX(PARAMS_BMP,1,3),IF(AND(D16="Permeable Pavement",E16="Underdrained Enhanced"),INDEX(PARAMS_BMP,2,3),IF(AND(D16="Bioretention",E16="Standard"),INDEX(PARAMS_BMP,3,3),IF(AND(D16="Bioretention",E16="Enhanced"),INDEX(PARAMS_BMP,4,3),IF(AND(D16="Bioretention",E16="Enhanced w/ Underdrain"),INDEX(PARAMS_BMP,5,3),IF(AND(D16="Dry Swale",E16="—"),INDEX(PARAMS_BMP,6,3),IF(AND(D16="Wet Swale",E16="—"),INDEX(PARAMS_BMP,7,3),""))))))),"")</f>
        <v/>
      </c>
      <c r="S16" s="4" t="n"/>
      <c r="T16" s="17">
        <f>IFERROR(IF(AND(D16="Permeable Pavement",E16="Enhanced"),INDEX(PARAMS_BMP,1,4),IF(AND(D16="Permeable Pavement",E16="Underdrained Enhanced"),INDEX(PARAMS_BMP,2,4),IF(AND(D16="Bioretention",E16="Standard"),INDEX(PARAMS_BMP,3,4),IF(AND(D16="Bioretention",E16="Enhanced"),INDEX(PARAMS_BMP,4,4),IF(AND(D16="Bioretention",E16="Enhanced w/ Underdrain"),INDEX(PARAMS_BMP,5,4),IF(AND(D16="Dry Swale",E16="—"),INDEX(PARAMS_BMP,6,4),IF(AND(D16="Wet Swale",E16="—"),INDEX(PARAMS_BMP,7,4),""))))))),"")</f>
        <v/>
      </c>
      <c r="U16" s="4" t="n"/>
      <c r="V16" s="4">
        <f>IFERROR(IF(OR(E16="Enhanced",E16="Enhanced w/ Underdrain"),VLOOKUP(IF(SUMIFS('CDA'!$E$4:$E$53,'CDA'!$A$4:$A$53,C16,'CDA'!$D$4:$D$53,"D")&gt;0,"D",IF(SUMIFS('CDA'!$E$4:$E$53,'CDA'!$A$4:$A$53,C16,'CDA'!$D$4:$D$53,"C")&gt;0,"C",IF(SUMIFS('CDA'!$E$4:$E$53,'CDA'!$A$4:$A$53,C16,'CDA'!$D$4:$D$53,"B")&gt;0,"B",IF(SUMIFS('CDA'!$E$4:$E$53,'CDA'!$A$4:$A$53,C16,'CDA'!$D$4:$D$53,"A")&gt;0,"A","")))),PARAMS_Ksat,2,FALSE),0),0)</f>
        <v/>
      </c>
      <c r="W16" s="17">
        <f>IFERROR(P16*(Q16*R16+S16*T16+U16),0)</f>
        <v/>
      </c>
      <c r="X16" s="28">
        <f>IFERROR(IF(V16=0,"",(Q16+S16)/V16),"")</f>
        <v/>
      </c>
      <c r="Y16" s="4" t="n"/>
      <c r="Z16" s="4" t="n"/>
      <c r="AA16" s="28">
        <f>IFERROR(Y16+Z16,0)</f>
        <v/>
      </c>
      <c r="AB16" s="4" t="n"/>
      <c r="AC16" s="4" t="n"/>
      <c r="AD16" s="4" t="n"/>
      <c r="AE16" s="4" t="n"/>
      <c r="AF16" s="4" t="n"/>
      <c r="AG16" s="4" t="n"/>
      <c r="AH16" s="28">
        <f>IFERROR(AB16*INDEX(PARAMS_Trees,1,3)+AC16*INDEX(PARAMS_Trees,2,3)+AD16*INDEX(PARAMS_Trees,3,3)+AE16*INDEX(PARAMS_Trees,4,3)+AF16*INDEX(PARAMS_Trees,5,3)+AG16*INDEX(PARAMS_Trees,6,3),0)</f>
        <v/>
      </c>
      <c r="AI16" s="17">
        <f>IFERROR(K16+W16+AA16,0)</f>
        <v/>
      </c>
      <c r="AJ16" s="17">
        <f>IFERROR(IF(AND(D16="Permeable Pavement",E16="Enhanced"),INDEX(PARAMS_BMP,1,6),IF(AND(D16="Permeable Pavement",E16="Underdrained Enhanced"),INDEX(PARAMS_BMP,2,6),IF(AND(D16="Bioretention",E16="Standard"),INDEX(PARAMS_BMP,3,6),IF(AND(D16="Bioretention",E16="Enhanced"),INDEX(PARAMS_BMP,4,6),IF(AND(D16="Bioretention",E16="Enhanced w/ Underdrain"),INDEX(PARAMS_BMP,5,6),IF(AND(D16="Dry Swale",E16="—"),INDEX(PARAMS_BMP,6,6),IF(AND(D16="Wet Swale",E16="—"),INDEX(PARAMS_BMP,7,6),""))))))),"")</f>
        <v/>
      </c>
      <c r="AK16" s="17">
        <f>IFERROR(AI16*AJ16+AH16,0)</f>
        <v/>
      </c>
      <c r="AL16" s="17">
        <f>IFERROR(VLOOKUP(C16,'CDA'!$A$58:$D$67,4,FALSE),0)</f>
        <v/>
      </c>
      <c r="AM16" s="28">
        <f>IFERROR(IF(AL16=0,AK16,MIN(AK16,AL16)),0)</f>
        <v/>
      </c>
    </row>
    <row r="17">
      <c r="A17" s="4" t="n"/>
      <c r="B17" s="4" t="n"/>
      <c r="C17" s="4" t="n"/>
      <c r="D17" s="4" t="n"/>
      <c r="E17" s="27" t="n"/>
      <c r="F17" s="4" t="n"/>
      <c r="G17" s="4" t="n"/>
      <c r="H17" s="4" t="n"/>
      <c r="I17" s="4">
        <f>IFERROR(IF(OR(E17="Enhanced",E17="Underdrained Enhanced"),VLOOKUP(IF(SUMIFS('CDA'!$E$4:$E$53,'CDA'!$A$4:$A$53,C17,'CDA'!$D$4:$D$53,"D")&gt;0,"D",IF(SUMIFS('CDA'!$E$4:$E$53,'CDA'!$A$4:$A$53,C17,'CDA'!$D$4:$D$53,"C")&gt;0,"C",IF(SUMIFS('CDA'!$E$4:$E$53,'CDA'!$A$4:$A$53,C17,'CDA'!$D$4:$D$53,"B")&gt;0,"B",IF(SUMIFS('CDA'!$E$4:$E$53,'CDA'!$A$4:$A$53,C17,'CDA'!$D$4:$D$53,"A")&gt;0,"A","")))),PARAMS_Ksat,2,FALSE),0),0)</f>
        <v/>
      </c>
      <c r="J17" s="17">
        <f>IFERROR(IF(AND(D17="Permeable Pavement",E17="Enhanced"),INDEX(PARAMS_BMP,1,5),IF(AND(D17="Permeable Pavement",E17="Underdrained Enhanced"),INDEX(PARAMS_BMP,2,5),IF(AND(D17="Bioretention",E17="Standard"),INDEX(PARAMS_BMP,3,5),IF(AND(D17="Bioretention",E17="Enhanced"),INDEX(PARAMS_BMP,4,5),IF(AND(D17="Bioretention",E17="Enhanced w/ Underdrain"),INDEX(PARAMS_BMP,5,5),IF(AND(D17="Dry Swale",E17="—"),INDEX(PARAMS_BMP,6,5),IF(AND(D17="Wet Swale",E17="—"),INDEX(PARAMS_BMP,7,5),""))))))),"")</f>
        <v/>
      </c>
      <c r="K17" s="17">
        <f>IFERROR(F17*G17*J17,0)</f>
        <v/>
      </c>
      <c r="L17" s="17">
        <f>IFERROR(IF(I17=0,"",G17/I17),"")</f>
        <v/>
      </c>
      <c r="M17" s="28">
        <f>IFERROR(IF(L17="","",IF(L17&lt;=2,"✓","✗")),"")</f>
        <v/>
      </c>
      <c r="N17" s="4" t="n"/>
      <c r="O17" s="4" t="n"/>
      <c r="P17" s="17">
        <f>IFERROR((N17+O17)/2,0)</f>
        <v/>
      </c>
      <c r="Q17" s="4" t="n"/>
      <c r="R17" s="17">
        <f>IFERROR(IF(AND(D17="Permeable Pavement",E17="Enhanced"),INDEX(PARAMS_BMP,1,3),IF(AND(D17="Permeable Pavement",E17="Underdrained Enhanced"),INDEX(PARAMS_BMP,2,3),IF(AND(D17="Bioretention",E17="Standard"),INDEX(PARAMS_BMP,3,3),IF(AND(D17="Bioretention",E17="Enhanced"),INDEX(PARAMS_BMP,4,3),IF(AND(D17="Bioretention",E17="Enhanced w/ Underdrain"),INDEX(PARAMS_BMP,5,3),IF(AND(D17="Dry Swale",E17="—"),INDEX(PARAMS_BMP,6,3),IF(AND(D17="Wet Swale",E17="—"),INDEX(PARAMS_BMP,7,3),""))))))),"")</f>
        <v/>
      </c>
      <c r="S17" s="4" t="n"/>
      <c r="T17" s="17">
        <f>IFERROR(IF(AND(D17="Permeable Pavement",E17="Enhanced"),INDEX(PARAMS_BMP,1,4),IF(AND(D17="Permeable Pavement",E17="Underdrained Enhanced"),INDEX(PARAMS_BMP,2,4),IF(AND(D17="Bioretention",E17="Standard"),INDEX(PARAMS_BMP,3,4),IF(AND(D17="Bioretention",E17="Enhanced"),INDEX(PARAMS_BMP,4,4),IF(AND(D17="Bioretention",E17="Enhanced w/ Underdrain"),INDEX(PARAMS_BMP,5,4),IF(AND(D17="Dry Swale",E17="—"),INDEX(PARAMS_BMP,6,4),IF(AND(D17="Wet Swale",E17="—"),INDEX(PARAMS_BMP,7,4),""))))))),"")</f>
        <v/>
      </c>
      <c r="U17" s="4" t="n"/>
      <c r="V17" s="4">
        <f>IFERROR(IF(OR(E17="Enhanced",E17="Enhanced w/ Underdrain"),VLOOKUP(IF(SUMIFS('CDA'!$E$4:$E$53,'CDA'!$A$4:$A$53,C17,'CDA'!$D$4:$D$53,"D")&gt;0,"D",IF(SUMIFS('CDA'!$E$4:$E$53,'CDA'!$A$4:$A$53,C17,'CDA'!$D$4:$D$53,"C")&gt;0,"C",IF(SUMIFS('CDA'!$E$4:$E$53,'CDA'!$A$4:$A$53,C17,'CDA'!$D$4:$D$53,"B")&gt;0,"B",IF(SUMIFS('CDA'!$E$4:$E$53,'CDA'!$A$4:$A$53,C17,'CDA'!$D$4:$D$53,"A")&gt;0,"A","")))),PARAMS_Ksat,2,FALSE),0),0)</f>
        <v/>
      </c>
      <c r="W17" s="17">
        <f>IFERROR(P17*(Q17*R17+S17*T17+U17),0)</f>
        <v/>
      </c>
      <c r="X17" s="28">
        <f>IFERROR(IF(V17=0,"",(Q17+S17)/V17),"")</f>
        <v/>
      </c>
      <c r="Y17" s="4" t="n"/>
      <c r="Z17" s="4" t="n"/>
      <c r="AA17" s="28">
        <f>IFERROR(Y17+Z17,0)</f>
        <v/>
      </c>
      <c r="AB17" s="4" t="n"/>
      <c r="AC17" s="4" t="n"/>
      <c r="AD17" s="4" t="n"/>
      <c r="AE17" s="4" t="n"/>
      <c r="AF17" s="4" t="n"/>
      <c r="AG17" s="4" t="n"/>
      <c r="AH17" s="28">
        <f>IFERROR(AB17*INDEX(PARAMS_Trees,1,3)+AC17*INDEX(PARAMS_Trees,2,3)+AD17*INDEX(PARAMS_Trees,3,3)+AE17*INDEX(PARAMS_Trees,4,3)+AF17*INDEX(PARAMS_Trees,5,3)+AG17*INDEX(PARAMS_Trees,6,3),0)</f>
        <v/>
      </c>
      <c r="AI17" s="17">
        <f>IFERROR(K17+W17+AA17,0)</f>
        <v/>
      </c>
      <c r="AJ17" s="17">
        <f>IFERROR(IF(AND(D17="Permeable Pavement",E17="Enhanced"),INDEX(PARAMS_BMP,1,6),IF(AND(D17="Permeable Pavement",E17="Underdrained Enhanced"),INDEX(PARAMS_BMP,2,6),IF(AND(D17="Bioretention",E17="Standard"),INDEX(PARAMS_BMP,3,6),IF(AND(D17="Bioretention",E17="Enhanced"),INDEX(PARAMS_BMP,4,6),IF(AND(D17="Bioretention",E17="Enhanced w/ Underdrain"),INDEX(PARAMS_BMP,5,6),IF(AND(D17="Dry Swale",E17="—"),INDEX(PARAMS_BMP,6,6),IF(AND(D17="Wet Swale",E17="—"),INDEX(PARAMS_BMP,7,6),""))))))),"")</f>
        <v/>
      </c>
      <c r="AK17" s="17">
        <f>IFERROR(AI17*AJ17+AH17,0)</f>
        <v/>
      </c>
      <c r="AL17" s="17">
        <f>IFERROR(VLOOKUP(C17,'CDA'!$A$58:$D$67,4,FALSE),0)</f>
        <v/>
      </c>
      <c r="AM17" s="28">
        <f>IFERROR(IF(AL17=0,AK17,MIN(AK17,AL17)),0)</f>
        <v/>
      </c>
    </row>
    <row r="18">
      <c r="A18" s="4" t="n"/>
      <c r="B18" s="4" t="n"/>
      <c r="C18" s="4" t="n"/>
      <c r="D18" s="4" t="n"/>
      <c r="E18" s="27" t="n"/>
      <c r="F18" s="4" t="n"/>
      <c r="G18" s="4" t="n"/>
      <c r="H18" s="4" t="n"/>
      <c r="I18" s="4">
        <f>IFERROR(IF(OR(E18="Enhanced",E18="Underdrained Enhanced"),VLOOKUP(IF(SUMIFS('CDA'!$E$4:$E$53,'CDA'!$A$4:$A$53,C18,'CDA'!$D$4:$D$53,"D")&gt;0,"D",IF(SUMIFS('CDA'!$E$4:$E$53,'CDA'!$A$4:$A$53,C18,'CDA'!$D$4:$D$53,"C")&gt;0,"C",IF(SUMIFS('CDA'!$E$4:$E$53,'CDA'!$A$4:$A$53,C18,'CDA'!$D$4:$D$53,"B")&gt;0,"B",IF(SUMIFS('CDA'!$E$4:$E$53,'CDA'!$A$4:$A$53,C18,'CDA'!$D$4:$D$53,"A")&gt;0,"A","")))),PARAMS_Ksat,2,FALSE),0),0)</f>
        <v/>
      </c>
      <c r="J18" s="17">
        <f>IFERROR(IF(AND(D18="Permeable Pavement",E18="Enhanced"),INDEX(PARAMS_BMP,1,5),IF(AND(D18="Permeable Pavement",E18="Underdrained Enhanced"),INDEX(PARAMS_BMP,2,5),IF(AND(D18="Bioretention",E18="Standard"),INDEX(PARAMS_BMP,3,5),IF(AND(D18="Bioretention",E18="Enhanced"),INDEX(PARAMS_BMP,4,5),IF(AND(D18="Bioretention",E18="Enhanced w/ Underdrain"),INDEX(PARAMS_BMP,5,5),IF(AND(D18="Dry Swale",E18="—"),INDEX(PARAMS_BMP,6,5),IF(AND(D18="Wet Swale",E18="—"),INDEX(PARAMS_BMP,7,5),""))))))),"")</f>
        <v/>
      </c>
      <c r="K18" s="17">
        <f>IFERROR(F18*G18*J18,0)</f>
        <v/>
      </c>
      <c r="L18" s="17">
        <f>IFERROR(IF(I18=0,"",G18/I18),"")</f>
        <v/>
      </c>
      <c r="M18" s="28">
        <f>IFERROR(IF(L18="","",IF(L18&lt;=2,"✓","✗")),"")</f>
        <v/>
      </c>
      <c r="N18" s="4" t="n"/>
      <c r="O18" s="4" t="n"/>
      <c r="P18" s="17">
        <f>IFERROR((N18+O18)/2,0)</f>
        <v/>
      </c>
      <c r="Q18" s="4" t="n"/>
      <c r="R18" s="17">
        <f>IFERROR(IF(AND(D18="Permeable Pavement",E18="Enhanced"),INDEX(PARAMS_BMP,1,3),IF(AND(D18="Permeable Pavement",E18="Underdrained Enhanced"),INDEX(PARAMS_BMP,2,3),IF(AND(D18="Bioretention",E18="Standard"),INDEX(PARAMS_BMP,3,3),IF(AND(D18="Bioretention",E18="Enhanced"),INDEX(PARAMS_BMP,4,3),IF(AND(D18="Bioretention",E18="Enhanced w/ Underdrain"),INDEX(PARAMS_BMP,5,3),IF(AND(D18="Dry Swale",E18="—"),INDEX(PARAMS_BMP,6,3),IF(AND(D18="Wet Swale",E18="—"),INDEX(PARAMS_BMP,7,3),""))))))),"")</f>
        <v/>
      </c>
      <c r="S18" s="4" t="n"/>
      <c r="T18" s="17">
        <f>IFERROR(IF(AND(D18="Permeable Pavement",E18="Enhanced"),INDEX(PARAMS_BMP,1,4),IF(AND(D18="Permeable Pavement",E18="Underdrained Enhanced"),INDEX(PARAMS_BMP,2,4),IF(AND(D18="Bioretention",E18="Standard"),INDEX(PARAMS_BMP,3,4),IF(AND(D18="Bioretention",E18="Enhanced"),INDEX(PARAMS_BMP,4,4),IF(AND(D18="Bioretention",E18="Enhanced w/ Underdrain"),INDEX(PARAMS_BMP,5,4),IF(AND(D18="Dry Swale",E18="—"),INDEX(PARAMS_BMP,6,4),IF(AND(D18="Wet Swale",E18="—"),INDEX(PARAMS_BMP,7,4),""))))))),"")</f>
        <v/>
      </c>
      <c r="U18" s="4" t="n"/>
      <c r="V18" s="4">
        <f>IFERROR(IF(OR(E18="Enhanced",E18="Enhanced w/ Underdrain"),VLOOKUP(IF(SUMIFS('CDA'!$E$4:$E$53,'CDA'!$A$4:$A$53,C18,'CDA'!$D$4:$D$53,"D")&gt;0,"D",IF(SUMIFS('CDA'!$E$4:$E$53,'CDA'!$A$4:$A$53,C18,'CDA'!$D$4:$D$53,"C")&gt;0,"C",IF(SUMIFS('CDA'!$E$4:$E$53,'CDA'!$A$4:$A$53,C18,'CDA'!$D$4:$D$53,"B")&gt;0,"B",IF(SUMIFS('CDA'!$E$4:$E$53,'CDA'!$A$4:$A$53,C18,'CDA'!$D$4:$D$53,"A")&gt;0,"A","")))),PARAMS_Ksat,2,FALSE),0),0)</f>
        <v/>
      </c>
      <c r="W18" s="17">
        <f>IFERROR(P18*(Q18*R18+S18*T18+U18),0)</f>
        <v/>
      </c>
      <c r="X18" s="28">
        <f>IFERROR(IF(V18=0,"",(Q18+S18)/V18),"")</f>
        <v/>
      </c>
      <c r="Y18" s="4" t="n"/>
      <c r="Z18" s="4" t="n"/>
      <c r="AA18" s="28">
        <f>IFERROR(Y18+Z18,0)</f>
        <v/>
      </c>
      <c r="AB18" s="4" t="n"/>
      <c r="AC18" s="4" t="n"/>
      <c r="AD18" s="4" t="n"/>
      <c r="AE18" s="4" t="n"/>
      <c r="AF18" s="4" t="n"/>
      <c r="AG18" s="4" t="n"/>
      <c r="AH18" s="28">
        <f>IFERROR(AB18*INDEX(PARAMS_Trees,1,3)+AC18*INDEX(PARAMS_Trees,2,3)+AD18*INDEX(PARAMS_Trees,3,3)+AE18*INDEX(PARAMS_Trees,4,3)+AF18*INDEX(PARAMS_Trees,5,3)+AG18*INDEX(PARAMS_Trees,6,3),0)</f>
        <v/>
      </c>
      <c r="AI18" s="17">
        <f>IFERROR(K18+W18+AA18,0)</f>
        <v/>
      </c>
      <c r="AJ18" s="17">
        <f>IFERROR(IF(AND(D18="Permeable Pavement",E18="Enhanced"),INDEX(PARAMS_BMP,1,6),IF(AND(D18="Permeable Pavement",E18="Underdrained Enhanced"),INDEX(PARAMS_BMP,2,6),IF(AND(D18="Bioretention",E18="Standard"),INDEX(PARAMS_BMP,3,6),IF(AND(D18="Bioretention",E18="Enhanced"),INDEX(PARAMS_BMP,4,6),IF(AND(D18="Bioretention",E18="Enhanced w/ Underdrain"),INDEX(PARAMS_BMP,5,6),IF(AND(D18="Dry Swale",E18="—"),INDEX(PARAMS_BMP,6,6),IF(AND(D18="Wet Swale",E18="—"),INDEX(PARAMS_BMP,7,6),""))))))),"")</f>
        <v/>
      </c>
      <c r="AK18" s="17">
        <f>IFERROR(AI18*AJ18+AH18,0)</f>
        <v/>
      </c>
      <c r="AL18" s="17">
        <f>IFERROR(VLOOKUP(C18,'CDA'!$A$58:$D$67,4,FALSE),0)</f>
        <v/>
      </c>
      <c r="AM18" s="28">
        <f>IFERROR(IF(AL18=0,AK18,MIN(AK18,AL18)),0)</f>
        <v/>
      </c>
    </row>
    <row r="19">
      <c r="A19" s="4" t="n"/>
      <c r="B19" s="4" t="n"/>
      <c r="C19" s="4" t="n"/>
      <c r="D19" s="4" t="n"/>
      <c r="E19" s="27" t="n"/>
      <c r="F19" s="4" t="n"/>
      <c r="G19" s="4" t="n"/>
      <c r="H19" s="4" t="n"/>
      <c r="I19" s="4">
        <f>IFERROR(IF(OR(E19="Enhanced",E19="Underdrained Enhanced"),VLOOKUP(IF(SUMIFS('CDA'!$E$4:$E$53,'CDA'!$A$4:$A$53,C19,'CDA'!$D$4:$D$53,"D")&gt;0,"D",IF(SUMIFS('CDA'!$E$4:$E$53,'CDA'!$A$4:$A$53,C19,'CDA'!$D$4:$D$53,"C")&gt;0,"C",IF(SUMIFS('CDA'!$E$4:$E$53,'CDA'!$A$4:$A$53,C19,'CDA'!$D$4:$D$53,"B")&gt;0,"B",IF(SUMIFS('CDA'!$E$4:$E$53,'CDA'!$A$4:$A$53,C19,'CDA'!$D$4:$D$53,"A")&gt;0,"A","")))),PARAMS_Ksat,2,FALSE),0),0)</f>
        <v/>
      </c>
      <c r="J19" s="17">
        <f>IFERROR(IF(AND(D19="Permeable Pavement",E19="Enhanced"),INDEX(PARAMS_BMP,1,5),IF(AND(D19="Permeable Pavement",E19="Underdrained Enhanced"),INDEX(PARAMS_BMP,2,5),IF(AND(D19="Bioretention",E19="Standard"),INDEX(PARAMS_BMP,3,5),IF(AND(D19="Bioretention",E19="Enhanced"),INDEX(PARAMS_BMP,4,5),IF(AND(D19="Bioretention",E19="Enhanced w/ Underdrain"),INDEX(PARAMS_BMP,5,5),IF(AND(D19="Dry Swale",E19="—"),INDEX(PARAMS_BMP,6,5),IF(AND(D19="Wet Swale",E19="—"),INDEX(PARAMS_BMP,7,5),""))))))),"")</f>
        <v/>
      </c>
      <c r="K19" s="17">
        <f>IFERROR(F19*G19*J19,0)</f>
        <v/>
      </c>
      <c r="L19" s="17">
        <f>IFERROR(IF(I19=0,"",G19/I19),"")</f>
        <v/>
      </c>
      <c r="M19" s="28">
        <f>IFERROR(IF(L19="","",IF(L19&lt;=2,"✓","✗")),"")</f>
        <v/>
      </c>
      <c r="N19" s="4" t="n"/>
      <c r="O19" s="4" t="n"/>
      <c r="P19" s="17">
        <f>IFERROR((N19+O19)/2,0)</f>
        <v/>
      </c>
      <c r="Q19" s="4" t="n"/>
      <c r="R19" s="17">
        <f>IFERROR(IF(AND(D19="Permeable Pavement",E19="Enhanced"),INDEX(PARAMS_BMP,1,3),IF(AND(D19="Permeable Pavement",E19="Underdrained Enhanced"),INDEX(PARAMS_BMP,2,3),IF(AND(D19="Bioretention",E19="Standard"),INDEX(PARAMS_BMP,3,3),IF(AND(D19="Bioretention",E19="Enhanced"),INDEX(PARAMS_BMP,4,3),IF(AND(D19="Bioretention",E19="Enhanced w/ Underdrain"),INDEX(PARAMS_BMP,5,3),IF(AND(D19="Dry Swale",E19="—"),INDEX(PARAMS_BMP,6,3),IF(AND(D19="Wet Swale",E19="—"),INDEX(PARAMS_BMP,7,3),""))))))),"")</f>
        <v/>
      </c>
      <c r="S19" s="4" t="n"/>
      <c r="T19" s="17">
        <f>IFERROR(IF(AND(D19="Permeable Pavement",E19="Enhanced"),INDEX(PARAMS_BMP,1,4),IF(AND(D19="Permeable Pavement",E19="Underdrained Enhanced"),INDEX(PARAMS_BMP,2,4),IF(AND(D19="Bioretention",E19="Standard"),INDEX(PARAMS_BMP,3,4),IF(AND(D19="Bioretention",E19="Enhanced"),INDEX(PARAMS_BMP,4,4),IF(AND(D19="Bioretention",E19="Enhanced w/ Underdrain"),INDEX(PARAMS_BMP,5,4),IF(AND(D19="Dry Swale",E19="—"),INDEX(PARAMS_BMP,6,4),IF(AND(D19="Wet Swale",E19="—"),INDEX(PARAMS_BMP,7,4),""))))))),"")</f>
        <v/>
      </c>
      <c r="U19" s="4" t="n"/>
      <c r="V19" s="4">
        <f>IFERROR(IF(OR(E19="Enhanced",E19="Enhanced w/ Underdrain"),VLOOKUP(IF(SUMIFS('CDA'!$E$4:$E$53,'CDA'!$A$4:$A$53,C19,'CDA'!$D$4:$D$53,"D")&gt;0,"D",IF(SUMIFS('CDA'!$E$4:$E$53,'CDA'!$A$4:$A$53,C19,'CDA'!$D$4:$D$53,"C")&gt;0,"C",IF(SUMIFS('CDA'!$E$4:$E$53,'CDA'!$A$4:$A$53,C19,'CDA'!$D$4:$D$53,"B")&gt;0,"B",IF(SUMIFS('CDA'!$E$4:$E$53,'CDA'!$A$4:$A$53,C19,'CDA'!$D$4:$D$53,"A")&gt;0,"A","")))),PARAMS_Ksat,2,FALSE),0),0)</f>
        <v/>
      </c>
      <c r="W19" s="17">
        <f>IFERROR(P19*(Q19*R19+S19*T19+U19),0)</f>
        <v/>
      </c>
      <c r="X19" s="28">
        <f>IFERROR(IF(V19=0,"",(Q19+S19)/V19),"")</f>
        <v/>
      </c>
      <c r="Y19" s="4" t="n"/>
      <c r="Z19" s="4" t="n"/>
      <c r="AA19" s="28">
        <f>IFERROR(Y19+Z19,0)</f>
        <v/>
      </c>
      <c r="AB19" s="4" t="n"/>
      <c r="AC19" s="4" t="n"/>
      <c r="AD19" s="4" t="n"/>
      <c r="AE19" s="4" t="n"/>
      <c r="AF19" s="4" t="n"/>
      <c r="AG19" s="4" t="n"/>
      <c r="AH19" s="28">
        <f>IFERROR(AB19*INDEX(PARAMS_Trees,1,3)+AC19*INDEX(PARAMS_Trees,2,3)+AD19*INDEX(PARAMS_Trees,3,3)+AE19*INDEX(PARAMS_Trees,4,3)+AF19*INDEX(PARAMS_Trees,5,3)+AG19*INDEX(PARAMS_Trees,6,3),0)</f>
        <v/>
      </c>
      <c r="AI19" s="17">
        <f>IFERROR(K19+W19+AA19,0)</f>
        <v/>
      </c>
      <c r="AJ19" s="17">
        <f>IFERROR(IF(AND(D19="Permeable Pavement",E19="Enhanced"),INDEX(PARAMS_BMP,1,6),IF(AND(D19="Permeable Pavement",E19="Underdrained Enhanced"),INDEX(PARAMS_BMP,2,6),IF(AND(D19="Bioretention",E19="Standard"),INDEX(PARAMS_BMP,3,6),IF(AND(D19="Bioretention",E19="Enhanced"),INDEX(PARAMS_BMP,4,6),IF(AND(D19="Bioretention",E19="Enhanced w/ Underdrain"),INDEX(PARAMS_BMP,5,6),IF(AND(D19="Dry Swale",E19="—"),INDEX(PARAMS_BMP,6,6),IF(AND(D19="Wet Swale",E19="—"),INDEX(PARAMS_BMP,7,6),""))))))),"")</f>
        <v/>
      </c>
      <c r="AK19" s="17">
        <f>IFERROR(AI19*AJ19+AH19,0)</f>
        <v/>
      </c>
      <c r="AL19" s="17">
        <f>IFERROR(VLOOKUP(C19,'CDA'!$A$58:$D$67,4,FALSE),0)</f>
        <v/>
      </c>
      <c r="AM19" s="28">
        <f>IFERROR(IF(AL19=0,AK19,MIN(AK19,AL19)),0)</f>
        <v/>
      </c>
    </row>
    <row r="20">
      <c r="A20" s="4" t="n"/>
      <c r="B20" s="4" t="n"/>
      <c r="C20" s="4" t="n"/>
      <c r="D20" s="4" t="n"/>
      <c r="E20" s="27" t="n"/>
      <c r="F20" s="4" t="n"/>
      <c r="G20" s="4" t="n"/>
      <c r="H20" s="4" t="n"/>
      <c r="I20" s="4">
        <f>IFERROR(IF(OR(E20="Enhanced",E20="Underdrained Enhanced"),VLOOKUP(IF(SUMIFS('CDA'!$E$4:$E$53,'CDA'!$A$4:$A$53,C20,'CDA'!$D$4:$D$53,"D")&gt;0,"D",IF(SUMIFS('CDA'!$E$4:$E$53,'CDA'!$A$4:$A$53,C20,'CDA'!$D$4:$D$53,"C")&gt;0,"C",IF(SUMIFS('CDA'!$E$4:$E$53,'CDA'!$A$4:$A$53,C20,'CDA'!$D$4:$D$53,"B")&gt;0,"B",IF(SUMIFS('CDA'!$E$4:$E$53,'CDA'!$A$4:$A$53,C20,'CDA'!$D$4:$D$53,"A")&gt;0,"A","")))),PARAMS_Ksat,2,FALSE),0),0)</f>
        <v/>
      </c>
      <c r="J20" s="17">
        <f>IFERROR(IF(AND(D20="Permeable Pavement",E20="Enhanced"),INDEX(PARAMS_BMP,1,5),IF(AND(D20="Permeable Pavement",E20="Underdrained Enhanced"),INDEX(PARAMS_BMP,2,5),IF(AND(D20="Bioretention",E20="Standard"),INDEX(PARAMS_BMP,3,5),IF(AND(D20="Bioretention",E20="Enhanced"),INDEX(PARAMS_BMP,4,5),IF(AND(D20="Bioretention",E20="Enhanced w/ Underdrain"),INDEX(PARAMS_BMP,5,5),IF(AND(D20="Dry Swale",E20="—"),INDEX(PARAMS_BMP,6,5),IF(AND(D20="Wet Swale",E20="—"),INDEX(PARAMS_BMP,7,5),""))))))),"")</f>
        <v/>
      </c>
      <c r="K20" s="17">
        <f>IFERROR(F20*G20*J20,0)</f>
        <v/>
      </c>
      <c r="L20" s="17">
        <f>IFERROR(IF(I20=0,"",G20/I20),"")</f>
        <v/>
      </c>
      <c r="M20" s="28">
        <f>IFERROR(IF(L20="","",IF(L20&lt;=2,"✓","✗")),"")</f>
        <v/>
      </c>
      <c r="N20" s="4" t="n"/>
      <c r="O20" s="4" t="n"/>
      <c r="P20" s="17">
        <f>IFERROR((N20+O20)/2,0)</f>
        <v/>
      </c>
      <c r="Q20" s="4" t="n"/>
      <c r="R20" s="17">
        <f>IFERROR(IF(AND(D20="Permeable Pavement",E20="Enhanced"),INDEX(PARAMS_BMP,1,3),IF(AND(D20="Permeable Pavement",E20="Underdrained Enhanced"),INDEX(PARAMS_BMP,2,3),IF(AND(D20="Bioretention",E20="Standard"),INDEX(PARAMS_BMP,3,3),IF(AND(D20="Bioretention",E20="Enhanced"),INDEX(PARAMS_BMP,4,3),IF(AND(D20="Bioretention",E20="Enhanced w/ Underdrain"),INDEX(PARAMS_BMP,5,3),IF(AND(D20="Dry Swale",E20="—"),INDEX(PARAMS_BMP,6,3),IF(AND(D20="Wet Swale",E20="—"),INDEX(PARAMS_BMP,7,3),""))))))),"")</f>
        <v/>
      </c>
      <c r="S20" s="4" t="n"/>
      <c r="T20" s="17">
        <f>IFERROR(IF(AND(D20="Permeable Pavement",E20="Enhanced"),INDEX(PARAMS_BMP,1,4),IF(AND(D20="Permeable Pavement",E20="Underdrained Enhanced"),INDEX(PARAMS_BMP,2,4),IF(AND(D20="Bioretention",E20="Standard"),INDEX(PARAMS_BMP,3,4),IF(AND(D20="Bioretention",E20="Enhanced"),INDEX(PARAMS_BMP,4,4),IF(AND(D20="Bioretention",E20="Enhanced w/ Underdrain"),INDEX(PARAMS_BMP,5,4),IF(AND(D20="Dry Swale",E20="—"),INDEX(PARAMS_BMP,6,4),IF(AND(D20="Wet Swale",E20="—"),INDEX(PARAMS_BMP,7,4),""))))))),"")</f>
        <v/>
      </c>
      <c r="U20" s="4" t="n"/>
      <c r="V20" s="4">
        <f>IFERROR(IF(OR(E20="Enhanced",E20="Enhanced w/ Underdrain"),VLOOKUP(IF(SUMIFS('CDA'!$E$4:$E$53,'CDA'!$A$4:$A$53,C20,'CDA'!$D$4:$D$53,"D")&gt;0,"D",IF(SUMIFS('CDA'!$E$4:$E$53,'CDA'!$A$4:$A$53,C20,'CDA'!$D$4:$D$53,"C")&gt;0,"C",IF(SUMIFS('CDA'!$E$4:$E$53,'CDA'!$A$4:$A$53,C20,'CDA'!$D$4:$D$53,"B")&gt;0,"B",IF(SUMIFS('CDA'!$E$4:$E$53,'CDA'!$A$4:$A$53,C20,'CDA'!$D$4:$D$53,"A")&gt;0,"A","")))),PARAMS_Ksat,2,FALSE),0),0)</f>
        <v/>
      </c>
      <c r="W20" s="17">
        <f>IFERROR(P20*(Q20*R20+S20*T20+U20),0)</f>
        <v/>
      </c>
      <c r="X20" s="28">
        <f>IFERROR(IF(V20=0,"",(Q20+S20)/V20),"")</f>
        <v/>
      </c>
      <c r="Y20" s="4" t="n"/>
      <c r="Z20" s="4" t="n"/>
      <c r="AA20" s="28">
        <f>IFERROR(Y20+Z20,0)</f>
        <v/>
      </c>
      <c r="AB20" s="4" t="n"/>
      <c r="AC20" s="4" t="n"/>
      <c r="AD20" s="4" t="n"/>
      <c r="AE20" s="4" t="n"/>
      <c r="AF20" s="4" t="n"/>
      <c r="AG20" s="4" t="n"/>
      <c r="AH20" s="28">
        <f>IFERROR(AB20*INDEX(PARAMS_Trees,1,3)+AC20*INDEX(PARAMS_Trees,2,3)+AD20*INDEX(PARAMS_Trees,3,3)+AE20*INDEX(PARAMS_Trees,4,3)+AF20*INDEX(PARAMS_Trees,5,3)+AG20*INDEX(PARAMS_Trees,6,3),0)</f>
        <v/>
      </c>
      <c r="AI20" s="17">
        <f>IFERROR(K20+W20+AA20,0)</f>
        <v/>
      </c>
      <c r="AJ20" s="17">
        <f>IFERROR(IF(AND(D20="Permeable Pavement",E20="Enhanced"),INDEX(PARAMS_BMP,1,6),IF(AND(D20="Permeable Pavement",E20="Underdrained Enhanced"),INDEX(PARAMS_BMP,2,6),IF(AND(D20="Bioretention",E20="Standard"),INDEX(PARAMS_BMP,3,6),IF(AND(D20="Bioretention",E20="Enhanced"),INDEX(PARAMS_BMP,4,6),IF(AND(D20="Bioretention",E20="Enhanced w/ Underdrain"),INDEX(PARAMS_BMP,5,6),IF(AND(D20="Dry Swale",E20="—"),INDEX(PARAMS_BMP,6,6),IF(AND(D20="Wet Swale",E20="—"),INDEX(PARAMS_BMP,7,6),""))))))),"")</f>
        <v/>
      </c>
      <c r="AK20" s="17">
        <f>IFERROR(AI20*AJ20+AH20,0)</f>
        <v/>
      </c>
      <c r="AL20" s="17">
        <f>IFERROR(VLOOKUP(C20,'CDA'!$A$58:$D$67,4,FALSE),0)</f>
        <v/>
      </c>
      <c r="AM20" s="28">
        <f>IFERROR(IF(AL20=0,AK20,MIN(AK20,AL20)),0)</f>
        <v/>
      </c>
    </row>
    <row r="21">
      <c r="A21" s="4" t="n"/>
      <c r="B21" s="4" t="n"/>
      <c r="C21" s="4" t="n"/>
      <c r="D21" s="4" t="n"/>
      <c r="E21" s="27" t="n"/>
      <c r="F21" s="4" t="n"/>
      <c r="G21" s="4" t="n"/>
      <c r="H21" s="4" t="n"/>
      <c r="I21" s="4">
        <f>IFERROR(IF(OR(E21="Enhanced",E21="Underdrained Enhanced"),VLOOKUP(IF(SUMIFS('CDA'!$E$4:$E$53,'CDA'!$A$4:$A$53,C21,'CDA'!$D$4:$D$53,"D")&gt;0,"D",IF(SUMIFS('CDA'!$E$4:$E$53,'CDA'!$A$4:$A$53,C21,'CDA'!$D$4:$D$53,"C")&gt;0,"C",IF(SUMIFS('CDA'!$E$4:$E$53,'CDA'!$A$4:$A$53,C21,'CDA'!$D$4:$D$53,"B")&gt;0,"B",IF(SUMIFS('CDA'!$E$4:$E$53,'CDA'!$A$4:$A$53,C21,'CDA'!$D$4:$D$53,"A")&gt;0,"A","")))),PARAMS_Ksat,2,FALSE),0),0)</f>
        <v/>
      </c>
      <c r="J21" s="17">
        <f>IFERROR(IF(AND(D21="Permeable Pavement",E21="Enhanced"),INDEX(PARAMS_BMP,1,5),IF(AND(D21="Permeable Pavement",E21="Underdrained Enhanced"),INDEX(PARAMS_BMP,2,5),IF(AND(D21="Bioretention",E21="Standard"),INDEX(PARAMS_BMP,3,5),IF(AND(D21="Bioretention",E21="Enhanced"),INDEX(PARAMS_BMP,4,5),IF(AND(D21="Bioretention",E21="Enhanced w/ Underdrain"),INDEX(PARAMS_BMP,5,5),IF(AND(D21="Dry Swale",E21="—"),INDEX(PARAMS_BMP,6,5),IF(AND(D21="Wet Swale",E21="—"),INDEX(PARAMS_BMP,7,5),""))))))),"")</f>
        <v/>
      </c>
      <c r="K21" s="17">
        <f>IFERROR(F21*G21*J21,0)</f>
        <v/>
      </c>
      <c r="L21" s="17">
        <f>IFERROR(IF(I21=0,"",G21/I21),"")</f>
        <v/>
      </c>
      <c r="M21" s="28">
        <f>IFERROR(IF(L21="","",IF(L21&lt;=2,"✓","✗")),"")</f>
        <v/>
      </c>
      <c r="N21" s="4" t="n"/>
      <c r="O21" s="4" t="n"/>
      <c r="P21" s="17">
        <f>IFERROR((N21+O21)/2,0)</f>
        <v/>
      </c>
      <c r="Q21" s="4" t="n"/>
      <c r="R21" s="17">
        <f>IFERROR(IF(AND(D21="Permeable Pavement",E21="Enhanced"),INDEX(PARAMS_BMP,1,3),IF(AND(D21="Permeable Pavement",E21="Underdrained Enhanced"),INDEX(PARAMS_BMP,2,3),IF(AND(D21="Bioretention",E21="Standard"),INDEX(PARAMS_BMP,3,3),IF(AND(D21="Bioretention",E21="Enhanced"),INDEX(PARAMS_BMP,4,3),IF(AND(D21="Bioretention",E21="Enhanced w/ Underdrain"),INDEX(PARAMS_BMP,5,3),IF(AND(D21="Dry Swale",E21="—"),INDEX(PARAMS_BMP,6,3),IF(AND(D21="Wet Swale",E21="—"),INDEX(PARAMS_BMP,7,3),""))))))),"")</f>
        <v/>
      </c>
      <c r="S21" s="4" t="n"/>
      <c r="T21" s="17">
        <f>IFERROR(IF(AND(D21="Permeable Pavement",E21="Enhanced"),INDEX(PARAMS_BMP,1,4),IF(AND(D21="Permeable Pavement",E21="Underdrained Enhanced"),INDEX(PARAMS_BMP,2,4),IF(AND(D21="Bioretention",E21="Standard"),INDEX(PARAMS_BMP,3,4),IF(AND(D21="Bioretention",E21="Enhanced"),INDEX(PARAMS_BMP,4,4),IF(AND(D21="Bioretention",E21="Enhanced w/ Underdrain"),INDEX(PARAMS_BMP,5,4),IF(AND(D21="Dry Swale",E21="—"),INDEX(PARAMS_BMP,6,4),IF(AND(D21="Wet Swale",E21="—"),INDEX(PARAMS_BMP,7,4),""))))))),"")</f>
        <v/>
      </c>
      <c r="U21" s="4" t="n"/>
      <c r="V21" s="4">
        <f>IFERROR(IF(OR(E21="Enhanced",E21="Enhanced w/ Underdrain"),VLOOKUP(IF(SUMIFS('CDA'!$E$4:$E$53,'CDA'!$A$4:$A$53,C21,'CDA'!$D$4:$D$53,"D")&gt;0,"D",IF(SUMIFS('CDA'!$E$4:$E$53,'CDA'!$A$4:$A$53,C21,'CDA'!$D$4:$D$53,"C")&gt;0,"C",IF(SUMIFS('CDA'!$E$4:$E$53,'CDA'!$A$4:$A$53,C21,'CDA'!$D$4:$D$53,"B")&gt;0,"B",IF(SUMIFS('CDA'!$E$4:$E$53,'CDA'!$A$4:$A$53,C21,'CDA'!$D$4:$D$53,"A")&gt;0,"A","")))),PARAMS_Ksat,2,FALSE),0),0)</f>
        <v/>
      </c>
      <c r="W21" s="17">
        <f>IFERROR(P21*(Q21*R21+S21*T21+U21),0)</f>
        <v/>
      </c>
      <c r="X21" s="28">
        <f>IFERROR(IF(V21=0,"",(Q21+S21)/V21),"")</f>
        <v/>
      </c>
      <c r="Y21" s="4" t="n"/>
      <c r="Z21" s="4" t="n"/>
      <c r="AA21" s="28">
        <f>IFERROR(Y21+Z21,0)</f>
        <v/>
      </c>
      <c r="AB21" s="4" t="n"/>
      <c r="AC21" s="4" t="n"/>
      <c r="AD21" s="4" t="n"/>
      <c r="AE21" s="4" t="n"/>
      <c r="AF21" s="4" t="n"/>
      <c r="AG21" s="4" t="n"/>
      <c r="AH21" s="28">
        <f>IFERROR(AB21*INDEX(PARAMS_Trees,1,3)+AC21*INDEX(PARAMS_Trees,2,3)+AD21*INDEX(PARAMS_Trees,3,3)+AE21*INDEX(PARAMS_Trees,4,3)+AF21*INDEX(PARAMS_Trees,5,3)+AG21*INDEX(PARAMS_Trees,6,3),0)</f>
        <v/>
      </c>
      <c r="AI21" s="17">
        <f>IFERROR(K21+W21+AA21,0)</f>
        <v/>
      </c>
      <c r="AJ21" s="17">
        <f>IFERROR(IF(AND(D21="Permeable Pavement",E21="Enhanced"),INDEX(PARAMS_BMP,1,6),IF(AND(D21="Permeable Pavement",E21="Underdrained Enhanced"),INDEX(PARAMS_BMP,2,6),IF(AND(D21="Bioretention",E21="Standard"),INDEX(PARAMS_BMP,3,6),IF(AND(D21="Bioretention",E21="Enhanced"),INDEX(PARAMS_BMP,4,6),IF(AND(D21="Bioretention",E21="Enhanced w/ Underdrain"),INDEX(PARAMS_BMP,5,6),IF(AND(D21="Dry Swale",E21="—"),INDEX(PARAMS_BMP,6,6),IF(AND(D21="Wet Swale",E21="—"),INDEX(PARAMS_BMP,7,6),""))))))),"")</f>
        <v/>
      </c>
      <c r="AK21" s="17">
        <f>IFERROR(AI21*AJ21+AH21,0)</f>
        <v/>
      </c>
      <c r="AL21" s="17">
        <f>IFERROR(VLOOKUP(C21,'CDA'!$A$58:$D$67,4,FALSE),0)</f>
        <v/>
      </c>
      <c r="AM21" s="28">
        <f>IFERROR(IF(AL21=0,AK21,MIN(AK21,AL21)),0)</f>
        <v/>
      </c>
    </row>
    <row r="22">
      <c r="A22" s="4" t="n"/>
      <c r="B22" s="4" t="n"/>
      <c r="C22" s="4" t="n"/>
      <c r="D22" s="4" t="n"/>
      <c r="E22" s="27" t="n"/>
      <c r="F22" s="4" t="n"/>
      <c r="G22" s="4" t="n"/>
      <c r="H22" s="4" t="n"/>
      <c r="I22" s="4">
        <f>IFERROR(IF(OR(E22="Enhanced",E22="Underdrained Enhanced"),VLOOKUP(IF(SUMIFS('CDA'!$E$4:$E$53,'CDA'!$A$4:$A$53,C22,'CDA'!$D$4:$D$53,"D")&gt;0,"D",IF(SUMIFS('CDA'!$E$4:$E$53,'CDA'!$A$4:$A$53,C22,'CDA'!$D$4:$D$53,"C")&gt;0,"C",IF(SUMIFS('CDA'!$E$4:$E$53,'CDA'!$A$4:$A$53,C22,'CDA'!$D$4:$D$53,"B")&gt;0,"B",IF(SUMIFS('CDA'!$E$4:$E$53,'CDA'!$A$4:$A$53,C22,'CDA'!$D$4:$D$53,"A")&gt;0,"A","")))),PARAMS_Ksat,2,FALSE),0),0)</f>
        <v/>
      </c>
      <c r="J22" s="17">
        <f>IFERROR(IF(AND(D22="Permeable Pavement",E22="Enhanced"),INDEX(PARAMS_BMP,1,5),IF(AND(D22="Permeable Pavement",E22="Underdrained Enhanced"),INDEX(PARAMS_BMP,2,5),IF(AND(D22="Bioretention",E22="Standard"),INDEX(PARAMS_BMP,3,5),IF(AND(D22="Bioretention",E22="Enhanced"),INDEX(PARAMS_BMP,4,5),IF(AND(D22="Bioretention",E22="Enhanced w/ Underdrain"),INDEX(PARAMS_BMP,5,5),IF(AND(D22="Dry Swale",E22="—"),INDEX(PARAMS_BMP,6,5),IF(AND(D22="Wet Swale",E22="—"),INDEX(PARAMS_BMP,7,5),""))))))),"")</f>
        <v/>
      </c>
      <c r="K22" s="17">
        <f>IFERROR(F22*G22*J22,0)</f>
        <v/>
      </c>
      <c r="L22" s="17">
        <f>IFERROR(IF(I22=0,"",G22/I22),"")</f>
        <v/>
      </c>
      <c r="M22" s="28">
        <f>IFERROR(IF(L22="","",IF(L22&lt;=2,"✓","✗")),"")</f>
        <v/>
      </c>
      <c r="N22" s="4" t="n"/>
      <c r="O22" s="4" t="n"/>
      <c r="P22" s="17">
        <f>IFERROR((N22+O22)/2,0)</f>
        <v/>
      </c>
      <c r="Q22" s="4" t="n"/>
      <c r="R22" s="17">
        <f>IFERROR(IF(AND(D22="Permeable Pavement",E22="Enhanced"),INDEX(PARAMS_BMP,1,3),IF(AND(D22="Permeable Pavement",E22="Underdrained Enhanced"),INDEX(PARAMS_BMP,2,3),IF(AND(D22="Bioretention",E22="Standard"),INDEX(PARAMS_BMP,3,3),IF(AND(D22="Bioretention",E22="Enhanced"),INDEX(PARAMS_BMP,4,3),IF(AND(D22="Bioretention",E22="Enhanced w/ Underdrain"),INDEX(PARAMS_BMP,5,3),IF(AND(D22="Dry Swale",E22="—"),INDEX(PARAMS_BMP,6,3),IF(AND(D22="Wet Swale",E22="—"),INDEX(PARAMS_BMP,7,3),""))))))),"")</f>
        <v/>
      </c>
      <c r="S22" s="4" t="n"/>
      <c r="T22" s="17">
        <f>IFERROR(IF(AND(D22="Permeable Pavement",E22="Enhanced"),INDEX(PARAMS_BMP,1,4),IF(AND(D22="Permeable Pavement",E22="Underdrained Enhanced"),INDEX(PARAMS_BMP,2,4),IF(AND(D22="Bioretention",E22="Standard"),INDEX(PARAMS_BMP,3,4),IF(AND(D22="Bioretention",E22="Enhanced"),INDEX(PARAMS_BMP,4,4),IF(AND(D22="Bioretention",E22="Enhanced w/ Underdrain"),INDEX(PARAMS_BMP,5,4),IF(AND(D22="Dry Swale",E22="—"),INDEX(PARAMS_BMP,6,4),IF(AND(D22="Wet Swale",E22="—"),INDEX(PARAMS_BMP,7,4),""))))))),"")</f>
        <v/>
      </c>
      <c r="U22" s="4" t="n"/>
      <c r="V22" s="4">
        <f>IFERROR(IF(OR(E22="Enhanced",E22="Enhanced w/ Underdrain"),VLOOKUP(IF(SUMIFS('CDA'!$E$4:$E$53,'CDA'!$A$4:$A$53,C22,'CDA'!$D$4:$D$53,"D")&gt;0,"D",IF(SUMIFS('CDA'!$E$4:$E$53,'CDA'!$A$4:$A$53,C22,'CDA'!$D$4:$D$53,"C")&gt;0,"C",IF(SUMIFS('CDA'!$E$4:$E$53,'CDA'!$A$4:$A$53,C22,'CDA'!$D$4:$D$53,"B")&gt;0,"B",IF(SUMIFS('CDA'!$E$4:$E$53,'CDA'!$A$4:$A$53,C22,'CDA'!$D$4:$D$53,"A")&gt;0,"A","")))),PARAMS_Ksat,2,FALSE),0),0)</f>
        <v/>
      </c>
      <c r="W22" s="17">
        <f>IFERROR(P22*(Q22*R22+S22*T22+U22),0)</f>
        <v/>
      </c>
      <c r="X22" s="28">
        <f>IFERROR(IF(V22=0,"",(Q22+S22)/V22),"")</f>
        <v/>
      </c>
      <c r="Y22" s="4" t="n"/>
      <c r="Z22" s="4" t="n"/>
      <c r="AA22" s="28">
        <f>IFERROR(Y22+Z22,0)</f>
        <v/>
      </c>
      <c r="AB22" s="4" t="n"/>
      <c r="AC22" s="4" t="n"/>
      <c r="AD22" s="4" t="n"/>
      <c r="AE22" s="4" t="n"/>
      <c r="AF22" s="4" t="n"/>
      <c r="AG22" s="4" t="n"/>
      <c r="AH22" s="28">
        <f>IFERROR(AB22*INDEX(PARAMS_Trees,1,3)+AC22*INDEX(PARAMS_Trees,2,3)+AD22*INDEX(PARAMS_Trees,3,3)+AE22*INDEX(PARAMS_Trees,4,3)+AF22*INDEX(PARAMS_Trees,5,3)+AG22*INDEX(PARAMS_Trees,6,3),0)</f>
        <v/>
      </c>
      <c r="AI22" s="17">
        <f>IFERROR(K22+W22+AA22,0)</f>
        <v/>
      </c>
      <c r="AJ22" s="17">
        <f>IFERROR(IF(AND(D22="Permeable Pavement",E22="Enhanced"),INDEX(PARAMS_BMP,1,6),IF(AND(D22="Permeable Pavement",E22="Underdrained Enhanced"),INDEX(PARAMS_BMP,2,6),IF(AND(D22="Bioretention",E22="Standard"),INDEX(PARAMS_BMP,3,6),IF(AND(D22="Bioretention",E22="Enhanced"),INDEX(PARAMS_BMP,4,6),IF(AND(D22="Bioretention",E22="Enhanced w/ Underdrain"),INDEX(PARAMS_BMP,5,6),IF(AND(D22="Dry Swale",E22="—"),INDEX(PARAMS_BMP,6,6),IF(AND(D22="Wet Swale",E22="—"),INDEX(PARAMS_BMP,7,6),""))))))),"")</f>
        <v/>
      </c>
      <c r="AK22" s="17">
        <f>IFERROR(AI22*AJ22+AH22,0)</f>
        <v/>
      </c>
      <c r="AL22" s="17">
        <f>IFERROR(VLOOKUP(C22,'CDA'!$A$58:$D$67,4,FALSE),0)</f>
        <v/>
      </c>
      <c r="AM22" s="28">
        <f>IFERROR(IF(AL22=0,AK22,MIN(AK22,AL22)),0)</f>
        <v/>
      </c>
    </row>
    <row r="23">
      <c r="A23" s="4" t="n"/>
      <c r="B23" s="4" t="n"/>
      <c r="C23" s="4" t="n"/>
      <c r="D23" s="4" t="n"/>
      <c r="E23" s="27" t="n"/>
      <c r="F23" s="4" t="n"/>
      <c r="G23" s="4" t="n"/>
      <c r="H23" s="4" t="n"/>
      <c r="I23" s="4">
        <f>IFERROR(IF(OR(E23="Enhanced",E23="Underdrained Enhanced"),VLOOKUP(IF(SUMIFS('CDA'!$E$4:$E$53,'CDA'!$A$4:$A$53,C23,'CDA'!$D$4:$D$53,"D")&gt;0,"D",IF(SUMIFS('CDA'!$E$4:$E$53,'CDA'!$A$4:$A$53,C23,'CDA'!$D$4:$D$53,"C")&gt;0,"C",IF(SUMIFS('CDA'!$E$4:$E$53,'CDA'!$A$4:$A$53,C23,'CDA'!$D$4:$D$53,"B")&gt;0,"B",IF(SUMIFS('CDA'!$E$4:$E$53,'CDA'!$A$4:$A$53,C23,'CDA'!$D$4:$D$53,"A")&gt;0,"A","")))),PARAMS_Ksat,2,FALSE),0),0)</f>
        <v/>
      </c>
      <c r="J23" s="17">
        <f>IFERROR(IF(AND(D23="Permeable Pavement",E23="Enhanced"),INDEX(PARAMS_BMP,1,5),IF(AND(D23="Permeable Pavement",E23="Underdrained Enhanced"),INDEX(PARAMS_BMP,2,5),IF(AND(D23="Bioretention",E23="Standard"),INDEX(PARAMS_BMP,3,5),IF(AND(D23="Bioretention",E23="Enhanced"),INDEX(PARAMS_BMP,4,5),IF(AND(D23="Bioretention",E23="Enhanced w/ Underdrain"),INDEX(PARAMS_BMP,5,5),IF(AND(D23="Dry Swale",E23="—"),INDEX(PARAMS_BMP,6,5),IF(AND(D23="Wet Swale",E23="—"),INDEX(PARAMS_BMP,7,5),""))))))),"")</f>
        <v/>
      </c>
      <c r="K23" s="17">
        <f>IFERROR(F23*G23*J23,0)</f>
        <v/>
      </c>
      <c r="L23" s="17">
        <f>IFERROR(IF(I23=0,"",G23/I23),"")</f>
        <v/>
      </c>
      <c r="M23" s="28">
        <f>IFERROR(IF(L23="","",IF(L23&lt;=2,"✓","✗")),"")</f>
        <v/>
      </c>
      <c r="N23" s="4" t="n"/>
      <c r="O23" s="4" t="n"/>
      <c r="P23" s="17">
        <f>IFERROR((N23+O23)/2,0)</f>
        <v/>
      </c>
      <c r="Q23" s="4" t="n"/>
      <c r="R23" s="17">
        <f>IFERROR(IF(AND(D23="Permeable Pavement",E23="Enhanced"),INDEX(PARAMS_BMP,1,3),IF(AND(D23="Permeable Pavement",E23="Underdrained Enhanced"),INDEX(PARAMS_BMP,2,3),IF(AND(D23="Bioretention",E23="Standard"),INDEX(PARAMS_BMP,3,3),IF(AND(D23="Bioretention",E23="Enhanced"),INDEX(PARAMS_BMP,4,3),IF(AND(D23="Bioretention",E23="Enhanced w/ Underdrain"),INDEX(PARAMS_BMP,5,3),IF(AND(D23="Dry Swale",E23="—"),INDEX(PARAMS_BMP,6,3),IF(AND(D23="Wet Swale",E23="—"),INDEX(PARAMS_BMP,7,3),""))))))),"")</f>
        <v/>
      </c>
      <c r="S23" s="4" t="n"/>
      <c r="T23" s="17">
        <f>IFERROR(IF(AND(D23="Permeable Pavement",E23="Enhanced"),INDEX(PARAMS_BMP,1,4),IF(AND(D23="Permeable Pavement",E23="Underdrained Enhanced"),INDEX(PARAMS_BMP,2,4),IF(AND(D23="Bioretention",E23="Standard"),INDEX(PARAMS_BMP,3,4),IF(AND(D23="Bioretention",E23="Enhanced"),INDEX(PARAMS_BMP,4,4),IF(AND(D23="Bioretention",E23="Enhanced w/ Underdrain"),INDEX(PARAMS_BMP,5,4),IF(AND(D23="Dry Swale",E23="—"),INDEX(PARAMS_BMP,6,4),IF(AND(D23="Wet Swale",E23="—"),INDEX(PARAMS_BMP,7,4),""))))))),"")</f>
        <v/>
      </c>
      <c r="U23" s="4" t="n"/>
      <c r="V23" s="4">
        <f>IFERROR(IF(OR(E23="Enhanced",E23="Enhanced w/ Underdrain"),VLOOKUP(IF(SUMIFS('CDA'!$E$4:$E$53,'CDA'!$A$4:$A$53,C23,'CDA'!$D$4:$D$53,"D")&gt;0,"D",IF(SUMIFS('CDA'!$E$4:$E$53,'CDA'!$A$4:$A$53,C23,'CDA'!$D$4:$D$53,"C")&gt;0,"C",IF(SUMIFS('CDA'!$E$4:$E$53,'CDA'!$A$4:$A$53,C23,'CDA'!$D$4:$D$53,"B")&gt;0,"B",IF(SUMIFS('CDA'!$E$4:$E$53,'CDA'!$A$4:$A$53,C23,'CDA'!$D$4:$D$53,"A")&gt;0,"A","")))),PARAMS_Ksat,2,FALSE),0),0)</f>
        <v/>
      </c>
      <c r="W23" s="17">
        <f>IFERROR(P23*(Q23*R23+S23*T23+U23),0)</f>
        <v/>
      </c>
      <c r="X23" s="28">
        <f>IFERROR(IF(V23=0,"",(Q23+S23)/V23),"")</f>
        <v/>
      </c>
      <c r="Y23" s="4" t="n"/>
      <c r="Z23" s="4" t="n"/>
      <c r="AA23" s="28">
        <f>IFERROR(Y23+Z23,0)</f>
        <v/>
      </c>
      <c r="AB23" s="4" t="n"/>
      <c r="AC23" s="4" t="n"/>
      <c r="AD23" s="4" t="n"/>
      <c r="AE23" s="4" t="n"/>
      <c r="AF23" s="4" t="n"/>
      <c r="AG23" s="4" t="n"/>
      <c r="AH23" s="28">
        <f>IFERROR(AB23*INDEX(PARAMS_Trees,1,3)+AC23*INDEX(PARAMS_Trees,2,3)+AD23*INDEX(PARAMS_Trees,3,3)+AE23*INDEX(PARAMS_Trees,4,3)+AF23*INDEX(PARAMS_Trees,5,3)+AG23*INDEX(PARAMS_Trees,6,3),0)</f>
        <v/>
      </c>
      <c r="AI23" s="17">
        <f>IFERROR(K23+W23+AA23,0)</f>
        <v/>
      </c>
      <c r="AJ23" s="17">
        <f>IFERROR(IF(AND(D23="Permeable Pavement",E23="Enhanced"),INDEX(PARAMS_BMP,1,6),IF(AND(D23="Permeable Pavement",E23="Underdrained Enhanced"),INDEX(PARAMS_BMP,2,6),IF(AND(D23="Bioretention",E23="Standard"),INDEX(PARAMS_BMP,3,6),IF(AND(D23="Bioretention",E23="Enhanced"),INDEX(PARAMS_BMP,4,6),IF(AND(D23="Bioretention",E23="Enhanced w/ Underdrain"),INDEX(PARAMS_BMP,5,6),IF(AND(D23="Dry Swale",E23="—"),INDEX(PARAMS_BMP,6,6),IF(AND(D23="Wet Swale",E23="—"),INDEX(PARAMS_BMP,7,6),""))))))),"")</f>
        <v/>
      </c>
      <c r="AK23" s="17">
        <f>IFERROR(AI23*AJ23+AH23,0)</f>
        <v/>
      </c>
      <c r="AL23" s="17">
        <f>IFERROR(VLOOKUP(C23,'CDA'!$A$58:$D$67,4,FALSE),0)</f>
        <v/>
      </c>
      <c r="AM23" s="28">
        <f>IFERROR(IF(AL23=0,AK23,MIN(AK23,AL23)),0)</f>
        <v/>
      </c>
    </row>
    <row r="24">
      <c r="A24" s="4" t="n"/>
      <c r="B24" s="4" t="n"/>
      <c r="C24" s="4" t="n"/>
      <c r="D24" s="4" t="n"/>
      <c r="E24" s="27" t="n"/>
      <c r="F24" s="4" t="n"/>
      <c r="G24" s="4" t="n"/>
      <c r="H24" s="4" t="n"/>
      <c r="I24" s="4">
        <f>IFERROR(IF(OR(E24="Enhanced",E24="Underdrained Enhanced"),VLOOKUP(IF(SUMIFS('CDA'!$E$4:$E$53,'CDA'!$A$4:$A$53,C24,'CDA'!$D$4:$D$53,"D")&gt;0,"D",IF(SUMIFS('CDA'!$E$4:$E$53,'CDA'!$A$4:$A$53,C24,'CDA'!$D$4:$D$53,"C")&gt;0,"C",IF(SUMIFS('CDA'!$E$4:$E$53,'CDA'!$A$4:$A$53,C24,'CDA'!$D$4:$D$53,"B")&gt;0,"B",IF(SUMIFS('CDA'!$E$4:$E$53,'CDA'!$A$4:$A$53,C24,'CDA'!$D$4:$D$53,"A")&gt;0,"A","")))),PARAMS_Ksat,2,FALSE),0),0)</f>
        <v/>
      </c>
      <c r="J24" s="17">
        <f>IFERROR(IF(AND(D24="Permeable Pavement",E24="Enhanced"),INDEX(PARAMS_BMP,1,5),IF(AND(D24="Permeable Pavement",E24="Underdrained Enhanced"),INDEX(PARAMS_BMP,2,5),IF(AND(D24="Bioretention",E24="Standard"),INDEX(PARAMS_BMP,3,5),IF(AND(D24="Bioretention",E24="Enhanced"),INDEX(PARAMS_BMP,4,5),IF(AND(D24="Bioretention",E24="Enhanced w/ Underdrain"),INDEX(PARAMS_BMP,5,5),IF(AND(D24="Dry Swale",E24="—"),INDEX(PARAMS_BMP,6,5),IF(AND(D24="Wet Swale",E24="—"),INDEX(PARAMS_BMP,7,5),""))))))),"")</f>
        <v/>
      </c>
      <c r="K24" s="17">
        <f>IFERROR(F24*G24*J24,0)</f>
        <v/>
      </c>
      <c r="L24" s="17">
        <f>IFERROR(IF(I24=0,"",G24/I24),"")</f>
        <v/>
      </c>
      <c r="M24" s="28">
        <f>IFERROR(IF(L24="","",IF(L24&lt;=2,"✓","✗")),"")</f>
        <v/>
      </c>
      <c r="N24" s="4" t="n"/>
      <c r="O24" s="4" t="n"/>
      <c r="P24" s="17">
        <f>IFERROR((N24+O24)/2,0)</f>
        <v/>
      </c>
      <c r="Q24" s="4" t="n"/>
      <c r="R24" s="17">
        <f>IFERROR(IF(AND(D24="Permeable Pavement",E24="Enhanced"),INDEX(PARAMS_BMP,1,3),IF(AND(D24="Permeable Pavement",E24="Underdrained Enhanced"),INDEX(PARAMS_BMP,2,3),IF(AND(D24="Bioretention",E24="Standard"),INDEX(PARAMS_BMP,3,3),IF(AND(D24="Bioretention",E24="Enhanced"),INDEX(PARAMS_BMP,4,3),IF(AND(D24="Bioretention",E24="Enhanced w/ Underdrain"),INDEX(PARAMS_BMP,5,3),IF(AND(D24="Dry Swale",E24="—"),INDEX(PARAMS_BMP,6,3),IF(AND(D24="Wet Swale",E24="—"),INDEX(PARAMS_BMP,7,3),""))))))),"")</f>
        <v/>
      </c>
      <c r="S24" s="4" t="n"/>
      <c r="T24" s="17">
        <f>IFERROR(IF(AND(D24="Permeable Pavement",E24="Enhanced"),INDEX(PARAMS_BMP,1,4),IF(AND(D24="Permeable Pavement",E24="Underdrained Enhanced"),INDEX(PARAMS_BMP,2,4),IF(AND(D24="Bioretention",E24="Standard"),INDEX(PARAMS_BMP,3,4),IF(AND(D24="Bioretention",E24="Enhanced"),INDEX(PARAMS_BMP,4,4),IF(AND(D24="Bioretention",E24="Enhanced w/ Underdrain"),INDEX(PARAMS_BMP,5,4),IF(AND(D24="Dry Swale",E24="—"),INDEX(PARAMS_BMP,6,4),IF(AND(D24="Wet Swale",E24="—"),INDEX(PARAMS_BMP,7,4),""))))))),"")</f>
        <v/>
      </c>
      <c r="U24" s="4" t="n"/>
      <c r="V24" s="4">
        <f>IFERROR(IF(OR(E24="Enhanced",E24="Enhanced w/ Underdrain"),VLOOKUP(IF(SUMIFS('CDA'!$E$4:$E$53,'CDA'!$A$4:$A$53,C24,'CDA'!$D$4:$D$53,"D")&gt;0,"D",IF(SUMIFS('CDA'!$E$4:$E$53,'CDA'!$A$4:$A$53,C24,'CDA'!$D$4:$D$53,"C")&gt;0,"C",IF(SUMIFS('CDA'!$E$4:$E$53,'CDA'!$A$4:$A$53,C24,'CDA'!$D$4:$D$53,"B")&gt;0,"B",IF(SUMIFS('CDA'!$E$4:$E$53,'CDA'!$A$4:$A$53,C24,'CDA'!$D$4:$D$53,"A")&gt;0,"A","")))),PARAMS_Ksat,2,FALSE),0),0)</f>
        <v/>
      </c>
      <c r="W24" s="17">
        <f>IFERROR(P24*(Q24*R24+S24*T24+U24),0)</f>
        <v/>
      </c>
      <c r="X24" s="28">
        <f>IFERROR(IF(V24=0,"",(Q24+S24)/V24),"")</f>
        <v/>
      </c>
      <c r="Y24" s="4" t="n"/>
      <c r="Z24" s="4" t="n"/>
      <c r="AA24" s="28">
        <f>IFERROR(Y24+Z24,0)</f>
        <v/>
      </c>
      <c r="AB24" s="4" t="n"/>
      <c r="AC24" s="4" t="n"/>
      <c r="AD24" s="4" t="n"/>
      <c r="AE24" s="4" t="n"/>
      <c r="AF24" s="4" t="n"/>
      <c r="AG24" s="4" t="n"/>
      <c r="AH24" s="28">
        <f>IFERROR(AB24*INDEX(PARAMS_Trees,1,3)+AC24*INDEX(PARAMS_Trees,2,3)+AD24*INDEX(PARAMS_Trees,3,3)+AE24*INDEX(PARAMS_Trees,4,3)+AF24*INDEX(PARAMS_Trees,5,3)+AG24*INDEX(PARAMS_Trees,6,3),0)</f>
        <v/>
      </c>
      <c r="AI24" s="17">
        <f>IFERROR(K24+W24+AA24,0)</f>
        <v/>
      </c>
      <c r="AJ24" s="17">
        <f>IFERROR(IF(AND(D24="Permeable Pavement",E24="Enhanced"),INDEX(PARAMS_BMP,1,6),IF(AND(D24="Permeable Pavement",E24="Underdrained Enhanced"),INDEX(PARAMS_BMP,2,6),IF(AND(D24="Bioretention",E24="Standard"),INDEX(PARAMS_BMP,3,6),IF(AND(D24="Bioretention",E24="Enhanced"),INDEX(PARAMS_BMP,4,6),IF(AND(D24="Bioretention",E24="Enhanced w/ Underdrain"),INDEX(PARAMS_BMP,5,6),IF(AND(D24="Dry Swale",E24="—"),INDEX(PARAMS_BMP,6,6),IF(AND(D24="Wet Swale",E24="—"),INDEX(PARAMS_BMP,7,6),""))))))),"")</f>
        <v/>
      </c>
      <c r="AK24" s="17">
        <f>IFERROR(AI24*AJ24+AH24,0)</f>
        <v/>
      </c>
      <c r="AL24" s="17">
        <f>IFERROR(VLOOKUP(C24,'CDA'!$A$58:$D$67,4,FALSE),0)</f>
        <v/>
      </c>
      <c r="AM24" s="28">
        <f>IFERROR(IF(AL24=0,AK24,MIN(AK24,AL24)),0)</f>
        <v/>
      </c>
    </row>
    <row r="25">
      <c r="A25" s="4" t="n"/>
      <c r="B25" s="4" t="n"/>
      <c r="C25" s="4" t="n"/>
      <c r="D25" s="4" t="n"/>
      <c r="E25" s="27" t="n"/>
      <c r="F25" s="4" t="n"/>
      <c r="G25" s="4" t="n"/>
      <c r="H25" s="4" t="n"/>
      <c r="I25" s="4">
        <f>IFERROR(IF(OR(E25="Enhanced",E25="Underdrained Enhanced"),VLOOKUP(IF(SUMIFS('CDA'!$E$4:$E$53,'CDA'!$A$4:$A$53,C25,'CDA'!$D$4:$D$53,"D")&gt;0,"D",IF(SUMIFS('CDA'!$E$4:$E$53,'CDA'!$A$4:$A$53,C25,'CDA'!$D$4:$D$53,"C")&gt;0,"C",IF(SUMIFS('CDA'!$E$4:$E$53,'CDA'!$A$4:$A$53,C25,'CDA'!$D$4:$D$53,"B")&gt;0,"B",IF(SUMIFS('CDA'!$E$4:$E$53,'CDA'!$A$4:$A$53,C25,'CDA'!$D$4:$D$53,"A")&gt;0,"A","")))),PARAMS_Ksat,2,FALSE),0),0)</f>
        <v/>
      </c>
      <c r="J25" s="17">
        <f>IFERROR(IF(AND(D25="Permeable Pavement",E25="Enhanced"),INDEX(PARAMS_BMP,1,5),IF(AND(D25="Permeable Pavement",E25="Underdrained Enhanced"),INDEX(PARAMS_BMP,2,5),IF(AND(D25="Bioretention",E25="Standard"),INDEX(PARAMS_BMP,3,5),IF(AND(D25="Bioretention",E25="Enhanced"),INDEX(PARAMS_BMP,4,5),IF(AND(D25="Bioretention",E25="Enhanced w/ Underdrain"),INDEX(PARAMS_BMP,5,5),IF(AND(D25="Dry Swale",E25="—"),INDEX(PARAMS_BMP,6,5),IF(AND(D25="Wet Swale",E25="—"),INDEX(PARAMS_BMP,7,5),""))))))),"")</f>
        <v/>
      </c>
      <c r="K25" s="17">
        <f>IFERROR(F25*G25*J25,0)</f>
        <v/>
      </c>
      <c r="L25" s="17">
        <f>IFERROR(IF(I25=0,"",G25/I25),"")</f>
        <v/>
      </c>
      <c r="M25" s="28">
        <f>IFERROR(IF(L25="","",IF(L25&lt;=2,"✓","✗")),"")</f>
        <v/>
      </c>
      <c r="N25" s="4" t="n"/>
      <c r="O25" s="4" t="n"/>
      <c r="P25" s="17">
        <f>IFERROR((N25+O25)/2,0)</f>
        <v/>
      </c>
      <c r="Q25" s="4" t="n"/>
      <c r="R25" s="17">
        <f>IFERROR(IF(AND(D25="Permeable Pavement",E25="Enhanced"),INDEX(PARAMS_BMP,1,3),IF(AND(D25="Permeable Pavement",E25="Underdrained Enhanced"),INDEX(PARAMS_BMP,2,3),IF(AND(D25="Bioretention",E25="Standard"),INDEX(PARAMS_BMP,3,3),IF(AND(D25="Bioretention",E25="Enhanced"),INDEX(PARAMS_BMP,4,3),IF(AND(D25="Bioretention",E25="Enhanced w/ Underdrain"),INDEX(PARAMS_BMP,5,3),IF(AND(D25="Dry Swale",E25="—"),INDEX(PARAMS_BMP,6,3),IF(AND(D25="Wet Swale",E25="—"),INDEX(PARAMS_BMP,7,3),""))))))),"")</f>
        <v/>
      </c>
      <c r="S25" s="4" t="n"/>
      <c r="T25" s="17">
        <f>IFERROR(IF(AND(D25="Permeable Pavement",E25="Enhanced"),INDEX(PARAMS_BMP,1,4),IF(AND(D25="Permeable Pavement",E25="Underdrained Enhanced"),INDEX(PARAMS_BMP,2,4),IF(AND(D25="Bioretention",E25="Standard"),INDEX(PARAMS_BMP,3,4),IF(AND(D25="Bioretention",E25="Enhanced"),INDEX(PARAMS_BMP,4,4),IF(AND(D25="Bioretention",E25="Enhanced w/ Underdrain"),INDEX(PARAMS_BMP,5,4),IF(AND(D25="Dry Swale",E25="—"),INDEX(PARAMS_BMP,6,4),IF(AND(D25="Wet Swale",E25="—"),INDEX(PARAMS_BMP,7,4),""))))))),"")</f>
        <v/>
      </c>
      <c r="U25" s="4" t="n"/>
      <c r="V25" s="4">
        <f>IFERROR(IF(OR(E25="Enhanced",E25="Enhanced w/ Underdrain"),VLOOKUP(IF(SUMIFS('CDA'!$E$4:$E$53,'CDA'!$A$4:$A$53,C25,'CDA'!$D$4:$D$53,"D")&gt;0,"D",IF(SUMIFS('CDA'!$E$4:$E$53,'CDA'!$A$4:$A$53,C25,'CDA'!$D$4:$D$53,"C")&gt;0,"C",IF(SUMIFS('CDA'!$E$4:$E$53,'CDA'!$A$4:$A$53,C25,'CDA'!$D$4:$D$53,"B")&gt;0,"B",IF(SUMIFS('CDA'!$E$4:$E$53,'CDA'!$A$4:$A$53,C25,'CDA'!$D$4:$D$53,"A")&gt;0,"A","")))),PARAMS_Ksat,2,FALSE),0),0)</f>
        <v/>
      </c>
      <c r="W25" s="17">
        <f>IFERROR(P25*(Q25*R25+S25*T25+U25),0)</f>
        <v/>
      </c>
      <c r="X25" s="28">
        <f>IFERROR(IF(V25=0,"",(Q25+S25)/V25),"")</f>
        <v/>
      </c>
      <c r="Y25" s="4" t="n"/>
      <c r="Z25" s="4" t="n"/>
      <c r="AA25" s="28">
        <f>IFERROR(Y25+Z25,0)</f>
        <v/>
      </c>
      <c r="AB25" s="4" t="n"/>
      <c r="AC25" s="4" t="n"/>
      <c r="AD25" s="4" t="n"/>
      <c r="AE25" s="4" t="n"/>
      <c r="AF25" s="4" t="n"/>
      <c r="AG25" s="4" t="n"/>
      <c r="AH25" s="28">
        <f>IFERROR(AB25*INDEX(PARAMS_Trees,1,3)+AC25*INDEX(PARAMS_Trees,2,3)+AD25*INDEX(PARAMS_Trees,3,3)+AE25*INDEX(PARAMS_Trees,4,3)+AF25*INDEX(PARAMS_Trees,5,3)+AG25*INDEX(PARAMS_Trees,6,3),0)</f>
        <v/>
      </c>
      <c r="AI25" s="17">
        <f>IFERROR(K25+W25+AA25,0)</f>
        <v/>
      </c>
      <c r="AJ25" s="17">
        <f>IFERROR(IF(AND(D25="Permeable Pavement",E25="Enhanced"),INDEX(PARAMS_BMP,1,6),IF(AND(D25="Permeable Pavement",E25="Underdrained Enhanced"),INDEX(PARAMS_BMP,2,6),IF(AND(D25="Bioretention",E25="Standard"),INDEX(PARAMS_BMP,3,6),IF(AND(D25="Bioretention",E25="Enhanced"),INDEX(PARAMS_BMP,4,6),IF(AND(D25="Bioretention",E25="Enhanced w/ Underdrain"),INDEX(PARAMS_BMP,5,6),IF(AND(D25="Dry Swale",E25="—"),INDEX(PARAMS_BMP,6,6),IF(AND(D25="Wet Swale",E25="—"),INDEX(PARAMS_BMP,7,6),""))))))),"")</f>
        <v/>
      </c>
      <c r="AK25" s="17">
        <f>IFERROR(AI25*AJ25+AH25,0)</f>
        <v/>
      </c>
      <c r="AL25" s="17">
        <f>IFERROR(VLOOKUP(C25,'CDA'!$A$58:$D$67,4,FALSE),0)</f>
        <v/>
      </c>
      <c r="AM25" s="28">
        <f>IFERROR(IF(AL25=0,AK25,MIN(AK25,AL25)),0)</f>
        <v/>
      </c>
    </row>
    <row r="26">
      <c r="A26" s="4" t="n"/>
      <c r="B26" s="4" t="n"/>
      <c r="C26" s="4" t="n"/>
      <c r="D26" s="4" t="n"/>
      <c r="E26" s="27" t="n"/>
      <c r="F26" s="4" t="n"/>
      <c r="G26" s="4" t="n"/>
      <c r="H26" s="4" t="n"/>
      <c r="I26" s="4">
        <f>IFERROR(IF(OR(E26="Enhanced",E26="Underdrained Enhanced"),VLOOKUP(IF(SUMIFS('CDA'!$E$4:$E$53,'CDA'!$A$4:$A$53,C26,'CDA'!$D$4:$D$53,"D")&gt;0,"D",IF(SUMIFS('CDA'!$E$4:$E$53,'CDA'!$A$4:$A$53,C26,'CDA'!$D$4:$D$53,"C")&gt;0,"C",IF(SUMIFS('CDA'!$E$4:$E$53,'CDA'!$A$4:$A$53,C26,'CDA'!$D$4:$D$53,"B")&gt;0,"B",IF(SUMIFS('CDA'!$E$4:$E$53,'CDA'!$A$4:$A$53,C26,'CDA'!$D$4:$D$53,"A")&gt;0,"A","")))),PARAMS_Ksat,2,FALSE),0),0)</f>
        <v/>
      </c>
      <c r="J26" s="17">
        <f>IFERROR(IF(AND(D26="Permeable Pavement",E26="Enhanced"),INDEX(PARAMS_BMP,1,5),IF(AND(D26="Permeable Pavement",E26="Underdrained Enhanced"),INDEX(PARAMS_BMP,2,5),IF(AND(D26="Bioretention",E26="Standard"),INDEX(PARAMS_BMP,3,5),IF(AND(D26="Bioretention",E26="Enhanced"),INDEX(PARAMS_BMP,4,5),IF(AND(D26="Bioretention",E26="Enhanced w/ Underdrain"),INDEX(PARAMS_BMP,5,5),IF(AND(D26="Dry Swale",E26="—"),INDEX(PARAMS_BMP,6,5),IF(AND(D26="Wet Swale",E26="—"),INDEX(PARAMS_BMP,7,5),""))))))),"")</f>
        <v/>
      </c>
      <c r="K26" s="17">
        <f>IFERROR(F26*G26*J26,0)</f>
        <v/>
      </c>
      <c r="L26" s="17">
        <f>IFERROR(IF(I26=0,"",G26/I26),"")</f>
        <v/>
      </c>
      <c r="M26" s="28">
        <f>IFERROR(IF(L26="","",IF(L26&lt;=2,"✓","✗")),"")</f>
        <v/>
      </c>
      <c r="N26" s="4" t="n"/>
      <c r="O26" s="4" t="n"/>
      <c r="P26" s="17">
        <f>IFERROR((N26+O26)/2,0)</f>
        <v/>
      </c>
      <c r="Q26" s="4" t="n"/>
      <c r="R26" s="17">
        <f>IFERROR(IF(AND(D26="Permeable Pavement",E26="Enhanced"),INDEX(PARAMS_BMP,1,3),IF(AND(D26="Permeable Pavement",E26="Underdrained Enhanced"),INDEX(PARAMS_BMP,2,3),IF(AND(D26="Bioretention",E26="Standard"),INDEX(PARAMS_BMP,3,3),IF(AND(D26="Bioretention",E26="Enhanced"),INDEX(PARAMS_BMP,4,3),IF(AND(D26="Bioretention",E26="Enhanced w/ Underdrain"),INDEX(PARAMS_BMP,5,3),IF(AND(D26="Dry Swale",E26="—"),INDEX(PARAMS_BMP,6,3),IF(AND(D26="Wet Swale",E26="—"),INDEX(PARAMS_BMP,7,3),""))))))),"")</f>
        <v/>
      </c>
      <c r="S26" s="4" t="n"/>
      <c r="T26" s="17">
        <f>IFERROR(IF(AND(D26="Permeable Pavement",E26="Enhanced"),INDEX(PARAMS_BMP,1,4),IF(AND(D26="Permeable Pavement",E26="Underdrained Enhanced"),INDEX(PARAMS_BMP,2,4),IF(AND(D26="Bioretention",E26="Standard"),INDEX(PARAMS_BMP,3,4),IF(AND(D26="Bioretention",E26="Enhanced"),INDEX(PARAMS_BMP,4,4),IF(AND(D26="Bioretention",E26="Enhanced w/ Underdrain"),INDEX(PARAMS_BMP,5,4),IF(AND(D26="Dry Swale",E26="—"),INDEX(PARAMS_BMP,6,4),IF(AND(D26="Wet Swale",E26="—"),INDEX(PARAMS_BMP,7,4),""))))))),"")</f>
        <v/>
      </c>
      <c r="U26" s="4" t="n"/>
      <c r="V26" s="4">
        <f>IFERROR(IF(OR(E26="Enhanced",E26="Enhanced w/ Underdrain"),VLOOKUP(IF(SUMIFS('CDA'!$E$4:$E$53,'CDA'!$A$4:$A$53,C26,'CDA'!$D$4:$D$53,"D")&gt;0,"D",IF(SUMIFS('CDA'!$E$4:$E$53,'CDA'!$A$4:$A$53,C26,'CDA'!$D$4:$D$53,"C")&gt;0,"C",IF(SUMIFS('CDA'!$E$4:$E$53,'CDA'!$A$4:$A$53,C26,'CDA'!$D$4:$D$53,"B")&gt;0,"B",IF(SUMIFS('CDA'!$E$4:$E$53,'CDA'!$A$4:$A$53,C26,'CDA'!$D$4:$D$53,"A")&gt;0,"A","")))),PARAMS_Ksat,2,FALSE),0),0)</f>
        <v/>
      </c>
      <c r="W26" s="17">
        <f>IFERROR(P26*(Q26*R26+S26*T26+U26),0)</f>
        <v/>
      </c>
      <c r="X26" s="28">
        <f>IFERROR(IF(V26=0,"",(Q26+S26)/V26),"")</f>
        <v/>
      </c>
      <c r="Y26" s="4" t="n"/>
      <c r="Z26" s="4" t="n"/>
      <c r="AA26" s="28">
        <f>IFERROR(Y26+Z26,0)</f>
        <v/>
      </c>
      <c r="AB26" s="4" t="n"/>
      <c r="AC26" s="4" t="n"/>
      <c r="AD26" s="4" t="n"/>
      <c r="AE26" s="4" t="n"/>
      <c r="AF26" s="4" t="n"/>
      <c r="AG26" s="4" t="n"/>
      <c r="AH26" s="28">
        <f>IFERROR(AB26*INDEX(PARAMS_Trees,1,3)+AC26*INDEX(PARAMS_Trees,2,3)+AD26*INDEX(PARAMS_Trees,3,3)+AE26*INDEX(PARAMS_Trees,4,3)+AF26*INDEX(PARAMS_Trees,5,3)+AG26*INDEX(PARAMS_Trees,6,3),0)</f>
        <v/>
      </c>
      <c r="AI26" s="17">
        <f>IFERROR(K26+W26+AA26,0)</f>
        <v/>
      </c>
      <c r="AJ26" s="17">
        <f>IFERROR(IF(AND(D26="Permeable Pavement",E26="Enhanced"),INDEX(PARAMS_BMP,1,6),IF(AND(D26="Permeable Pavement",E26="Underdrained Enhanced"),INDEX(PARAMS_BMP,2,6),IF(AND(D26="Bioretention",E26="Standard"),INDEX(PARAMS_BMP,3,6),IF(AND(D26="Bioretention",E26="Enhanced"),INDEX(PARAMS_BMP,4,6),IF(AND(D26="Bioretention",E26="Enhanced w/ Underdrain"),INDEX(PARAMS_BMP,5,6),IF(AND(D26="Dry Swale",E26="—"),INDEX(PARAMS_BMP,6,6),IF(AND(D26="Wet Swale",E26="—"),INDEX(PARAMS_BMP,7,6),""))))))),"")</f>
        <v/>
      </c>
      <c r="AK26" s="17">
        <f>IFERROR(AI26*AJ26+AH26,0)</f>
        <v/>
      </c>
      <c r="AL26" s="17">
        <f>IFERROR(VLOOKUP(C26,'CDA'!$A$58:$D$67,4,FALSE),0)</f>
        <v/>
      </c>
      <c r="AM26" s="28">
        <f>IFERROR(IF(AL26=0,AK26,MIN(AK26,AL26)),0)</f>
        <v/>
      </c>
    </row>
    <row r="27">
      <c r="A27" s="4" t="n"/>
      <c r="B27" s="4" t="n"/>
      <c r="C27" s="4" t="n"/>
      <c r="D27" s="4" t="n"/>
      <c r="E27" s="27" t="n"/>
      <c r="F27" s="4" t="n"/>
      <c r="G27" s="4" t="n"/>
      <c r="H27" s="4" t="n"/>
      <c r="I27" s="4">
        <f>IFERROR(IF(OR(E27="Enhanced",E27="Underdrained Enhanced"),VLOOKUP(IF(SUMIFS('CDA'!$E$4:$E$53,'CDA'!$A$4:$A$53,C27,'CDA'!$D$4:$D$53,"D")&gt;0,"D",IF(SUMIFS('CDA'!$E$4:$E$53,'CDA'!$A$4:$A$53,C27,'CDA'!$D$4:$D$53,"C")&gt;0,"C",IF(SUMIFS('CDA'!$E$4:$E$53,'CDA'!$A$4:$A$53,C27,'CDA'!$D$4:$D$53,"B")&gt;0,"B",IF(SUMIFS('CDA'!$E$4:$E$53,'CDA'!$A$4:$A$53,C27,'CDA'!$D$4:$D$53,"A")&gt;0,"A","")))),PARAMS_Ksat,2,FALSE),0),0)</f>
        <v/>
      </c>
      <c r="J27" s="17">
        <f>IFERROR(IF(AND(D27="Permeable Pavement",E27="Enhanced"),INDEX(PARAMS_BMP,1,5),IF(AND(D27="Permeable Pavement",E27="Underdrained Enhanced"),INDEX(PARAMS_BMP,2,5),IF(AND(D27="Bioretention",E27="Standard"),INDEX(PARAMS_BMP,3,5),IF(AND(D27="Bioretention",E27="Enhanced"),INDEX(PARAMS_BMP,4,5),IF(AND(D27="Bioretention",E27="Enhanced w/ Underdrain"),INDEX(PARAMS_BMP,5,5),IF(AND(D27="Dry Swale",E27="—"),INDEX(PARAMS_BMP,6,5),IF(AND(D27="Wet Swale",E27="—"),INDEX(PARAMS_BMP,7,5),""))))))),"")</f>
        <v/>
      </c>
      <c r="K27" s="17">
        <f>IFERROR(F27*G27*J27,0)</f>
        <v/>
      </c>
      <c r="L27" s="17">
        <f>IFERROR(IF(I27=0,"",G27/I27),"")</f>
        <v/>
      </c>
      <c r="M27" s="28">
        <f>IFERROR(IF(L27="","",IF(L27&lt;=2,"✓","✗")),"")</f>
        <v/>
      </c>
      <c r="N27" s="4" t="n"/>
      <c r="O27" s="4" t="n"/>
      <c r="P27" s="17">
        <f>IFERROR((N27+O27)/2,0)</f>
        <v/>
      </c>
      <c r="Q27" s="4" t="n"/>
      <c r="R27" s="17">
        <f>IFERROR(IF(AND(D27="Permeable Pavement",E27="Enhanced"),INDEX(PARAMS_BMP,1,3),IF(AND(D27="Permeable Pavement",E27="Underdrained Enhanced"),INDEX(PARAMS_BMP,2,3),IF(AND(D27="Bioretention",E27="Standard"),INDEX(PARAMS_BMP,3,3),IF(AND(D27="Bioretention",E27="Enhanced"),INDEX(PARAMS_BMP,4,3),IF(AND(D27="Bioretention",E27="Enhanced w/ Underdrain"),INDEX(PARAMS_BMP,5,3),IF(AND(D27="Dry Swale",E27="—"),INDEX(PARAMS_BMP,6,3),IF(AND(D27="Wet Swale",E27="—"),INDEX(PARAMS_BMP,7,3),""))))))),"")</f>
        <v/>
      </c>
      <c r="S27" s="4" t="n"/>
      <c r="T27" s="17">
        <f>IFERROR(IF(AND(D27="Permeable Pavement",E27="Enhanced"),INDEX(PARAMS_BMP,1,4),IF(AND(D27="Permeable Pavement",E27="Underdrained Enhanced"),INDEX(PARAMS_BMP,2,4),IF(AND(D27="Bioretention",E27="Standard"),INDEX(PARAMS_BMP,3,4),IF(AND(D27="Bioretention",E27="Enhanced"),INDEX(PARAMS_BMP,4,4),IF(AND(D27="Bioretention",E27="Enhanced w/ Underdrain"),INDEX(PARAMS_BMP,5,4),IF(AND(D27="Dry Swale",E27="—"),INDEX(PARAMS_BMP,6,4),IF(AND(D27="Wet Swale",E27="—"),INDEX(PARAMS_BMP,7,4),""))))))),"")</f>
        <v/>
      </c>
      <c r="U27" s="4" t="n"/>
      <c r="V27" s="4">
        <f>IFERROR(IF(OR(E27="Enhanced",E27="Enhanced w/ Underdrain"),VLOOKUP(IF(SUMIFS('CDA'!$E$4:$E$53,'CDA'!$A$4:$A$53,C27,'CDA'!$D$4:$D$53,"D")&gt;0,"D",IF(SUMIFS('CDA'!$E$4:$E$53,'CDA'!$A$4:$A$53,C27,'CDA'!$D$4:$D$53,"C")&gt;0,"C",IF(SUMIFS('CDA'!$E$4:$E$53,'CDA'!$A$4:$A$53,C27,'CDA'!$D$4:$D$53,"B")&gt;0,"B",IF(SUMIFS('CDA'!$E$4:$E$53,'CDA'!$A$4:$A$53,C27,'CDA'!$D$4:$D$53,"A")&gt;0,"A","")))),PARAMS_Ksat,2,FALSE),0),0)</f>
        <v/>
      </c>
      <c r="W27" s="17">
        <f>IFERROR(P27*(Q27*R27+S27*T27+U27),0)</f>
        <v/>
      </c>
      <c r="X27" s="28">
        <f>IFERROR(IF(V27=0,"",(Q27+S27)/V27),"")</f>
        <v/>
      </c>
      <c r="Y27" s="4" t="n"/>
      <c r="Z27" s="4" t="n"/>
      <c r="AA27" s="28">
        <f>IFERROR(Y27+Z27,0)</f>
        <v/>
      </c>
      <c r="AB27" s="4" t="n"/>
      <c r="AC27" s="4" t="n"/>
      <c r="AD27" s="4" t="n"/>
      <c r="AE27" s="4" t="n"/>
      <c r="AF27" s="4" t="n"/>
      <c r="AG27" s="4" t="n"/>
      <c r="AH27" s="28">
        <f>IFERROR(AB27*INDEX(PARAMS_Trees,1,3)+AC27*INDEX(PARAMS_Trees,2,3)+AD27*INDEX(PARAMS_Trees,3,3)+AE27*INDEX(PARAMS_Trees,4,3)+AF27*INDEX(PARAMS_Trees,5,3)+AG27*INDEX(PARAMS_Trees,6,3),0)</f>
        <v/>
      </c>
      <c r="AI27" s="17">
        <f>IFERROR(K27+W27+AA27,0)</f>
        <v/>
      </c>
      <c r="AJ27" s="17">
        <f>IFERROR(IF(AND(D27="Permeable Pavement",E27="Enhanced"),INDEX(PARAMS_BMP,1,6),IF(AND(D27="Permeable Pavement",E27="Underdrained Enhanced"),INDEX(PARAMS_BMP,2,6),IF(AND(D27="Bioretention",E27="Standard"),INDEX(PARAMS_BMP,3,6),IF(AND(D27="Bioretention",E27="Enhanced"),INDEX(PARAMS_BMP,4,6),IF(AND(D27="Bioretention",E27="Enhanced w/ Underdrain"),INDEX(PARAMS_BMP,5,6),IF(AND(D27="Dry Swale",E27="—"),INDEX(PARAMS_BMP,6,6),IF(AND(D27="Wet Swale",E27="—"),INDEX(PARAMS_BMP,7,6),""))))))),"")</f>
        <v/>
      </c>
      <c r="AK27" s="17">
        <f>IFERROR(AI27*AJ27+AH27,0)</f>
        <v/>
      </c>
      <c r="AL27" s="17">
        <f>IFERROR(VLOOKUP(C27,'CDA'!$A$58:$D$67,4,FALSE),0)</f>
        <v/>
      </c>
      <c r="AM27" s="28">
        <f>IFERROR(IF(AL27=0,AK27,MIN(AK27,AL27)),0)</f>
        <v/>
      </c>
    </row>
    <row r="28">
      <c r="A28" s="4" t="n"/>
      <c r="B28" s="4" t="n"/>
      <c r="C28" s="4" t="n"/>
      <c r="D28" s="4" t="n"/>
      <c r="E28" s="27" t="n"/>
      <c r="F28" s="4" t="n"/>
      <c r="G28" s="4" t="n"/>
      <c r="H28" s="4" t="n"/>
      <c r="I28" s="4">
        <f>IFERROR(IF(OR(E28="Enhanced",E28="Underdrained Enhanced"),VLOOKUP(IF(SUMIFS('CDA'!$E$4:$E$53,'CDA'!$A$4:$A$53,C28,'CDA'!$D$4:$D$53,"D")&gt;0,"D",IF(SUMIFS('CDA'!$E$4:$E$53,'CDA'!$A$4:$A$53,C28,'CDA'!$D$4:$D$53,"C")&gt;0,"C",IF(SUMIFS('CDA'!$E$4:$E$53,'CDA'!$A$4:$A$53,C28,'CDA'!$D$4:$D$53,"B")&gt;0,"B",IF(SUMIFS('CDA'!$E$4:$E$53,'CDA'!$A$4:$A$53,C28,'CDA'!$D$4:$D$53,"A")&gt;0,"A","")))),PARAMS_Ksat,2,FALSE),0),0)</f>
        <v/>
      </c>
      <c r="J28" s="17">
        <f>IFERROR(IF(AND(D28="Permeable Pavement",E28="Enhanced"),INDEX(PARAMS_BMP,1,5),IF(AND(D28="Permeable Pavement",E28="Underdrained Enhanced"),INDEX(PARAMS_BMP,2,5),IF(AND(D28="Bioretention",E28="Standard"),INDEX(PARAMS_BMP,3,5),IF(AND(D28="Bioretention",E28="Enhanced"),INDEX(PARAMS_BMP,4,5),IF(AND(D28="Bioretention",E28="Enhanced w/ Underdrain"),INDEX(PARAMS_BMP,5,5),IF(AND(D28="Dry Swale",E28="—"),INDEX(PARAMS_BMP,6,5),IF(AND(D28="Wet Swale",E28="—"),INDEX(PARAMS_BMP,7,5),""))))))),"")</f>
        <v/>
      </c>
      <c r="K28" s="17">
        <f>IFERROR(F28*G28*J28,0)</f>
        <v/>
      </c>
      <c r="L28" s="17">
        <f>IFERROR(IF(I28=0,"",G28/I28),"")</f>
        <v/>
      </c>
      <c r="M28" s="28">
        <f>IFERROR(IF(L28="","",IF(L28&lt;=2,"✓","✗")),"")</f>
        <v/>
      </c>
      <c r="N28" s="4" t="n"/>
      <c r="O28" s="4" t="n"/>
      <c r="P28" s="17">
        <f>IFERROR((N28+O28)/2,0)</f>
        <v/>
      </c>
      <c r="Q28" s="4" t="n"/>
      <c r="R28" s="17">
        <f>IFERROR(IF(AND(D28="Permeable Pavement",E28="Enhanced"),INDEX(PARAMS_BMP,1,3),IF(AND(D28="Permeable Pavement",E28="Underdrained Enhanced"),INDEX(PARAMS_BMP,2,3),IF(AND(D28="Bioretention",E28="Standard"),INDEX(PARAMS_BMP,3,3),IF(AND(D28="Bioretention",E28="Enhanced"),INDEX(PARAMS_BMP,4,3),IF(AND(D28="Bioretention",E28="Enhanced w/ Underdrain"),INDEX(PARAMS_BMP,5,3),IF(AND(D28="Dry Swale",E28="—"),INDEX(PARAMS_BMP,6,3),IF(AND(D28="Wet Swale",E28="—"),INDEX(PARAMS_BMP,7,3),""))))))),"")</f>
        <v/>
      </c>
      <c r="S28" s="4" t="n"/>
      <c r="T28" s="17">
        <f>IFERROR(IF(AND(D28="Permeable Pavement",E28="Enhanced"),INDEX(PARAMS_BMP,1,4),IF(AND(D28="Permeable Pavement",E28="Underdrained Enhanced"),INDEX(PARAMS_BMP,2,4),IF(AND(D28="Bioretention",E28="Standard"),INDEX(PARAMS_BMP,3,4),IF(AND(D28="Bioretention",E28="Enhanced"),INDEX(PARAMS_BMP,4,4),IF(AND(D28="Bioretention",E28="Enhanced w/ Underdrain"),INDEX(PARAMS_BMP,5,4),IF(AND(D28="Dry Swale",E28="—"),INDEX(PARAMS_BMP,6,4),IF(AND(D28="Wet Swale",E28="—"),INDEX(PARAMS_BMP,7,4),""))))))),"")</f>
        <v/>
      </c>
      <c r="U28" s="4" t="n"/>
      <c r="V28" s="4">
        <f>IFERROR(IF(OR(E28="Enhanced",E28="Enhanced w/ Underdrain"),VLOOKUP(IF(SUMIFS('CDA'!$E$4:$E$53,'CDA'!$A$4:$A$53,C28,'CDA'!$D$4:$D$53,"D")&gt;0,"D",IF(SUMIFS('CDA'!$E$4:$E$53,'CDA'!$A$4:$A$53,C28,'CDA'!$D$4:$D$53,"C")&gt;0,"C",IF(SUMIFS('CDA'!$E$4:$E$53,'CDA'!$A$4:$A$53,C28,'CDA'!$D$4:$D$53,"B")&gt;0,"B",IF(SUMIFS('CDA'!$E$4:$E$53,'CDA'!$A$4:$A$53,C28,'CDA'!$D$4:$D$53,"A")&gt;0,"A","")))),PARAMS_Ksat,2,FALSE),0),0)</f>
        <v/>
      </c>
      <c r="W28" s="17">
        <f>IFERROR(P28*(Q28*R28+S28*T28+U28),0)</f>
        <v/>
      </c>
      <c r="X28" s="28">
        <f>IFERROR(IF(V28=0,"",(Q28+S28)/V28),"")</f>
        <v/>
      </c>
      <c r="Y28" s="4" t="n"/>
      <c r="Z28" s="4" t="n"/>
      <c r="AA28" s="28">
        <f>IFERROR(Y28+Z28,0)</f>
        <v/>
      </c>
      <c r="AB28" s="4" t="n"/>
      <c r="AC28" s="4" t="n"/>
      <c r="AD28" s="4" t="n"/>
      <c r="AE28" s="4" t="n"/>
      <c r="AF28" s="4" t="n"/>
      <c r="AG28" s="4" t="n"/>
      <c r="AH28" s="28">
        <f>IFERROR(AB28*INDEX(PARAMS_Trees,1,3)+AC28*INDEX(PARAMS_Trees,2,3)+AD28*INDEX(PARAMS_Trees,3,3)+AE28*INDEX(PARAMS_Trees,4,3)+AF28*INDEX(PARAMS_Trees,5,3)+AG28*INDEX(PARAMS_Trees,6,3),0)</f>
        <v/>
      </c>
      <c r="AI28" s="17">
        <f>IFERROR(K28+W28+AA28,0)</f>
        <v/>
      </c>
      <c r="AJ28" s="17">
        <f>IFERROR(IF(AND(D28="Permeable Pavement",E28="Enhanced"),INDEX(PARAMS_BMP,1,6),IF(AND(D28="Permeable Pavement",E28="Underdrained Enhanced"),INDEX(PARAMS_BMP,2,6),IF(AND(D28="Bioretention",E28="Standard"),INDEX(PARAMS_BMP,3,6),IF(AND(D28="Bioretention",E28="Enhanced"),INDEX(PARAMS_BMP,4,6),IF(AND(D28="Bioretention",E28="Enhanced w/ Underdrain"),INDEX(PARAMS_BMP,5,6),IF(AND(D28="Dry Swale",E28="—"),INDEX(PARAMS_BMP,6,6),IF(AND(D28="Wet Swale",E28="—"),INDEX(PARAMS_BMP,7,6),""))))))),"")</f>
        <v/>
      </c>
      <c r="AK28" s="17">
        <f>IFERROR(AI28*AJ28+AH28,0)</f>
        <v/>
      </c>
      <c r="AL28" s="17">
        <f>IFERROR(VLOOKUP(C28,'CDA'!$A$58:$D$67,4,FALSE),0)</f>
        <v/>
      </c>
      <c r="AM28" s="28">
        <f>IFERROR(IF(AL28=0,AK28,MIN(AK28,AL28)),0)</f>
        <v/>
      </c>
    </row>
    <row r="29">
      <c r="A29" s="4" t="n"/>
      <c r="B29" s="4" t="n"/>
      <c r="C29" s="4" t="n"/>
      <c r="D29" s="4" t="n"/>
      <c r="E29" s="27" t="n"/>
      <c r="F29" s="4" t="n"/>
      <c r="G29" s="4" t="n"/>
      <c r="H29" s="4" t="n"/>
      <c r="I29" s="4">
        <f>IFERROR(IF(OR(E29="Enhanced",E29="Underdrained Enhanced"),VLOOKUP(IF(SUMIFS('CDA'!$E$4:$E$53,'CDA'!$A$4:$A$53,C29,'CDA'!$D$4:$D$53,"D")&gt;0,"D",IF(SUMIFS('CDA'!$E$4:$E$53,'CDA'!$A$4:$A$53,C29,'CDA'!$D$4:$D$53,"C")&gt;0,"C",IF(SUMIFS('CDA'!$E$4:$E$53,'CDA'!$A$4:$A$53,C29,'CDA'!$D$4:$D$53,"B")&gt;0,"B",IF(SUMIFS('CDA'!$E$4:$E$53,'CDA'!$A$4:$A$53,C29,'CDA'!$D$4:$D$53,"A")&gt;0,"A","")))),PARAMS_Ksat,2,FALSE),0),0)</f>
        <v/>
      </c>
      <c r="J29" s="17">
        <f>IFERROR(IF(AND(D29="Permeable Pavement",E29="Enhanced"),INDEX(PARAMS_BMP,1,5),IF(AND(D29="Permeable Pavement",E29="Underdrained Enhanced"),INDEX(PARAMS_BMP,2,5),IF(AND(D29="Bioretention",E29="Standard"),INDEX(PARAMS_BMP,3,5),IF(AND(D29="Bioretention",E29="Enhanced"),INDEX(PARAMS_BMP,4,5),IF(AND(D29="Bioretention",E29="Enhanced w/ Underdrain"),INDEX(PARAMS_BMP,5,5),IF(AND(D29="Dry Swale",E29="—"),INDEX(PARAMS_BMP,6,5),IF(AND(D29="Wet Swale",E29="—"),INDEX(PARAMS_BMP,7,5),""))))))),"")</f>
        <v/>
      </c>
      <c r="K29" s="17">
        <f>IFERROR(F29*G29*J29,0)</f>
        <v/>
      </c>
      <c r="L29" s="17">
        <f>IFERROR(IF(I29=0,"",G29/I29),"")</f>
        <v/>
      </c>
      <c r="M29" s="28">
        <f>IFERROR(IF(L29="","",IF(L29&lt;=2,"✓","✗")),"")</f>
        <v/>
      </c>
      <c r="N29" s="4" t="n"/>
      <c r="O29" s="4" t="n"/>
      <c r="P29" s="17">
        <f>IFERROR((N29+O29)/2,0)</f>
        <v/>
      </c>
      <c r="Q29" s="4" t="n"/>
      <c r="R29" s="17">
        <f>IFERROR(IF(AND(D29="Permeable Pavement",E29="Enhanced"),INDEX(PARAMS_BMP,1,3),IF(AND(D29="Permeable Pavement",E29="Underdrained Enhanced"),INDEX(PARAMS_BMP,2,3),IF(AND(D29="Bioretention",E29="Standard"),INDEX(PARAMS_BMP,3,3),IF(AND(D29="Bioretention",E29="Enhanced"),INDEX(PARAMS_BMP,4,3),IF(AND(D29="Bioretention",E29="Enhanced w/ Underdrain"),INDEX(PARAMS_BMP,5,3),IF(AND(D29="Dry Swale",E29="—"),INDEX(PARAMS_BMP,6,3),IF(AND(D29="Wet Swale",E29="—"),INDEX(PARAMS_BMP,7,3),""))))))),"")</f>
        <v/>
      </c>
      <c r="S29" s="4" t="n"/>
      <c r="T29" s="17">
        <f>IFERROR(IF(AND(D29="Permeable Pavement",E29="Enhanced"),INDEX(PARAMS_BMP,1,4),IF(AND(D29="Permeable Pavement",E29="Underdrained Enhanced"),INDEX(PARAMS_BMP,2,4),IF(AND(D29="Bioretention",E29="Standard"),INDEX(PARAMS_BMP,3,4),IF(AND(D29="Bioretention",E29="Enhanced"),INDEX(PARAMS_BMP,4,4),IF(AND(D29="Bioretention",E29="Enhanced w/ Underdrain"),INDEX(PARAMS_BMP,5,4),IF(AND(D29="Dry Swale",E29="—"),INDEX(PARAMS_BMP,6,4),IF(AND(D29="Wet Swale",E29="—"),INDEX(PARAMS_BMP,7,4),""))))))),"")</f>
        <v/>
      </c>
      <c r="U29" s="4" t="n"/>
      <c r="V29" s="4">
        <f>IFERROR(IF(OR(E29="Enhanced",E29="Enhanced w/ Underdrain"),VLOOKUP(IF(SUMIFS('CDA'!$E$4:$E$53,'CDA'!$A$4:$A$53,C29,'CDA'!$D$4:$D$53,"D")&gt;0,"D",IF(SUMIFS('CDA'!$E$4:$E$53,'CDA'!$A$4:$A$53,C29,'CDA'!$D$4:$D$53,"C")&gt;0,"C",IF(SUMIFS('CDA'!$E$4:$E$53,'CDA'!$A$4:$A$53,C29,'CDA'!$D$4:$D$53,"B")&gt;0,"B",IF(SUMIFS('CDA'!$E$4:$E$53,'CDA'!$A$4:$A$53,C29,'CDA'!$D$4:$D$53,"A")&gt;0,"A","")))),PARAMS_Ksat,2,FALSE),0),0)</f>
        <v/>
      </c>
      <c r="W29" s="17">
        <f>IFERROR(P29*(Q29*R29+S29*T29+U29),0)</f>
        <v/>
      </c>
      <c r="X29" s="28">
        <f>IFERROR(IF(V29=0,"",(Q29+S29)/V29),"")</f>
        <v/>
      </c>
      <c r="Y29" s="4" t="n"/>
      <c r="Z29" s="4" t="n"/>
      <c r="AA29" s="28">
        <f>IFERROR(Y29+Z29,0)</f>
        <v/>
      </c>
      <c r="AB29" s="4" t="n"/>
      <c r="AC29" s="4" t="n"/>
      <c r="AD29" s="4" t="n"/>
      <c r="AE29" s="4" t="n"/>
      <c r="AF29" s="4" t="n"/>
      <c r="AG29" s="4" t="n"/>
      <c r="AH29" s="28">
        <f>IFERROR(AB29*INDEX(PARAMS_Trees,1,3)+AC29*INDEX(PARAMS_Trees,2,3)+AD29*INDEX(PARAMS_Trees,3,3)+AE29*INDEX(PARAMS_Trees,4,3)+AF29*INDEX(PARAMS_Trees,5,3)+AG29*INDEX(PARAMS_Trees,6,3),0)</f>
        <v/>
      </c>
      <c r="AI29" s="17">
        <f>IFERROR(K29+W29+AA29,0)</f>
        <v/>
      </c>
      <c r="AJ29" s="17">
        <f>IFERROR(IF(AND(D29="Permeable Pavement",E29="Enhanced"),INDEX(PARAMS_BMP,1,6),IF(AND(D29="Permeable Pavement",E29="Underdrained Enhanced"),INDEX(PARAMS_BMP,2,6),IF(AND(D29="Bioretention",E29="Standard"),INDEX(PARAMS_BMP,3,6),IF(AND(D29="Bioretention",E29="Enhanced"),INDEX(PARAMS_BMP,4,6),IF(AND(D29="Bioretention",E29="Enhanced w/ Underdrain"),INDEX(PARAMS_BMP,5,6),IF(AND(D29="Dry Swale",E29="—"),INDEX(PARAMS_BMP,6,6),IF(AND(D29="Wet Swale",E29="—"),INDEX(PARAMS_BMP,7,6),""))))))),"")</f>
        <v/>
      </c>
      <c r="AK29" s="17">
        <f>IFERROR(AI29*AJ29+AH29,0)</f>
        <v/>
      </c>
      <c r="AL29" s="17">
        <f>IFERROR(VLOOKUP(C29,'CDA'!$A$58:$D$67,4,FALSE),0)</f>
        <v/>
      </c>
      <c r="AM29" s="28">
        <f>IFERROR(IF(AL29=0,AK29,MIN(AK29,AL29)),0)</f>
        <v/>
      </c>
    </row>
    <row r="30">
      <c r="A30" s="4" t="n"/>
      <c r="B30" s="4" t="n"/>
      <c r="C30" s="4" t="n"/>
      <c r="D30" s="4" t="n"/>
      <c r="E30" s="27" t="n"/>
      <c r="F30" s="4" t="n"/>
      <c r="G30" s="4" t="n"/>
      <c r="H30" s="4" t="n"/>
      <c r="I30" s="4">
        <f>IFERROR(IF(OR(E30="Enhanced",E30="Underdrained Enhanced"),VLOOKUP(IF(SUMIFS('CDA'!$E$4:$E$53,'CDA'!$A$4:$A$53,C30,'CDA'!$D$4:$D$53,"D")&gt;0,"D",IF(SUMIFS('CDA'!$E$4:$E$53,'CDA'!$A$4:$A$53,C30,'CDA'!$D$4:$D$53,"C")&gt;0,"C",IF(SUMIFS('CDA'!$E$4:$E$53,'CDA'!$A$4:$A$53,C30,'CDA'!$D$4:$D$53,"B")&gt;0,"B",IF(SUMIFS('CDA'!$E$4:$E$53,'CDA'!$A$4:$A$53,C30,'CDA'!$D$4:$D$53,"A")&gt;0,"A","")))),PARAMS_Ksat,2,FALSE),0),0)</f>
        <v/>
      </c>
      <c r="J30" s="17">
        <f>IFERROR(IF(AND(D30="Permeable Pavement",E30="Enhanced"),INDEX(PARAMS_BMP,1,5),IF(AND(D30="Permeable Pavement",E30="Underdrained Enhanced"),INDEX(PARAMS_BMP,2,5),IF(AND(D30="Bioretention",E30="Standard"),INDEX(PARAMS_BMP,3,5),IF(AND(D30="Bioretention",E30="Enhanced"),INDEX(PARAMS_BMP,4,5),IF(AND(D30="Bioretention",E30="Enhanced w/ Underdrain"),INDEX(PARAMS_BMP,5,5),IF(AND(D30="Dry Swale",E30="—"),INDEX(PARAMS_BMP,6,5),IF(AND(D30="Wet Swale",E30="—"),INDEX(PARAMS_BMP,7,5),""))))))),"")</f>
        <v/>
      </c>
      <c r="K30" s="17">
        <f>IFERROR(F30*G30*J30,0)</f>
        <v/>
      </c>
      <c r="L30" s="17">
        <f>IFERROR(IF(I30=0,"",G30/I30),"")</f>
        <v/>
      </c>
      <c r="M30" s="28">
        <f>IFERROR(IF(L30="","",IF(L30&lt;=2,"✓","✗")),"")</f>
        <v/>
      </c>
      <c r="N30" s="4" t="n"/>
      <c r="O30" s="4" t="n"/>
      <c r="P30" s="17">
        <f>IFERROR((N30+O30)/2,0)</f>
        <v/>
      </c>
      <c r="Q30" s="4" t="n"/>
      <c r="R30" s="17">
        <f>IFERROR(IF(AND(D30="Permeable Pavement",E30="Enhanced"),INDEX(PARAMS_BMP,1,3),IF(AND(D30="Permeable Pavement",E30="Underdrained Enhanced"),INDEX(PARAMS_BMP,2,3),IF(AND(D30="Bioretention",E30="Standard"),INDEX(PARAMS_BMP,3,3),IF(AND(D30="Bioretention",E30="Enhanced"),INDEX(PARAMS_BMP,4,3),IF(AND(D30="Bioretention",E30="Enhanced w/ Underdrain"),INDEX(PARAMS_BMP,5,3),IF(AND(D30="Dry Swale",E30="—"),INDEX(PARAMS_BMP,6,3),IF(AND(D30="Wet Swale",E30="—"),INDEX(PARAMS_BMP,7,3),""))))))),"")</f>
        <v/>
      </c>
      <c r="S30" s="4" t="n"/>
      <c r="T30" s="17">
        <f>IFERROR(IF(AND(D30="Permeable Pavement",E30="Enhanced"),INDEX(PARAMS_BMP,1,4),IF(AND(D30="Permeable Pavement",E30="Underdrained Enhanced"),INDEX(PARAMS_BMP,2,4),IF(AND(D30="Bioretention",E30="Standard"),INDEX(PARAMS_BMP,3,4),IF(AND(D30="Bioretention",E30="Enhanced"),INDEX(PARAMS_BMP,4,4),IF(AND(D30="Bioretention",E30="Enhanced w/ Underdrain"),INDEX(PARAMS_BMP,5,4),IF(AND(D30="Dry Swale",E30="—"),INDEX(PARAMS_BMP,6,4),IF(AND(D30="Wet Swale",E30="—"),INDEX(PARAMS_BMP,7,4),""))))))),"")</f>
        <v/>
      </c>
      <c r="U30" s="4" t="n"/>
      <c r="V30" s="4">
        <f>IFERROR(IF(OR(E30="Enhanced",E30="Enhanced w/ Underdrain"),VLOOKUP(IF(SUMIFS('CDA'!$E$4:$E$53,'CDA'!$A$4:$A$53,C30,'CDA'!$D$4:$D$53,"D")&gt;0,"D",IF(SUMIFS('CDA'!$E$4:$E$53,'CDA'!$A$4:$A$53,C30,'CDA'!$D$4:$D$53,"C")&gt;0,"C",IF(SUMIFS('CDA'!$E$4:$E$53,'CDA'!$A$4:$A$53,C30,'CDA'!$D$4:$D$53,"B")&gt;0,"B",IF(SUMIFS('CDA'!$E$4:$E$53,'CDA'!$A$4:$A$53,C30,'CDA'!$D$4:$D$53,"A")&gt;0,"A","")))),PARAMS_Ksat,2,FALSE),0),0)</f>
        <v/>
      </c>
      <c r="W30" s="17">
        <f>IFERROR(P30*(Q30*R30+S30*T30+U30),0)</f>
        <v/>
      </c>
      <c r="X30" s="28">
        <f>IFERROR(IF(V30=0,"",(Q30+S30)/V30),"")</f>
        <v/>
      </c>
      <c r="Y30" s="4" t="n"/>
      <c r="Z30" s="4" t="n"/>
      <c r="AA30" s="28">
        <f>IFERROR(Y30+Z30,0)</f>
        <v/>
      </c>
      <c r="AB30" s="4" t="n"/>
      <c r="AC30" s="4" t="n"/>
      <c r="AD30" s="4" t="n"/>
      <c r="AE30" s="4" t="n"/>
      <c r="AF30" s="4" t="n"/>
      <c r="AG30" s="4" t="n"/>
      <c r="AH30" s="28">
        <f>IFERROR(AB30*INDEX(PARAMS_Trees,1,3)+AC30*INDEX(PARAMS_Trees,2,3)+AD30*INDEX(PARAMS_Trees,3,3)+AE30*INDEX(PARAMS_Trees,4,3)+AF30*INDEX(PARAMS_Trees,5,3)+AG30*INDEX(PARAMS_Trees,6,3),0)</f>
        <v/>
      </c>
      <c r="AI30" s="17">
        <f>IFERROR(K30+W30+AA30,0)</f>
        <v/>
      </c>
      <c r="AJ30" s="17">
        <f>IFERROR(IF(AND(D30="Permeable Pavement",E30="Enhanced"),INDEX(PARAMS_BMP,1,6),IF(AND(D30="Permeable Pavement",E30="Underdrained Enhanced"),INDEX(PARAMS_BMP,2,6),IF(AND(D30="Bioretention",E30="Standard"),INDEX(PARAMS_BMP,3,6),IF(AND(D30="Bioretention",E30="Enhanced"),INDEX(PARAMS_BMP,4,6),IF(AND(D30="Bioretention",E30="Enhanced w/ Underdrain"),INDEX(PARAMS_BMP,5,6),IF(AND(D30="Dry Swale",E30="—"),INDEX(PARAMS_BMP,6,6),IF(AND(D30="Wet Swale",E30="—"),INDEX(PARAMS_BMP,7,6),""))))))),"")</f>
        <v/>
      </c>
      <c r="AK30" s="17">
        <f>IFERROR(AI30*AJ30+AH30,0)</f>
        <v/>
      </c>
      <c r="AL30" s="17">
        <f>IFERROR(VLOOKUP(C30,'CDA'!$A$58:$D$67,4,FALSE),0)</f>
        <v/>
      </c>
      <c r="AM30" s="28">
        <f>IFERROR(IF(AL30=0,AK30,MIN(AK30,AL30)),0)</f>
        <v/>
      </c>
    </row>
    <row r="31">
      <c r="A31" s="4" t="n"/>
      <c r="B31" s="4" t="n"/>
      <c r="C31" s="4" t="n"/>
      <c r="D31" s="4" t="n"/>
      <c r="E31" s="27" t="n"/>
      <c r="F31" s="4" t="n"/>
      <c r="G31" s="4" t="n"/>
      <c r="H31" s="4" t="n"/>
      <c r="I31" s="4">
        <f>IFERROR(IF(OR(E31="Enhanced",E31="Underdrained Enhanced"),VLOOKUP(IF(SUMIFS('CDA'!$E$4:$E$53,'CDA'!$A$4:$A$53,C31,'CDA'!$D$4:$D$53,"D")&gt;0,"D",IF(SUMIFS('CDA'!$E$4:$E$53,'CDA'!$A$4:$A$53,C31,'CDA'!$D$4:$D$53,"C")&gt;0,"C",IF(SUMIFS('CDA'!$E$4:$E$53,'CDA'!$A$4:$A$53,C31,'CDA'!$D$4:$D$53,"B")&gt;0,"B",IF(SUMIFS('CDA'!$E$4:$E$53,'CDA'!$A$4:$A$53,C31,'CDA'!$D$4:$D$53,"A")&gt;0,"A","")))),PARAMS_Ksat,2,FALSE),0),0)</f>
        <v/>
      </c>
      <c r="J31" s="17">
        <f>IFERROR(IF(AND(D31="Permeable Pavement",E31="Enhanced"),INDEX(PARAMS_BMP,1,5),IF(AND(D31="Permeable Pavement",E31="Underdrained Enhanced"),INDEX(PARAMS_BMP,2,5),IF(AND(D31="Bioretention",E31="Standard"),INDEX(PARAMS_BMP,3,5),IF(AND(D31="Bioretention",E31="Enhanced"),INDEX(PARAMS_BMP,4,5),IF(AND(D31="Bioretention",E31="Enhanced w/ Underdrain"),INDEX(PARAMS_BMP,5,5),IF(AND(D31="Dry Swale",E31="—"),INDEX(PARAMS_BMP,6,5),IF(AND(D31="Wet Swale",E31="—"),INDEX(PARAMS_BMP,7,5),""))))))),"")</f>
        <v/>
      </c>
      <c r="K31" s="17">
        <f>IFERROR(F31*G31*J31,0)</f>
        <v/>
      </c>
      <c r="L31" s="17">
        <f>IFERROR(IF(I31=0,"",G31/I31),"")</f>
        <v/>
      </c>
      <c r="M31" s="28">
        <f>IFERROR(IF(L31="","",IF(L31&lt;=2,"✓","✗")),"")</f>
        <v/>
      </c>
      <c r="N31" s="4" t="n"/>
      <c r="O31" s="4" t="n"/>
      <c r="P31" s="17">
        <f>IFERROR((N31+O31)/2,0)</f>
        <v/>
      </c>
      <c r="Q31" s="4" t="n"/>
      <c r="R31" s="17">
        <f>IFERROR(IF(AND(D31="Permeable Pavement",E31="Enhanced"),INDEX(PARAMS_BMP,1,3),IF(AND(D31="Permeable Pavement",E31="Underdrained Enhanced"),INDEX(PARAMS_BMP,2,3),IF(AND(D31="Bioretention",E31="Standard"),INDEX(PARAMS_BMP,3,3),IF(AND(D31="Bioretention",E31="Enhanced"),INDEX(PARAMS_BMP,4,3),IF(AND(D31="Bioretention",E31="Enhanced w/ Underdrain"),INDEX(PARAMS_BMP,5,3),IF(AND(D31="Dry Swale",E31="—"),INDEX(PARAMS_BMP,6,3),IF(AND(D31="Wet Swale",E31="—"),INDEX(PARAMS_BMP,7,3),""))))))),"")</f>
        <v/>
      </c>
      <c r="S31" s="4" t="n"/>
      <c r="T31" s="17">
        <f>IFERROR(IF(AND(D31="Permeable Pavement",E31="Enhanced"),INDEX(PARAMS_BMP,1,4),IF(AND(D31="Permeable Pavement",E31="Underdrained Enhanced"),INDEX(PARAMS_BMP,2,4),IF(AND(D31="Bioretention",E31="Standard"),INDEX(PARAMS_BMP,3,4),IF(AND(D31="Bioretention",E31="Enhanced"),INDEX(PARAMS_BMP,4,4),IF(AND(D31="Bioretention",E31="Enhanced w/ Underdrain"),INDEX(PARAMS_BMP,5,4),IF(AND(D31="Dry Swale",E31="—"),INDEX(PARAMS_BMP,6,4),IF(AND(D31="Wet Swale",E31="—"),INDEX(PARAMS_BMP,7,4),""))))))),"")</f>
        <v/>
      </c>
      <c r="U31" s="4" t="n"/>
      <c r="V31" s="4">
        <f>IFERROR(IF(OR(E31="Enhanced",E31="Enhanced w/ Underdrain"),VLOOKUP(IF(SUMIFS('CDA'!$E$4:$E$53,'CDA'!$A$4:$A$53,C31,'CDA'!$D$4:$D$53,"D")&gt;0,"D",IF(SUMIFS('CDA'!$E$4:$E$53,'CDA'!$A$4:$A$53,C31,'CDA'!$D$4:$D$53,"C")&gt;0,"C",IF(SUMIFS('CDA'!$E$4:$E$53,'CDA'!$A$4:$A$53,C31,'CDA'!$D$4:$D$53,"B")&gt;0,"B",IF(SUMIFS('CDA'!$E$4:$E$53,'CDA'!$A$4:$A$53,C31,'CDA'!$D$4:$D$53,"A")&gt;0,"A","")))),PARAMS_Ksat,2,FALSE),0),0)</f>
        <v/>
      </c>
      <c r="W31" s="17">
        <f>IFERROR(P31*(Q31*R31+S31*T31+U31),0)</f>
        <v/>
      </c>
      <c r="X31" s="28">
        <f>IFERROR(IF(V31=0,"",(Q31+S31)/V31),"")</f>
        <v/>
      </c>
      <c r="Y31" s="4" t="n"/>
      <c r="Z31" s="4" t="n"/>
      <c r="AA31" s="28">
        <f>IFERROR(Y31+Z31,0)</f>
        <v/>
      </c>
      <c r="AB31" s="4" t="n"/>
      <c r="AC31" s="4" t="n"/>
      <c r="AD31" s="4" t="n"/>
      <c r="AE31" s="4" t="n"/>
      <c r="AF31" s="4" t="n"/>
      <c r="AG31" s="4" t="n"/>
      <c r="AH31" s="28">
        <f>IFERROR(AB31*INDEX(PARAMS_Trees,1,3)+AC31*INDEX(PARAMS_Trees,2,3)+AD31*INDEX(PARAMS_Trees,3,3)+AE31*INDEX(PARAMS_Trees,4,3)+AF31*INDEX(PARAMS_Trees,5,3)+AG31*INDEX(PARAMS_Trees,6,3),0)</f>
        <v/>
      </c>
      <c r="AI31" s="17">
        <f>IFERROR(K31+W31+AA31,0)</f>
        <v/>
      </c>
      <c r="AJ31" s="17">
        <f>IFERROR(IF(AND(D31="Permeable Pavement",E31="Enhanced"),INDEX(PARAMS_BMP,1,6),IF(AND(D31="Permeable Pavement",E31="Underdrained Enhanced"),INDEX(PARAMS_BMP,2,6),IF(AND(D31="Bioretention",E31="Standard"),INDEX(PARAMS_BMP,3,6),IF(AND(D31="Bioretention",E31="Enhanced"),INDEX(PARAMS_BMP,4,6),IF(AND(D31="Bioretention",E31="Enhanced w/ Underdrain"),INDEX(PARAMS_BMP,5,6),IF(AND(D31="Dry Swale",E31="—"),INDEX(PARAMS_BMP,6,6),IF(AND(D31="Wet Swale",E31="—"),INDEX(PARAMS_BMP,7,6),""))))))),"")</f>
        <v/>
      </c>
      <c r="AK31" s="17">
        <f>IFERROR(AI31*AJ31+AH31,0)</f>
        <v/>
      </c>
      <c r="AL31" s="17">
        <f>IFERROR(VLOOKUP(C31,'CDA'!$A$58:$D$67,4,FALSE),0)</f>
        <v/>
      </c>
      <c r="AM31" s="28">
        <f>IFERROR(IF(AL31=0,AK31,MIN(AK31,AL31)),0)</f>
        <v/>
      </c>
    </row>
    <row r="32">
      <c r="A32" s="4" t="n"/>
      <c r="B32" s="4" t="n"/>
      <c r="C32" s="4" t="n"/>
      <c r="D32" s="4" t="n"/>
      <c r="E32" s="27" t="n"/>
      <c r="F32" s="4" t="n"/>
      <c r="G32" s="4" t="n"/>
      <c r="H32" s="4" t="n"/>
      <c r="I32" s="4">
        <f>IFERROR(IF(OR(E32="Enhanced",E32="Underdrained Enhanced"),VLOOKUP(IF(SUMIFS('CDA'!$E$4:$E$53,'CDA'!$A$4:$A$53,C32,'CDA'!$D$4:$D$53,"D")&gt;0,"D",IF(SUMIFS('CDA'!$E$4:$E$53,'CDA'!$A$4:$A$53,C32,'CDA'!$D$4:$D$53,"C")&gt;0,"C",IF(SUMIFS('CDA'!$E$4:$E$53,'CDA'!$A$4:$A$53,C32,'CDA'!$D$4:$D$53,"B")&gt;0,"B",IF(SUMIFS('CDA'!$E$4:$E$53,'CDA'!$A$4:$A$53,C32,'CDA'!$D$4:$D$53,"A")&gt;0,"A","")))),PARAMS_Ksat,2,FALSE),0),0)</f>
        <v/>
      </c>
      <c r="J32" s="17">
        <f>IFERROR(IF(AND(D32="Permeable Pavement",E32="Enhanced"),INDEX(PARAMS_BMP,1,5),IF(AND(D32="Permeable Pavement",E32="Underdrained Enhanced"),INDEX(PARAMS_BMP,2,5),IF(AND(D32="Bioretention",E32="Standard"),INDEX(PARAMS_BMP,3,5),IF(AND(D32="Bioretention",E32="Enhanced"),INDEX(PARAMS_BMP,4,5),IF(AND(D32="Bioretention",E32="Enhanced w/ Underdrain"),INDEX(PARAMS_BMP,5,5),IF(AND(D32="Dry Swale",E32="—"),INDEX(PARAMS_BMP,6,5),IF(AND(D32="Wet Swale",E32="—"),INDEX(PARAMS_BMP,7,5),""))))))),"")</f>
        <v/>
      </c>
      <c r="K32" s="17">
        <f>IFERROR(F32*G32*J32,0)</f>
        <v/>
      </c>
      <c r="L32" s="17">
        <f>IFERROR(IF(I32=0,"",G32/I32),"")</f>
        <v/>
      </c>
      <c r="M32" s="28">
        <f>IFERROR(IF(L32="","",IF(L32&lt;=2,"✓","✗")),"")</f>
        <v/>
      </c>
      <c r="N32" s="4" t="n"/>
      <c r="O32" s="4" t="n"/>
      <c r="P32" s="17">
        <f>IFERROR((N32+O32)/2,0)</f>
        <v/>
      </c>
      <c r="Q32" s="4" t="n"/>
      <c r="R32" s="17">
        <f>IFERROR(IF(AND(D32="Permeable Pavement",E32="Enhanced"),INDEX(PARAMS_BMP,1,3),IF(AND(D32="Permeable Pavement",E32="Underdrained Enhanced"),INDEX(PARAMS_BMP,2,3),IF(AND(D32="Bioretention",E32="Standard"),INDEX(PARAMS_BMP,3,3),IF(AND(D32="Bioretention",E32="Enhanced"),INDEX(PARAMS_BMP,4,3),IF(AND(D32="Bioretention",E32="Enhanced w/ Underdrain"),INDEX(PARAMS_BMP,5,3),IF(AND(D32="Dry Swale",E32="—"),INDEX(PARAMS_BMP,6,3),IF(AND(D32="Wet Swale",E32="—"),INDEX(PARAMS_BMP,7,3),""))))))),"")</f>
        <v/>
      </c>
      <c r="S32" s="4" t="n"/>
      <c r="T32" s="17">
        <f>IFERROR(IF(AND(D32="Permeable Pavement",E32="Enhanced"),INDEX(PARAMS_BMP,1,4),IF(AND(D32="Permeable Pavement",E32="Underdrained Enhanced"),INDEX(PARAMS_BMP,2,4),IF(AND(D32="Bioretention",E32="Standard"),INDEX(PARAMS_BMP,3,4),IF(AND(D32="Bioretention",E32="Enhanced"),INDEX(PARAMS_BMP,4,4),IF(AND(D32="Bioretention",E32="Enhanced w/ Underdrain"),INDEX(PARAMS_BMP,5,4),IF(AND(D32="Dry Swale",E32="—"),INDEX(PARAMS_BMP,6,4),IF(AND(D32="Wet Swale",E32="—"),INDEX(PARAMS_BMP,7,4),""))))))),"")</f>
        <v/>
      </c>
      <c r="U32" s="4" t="n"/>
      <c r="V32" s="4">
        <f>IFERROR(IF(OR(E32="Enhanced",E32="Enhanced w/ Underdrain"),VLOOKUP(IF(SUMIFS('CDA'!$E$4:$E$53,'CDA'!$A$4:$A$53,C32,'CDA'!$D$4:$D$53,"D")&gt;0,"D",IF(SUMIFS('CDA'!$E$4:$E$53,'CDA'!$A$4:$A$53,C32,'CDA'!$D$4:$D$53,"C")&gt;0,"C",IF(SUMIFS('CDA'!$E$4:$E$53,'CDA'!$A$4:$A$53,C32,'CDA'!$D$4:$D$53,"B")&gt;0,"B",IF(SUMIFS('CDA'!$E$4:$E$53,'CDA'!$A$4:$A$53,C32,'CDA'!$D$4:$D$53,"A")&gt;0,"A","")))),PARAMS_Ksat,2,FALSE),0),0)</f>
        <v/>
      </c>
      <c r="W32" s="17">
        <f>IFERROR(P32*(Q32*R32+S32*T32+U32),0)</f>
        <v/>
      </c>
      <c r="X32" s="28">
        <f>IFERROR(IF(V32=0,"",(Q32+S32)/V32),"")</f>
        <v/>
      </c>
      <c r="Y32" s="4" t="n"/>
      <c r="Z32" s="4" t="n"/>
      <c r="AA32" s="28">
        <f>IFERROR(Y32+Z32,0)</f>
        <v/>
      </c>
      <c r="AB32" s="4" t="n"/>
      <c r="AC32" s="4" t="n"/>
      <c r="AD32" s="4" t="n"/>
      <c r="AE32" s="4" t="n"/>
      <c r="AF32" s="4" t="n"/>
      <c r="AG32" s="4" t="n"/>
      <c r="AH32" s="28">
        <f>IFERROR(AB32*INDEX(PARAMS_Trees,1,3)+AC32*INDEX(PARAMS_Trees,2,3)+AD32*INDEX(PARAMS_Trees,3,3)+AE32*INDEX(PARAMS_Trees,4,3)+AF32*INDEX(PARAMS_Trees,5,3)+AG32*INDEX(PARAMS_Trees,6,3),0)</f>
        <v/>
      </c>
      <c r="AI32" s="17">
        <f>IFERROR(K32+W32+AA32,0)</f>
        <v/>
      </c>
      <c r="AJ32" s="17">
        <f>IFERROR(IF(AND(D32="Permeable Pavement",E32="Enhanced"),INDEX(PARAMS_BMP,1,6),IF(AND(D32="Permeable Pavement",E32="Underdrained Enhanced"),INDEX(PARAMS_BMP,2,6),IF(AND(D32="Bioretention",E32="Standard"),INDEX(PARAMS_BMP,3,6),IF(AND(D32="Bioretention",E32="Enhanced"),INDEX(PARAMS_BMP,4,6),IF(AND(D32="Bioretention",E32="Enhanced w/ Underdrain"),INDEX(PARAMS_BMP,5,6),IF(AND(D32="Dry Swale",E32="—"),INDEX(PARAMS_BMP,6,6),IF(AND(D32="Wet Swale",E32="—"),INDEX(PARAMS_BMP,7,6),""))))))),"")</f>
        <v/>
      </c>
      <c r="AK32" s="17">
        <f>IFERROR(AI32*AJ32+AH32,0)</f>
        <v/>
      </c>
      <c r="AL32" s="17">
        <f>IFERROR(VLOOKUP(C32,'CDA'!$A$58:$D$67,4,FALSE),0)</f>
        <v/>
      </c>
      <c r="AM32" s="28">
        <f>IFERROR(IF(AL32=0,AK32,MIN(AK32,AL32)),0)</f>
        <v/>
      </c>
    </row>
    <row r="33">
      <c r="A33" s="4" t="n"/>
      <c r="B33" s="4" t="n"/>
      <c r="C33" s="4" t="n"/>
      <c r="D33" s="4" t="n"/>
      <c r="E33" s="27" t="n"/>
      <c r="F33" s="4" t="n"/>
      <c r="G33" s="4" t="n"/>
      <c r="H33" s="4" t="n"/>
      <c r="I33" s="4">
        <f>IFERROR(IF(OR(E33="Enhanced",E33="Underdrained Enhanced"),VLOOKUP(IF(SUMIFS('CDA'!$E$4:$E$53,'CDA'!$A$4:$A$53,C33,'CDA'!$D$4:$D$53,"D")&gt;0,"D",IF(SUMIFS('CDA'!$E$4:$E$53,'CDA'!$A$4:$A$53,C33,'CDA'!$D$4:$D$53,"C")&gt;0,"C",IF(SUMIFS('CDA'!$E$4:$E$53,'CDA'!$A$4:$A$53,C33,'CDA'!$D$4:$D$53,"B")&gt;0,"B",IF(SUMIFS('CDA'!$E$4:$E$53,'CDA'!$A$4:$A$53,C33,'CDA'!$D$4:$D$53,"A")&gt;0,"A","")))),PARAMS_Ksat,2,FALSE),0),0)</f>
        <v/>
      </c>
      <c r="J33" s="17">
        <f>IFERROR(IF(AND(D33="Permeable Pavement",E33="Enhanced"),INDEX(PARAMS_BMP,1,5),IF(AND(D33="Permeable Pavement",E33="Underdrained Enhanced"),INDEX(PARAMS_BMP,2,5),IF(AND(D33="Bioretention",E33="Standard"),INDEX(PARAMS_BMP,3,5),IF(AND(D33="Bioretention",E33="Enhanced"),INDEX(PARAMS_BMP,4,5),IF(AND(D33="Bioretention",E33="Enhanced w/ Underdrain"),INDEX(PARAMS_BMP,5,5),IF(AND(D33="Dry Swale",E33="—"),INDEX(PARAMS_BMP,6,5),IF(AND(D33="Wet Swale",E33="—"),INDEX(PARAMS_BMP,7,5),""))))))),"")</f>
        <v/>
      </c>
      <c r="K33" s="17">
        <f>IFERROR(F33*G33*J33,0)</f>
        <v/>
      </c>
      <c r="L33" s="17">
        <f>IFERROR(IF(I33=0,"",G33/I33),"")</f>
        <v/>
      </c>
      <c r="M33" s="28">
        <f>IFERROR(IF(L33="","",IF(L33&lt;=2,"✓","✗")),"")</f>
        <v/>
      </c>
      <c r="N33" s="4" t="n"/>
      <c r="O33" s="4" t="n"/>
      <c r="P33" s="17">
        <f>IFERROR((N33+O33)/2,0)</f>
        <v/>
      </c>
      <c r="Q33" s="4" t="n"/>
      <c r="R33" s="17">
        <f>IFERROR(IF(AND(D33="Permeable Pavement",E33="Enhanced"),INDEX(PARAMS_BMP,1,3),IF(AND(D33="Permeable Pavement",E33="Underdrained Enhanced"),INDEX(PARAMS_BMP,2,3),IF(AND(D33="Bioretention",E33="Standard"),INDEX(PARAMS_BMP,3,3),IF(AND(D33="Bioretention",E33="Enhanced"),INDEX(PARAMS_BMP,4,3),IF(AND(D33="Bioretention",E33="Enhanced w/ Underdrain"),INDEX(PARAMS_BMP,5,3),IF(AND(D33="Dry Swale",E33="—"),INDEX(PARAMS_BMP,6,3),IF(AND(D33="Wet Swale",E33="—"),INDEX(PARAMS_BMP,7,3),""))))))),"")</f>
        <v/>
      </c>
      <c r="S33" s="4" t="n"/>
      <c r="T33" s="17">
        <f>IFERROR(IF(AND(D33="Permeable Pavement",E33="Enhanced"),INDEX(PARAMS_BMP,1,4),IF(AND(D33="Permeable Pavement",E33="Underdrained Enhanced"),INDEX(PARAMS_BMP,2,4),IF(AND(D33="Bioretention",E33="Standard"),INDEX(PARAMS_BMP,3,4),IF(AND(D33="Bioretention",E33="Enhanced"),INDEX(PARAMS_BMP,4,4),IF(AND(D33="Bioretention",E33="Enhanced w/ Underdrain"),INDEX(PARAMS_BMP,5,4),IF(AND(D33="Dry Swale",E33="—"),INDEX(PARAMS_BMP,6,4),IF(AND(D33="Wet Swale",E33="—"),INDEX(PARAMS_BMP,7,4),""))))))),"")</f>
        <v/>
      </c>
      <c r="U33" s="4" t="n"/>
      <c r="V33" s="4">
        <f>IFERROR(IF(OR(E33="Enhanced",E33="Enhanced w/ Underdrain"),VLOOKUP(IF(SUMIFS('CDA'!$E$4:$E$53,'CDA'!$A$4:$A$53,C33,'CDA'!$D$4:$D$53,"D")&gt;0,"D",IF(SUMIFS('CDA'!$E$4:$E$53,'CDA'!$A$4:$A$53,C33,'CDA'!$D$4:$D$53,"C")&gt;0,"C",IF(SUMIFS('CDA'!$E$4:$E$53,'CDA'!$A$4:$A$53,C33,'CDA'!$D$4:$D$53,"B")&gt;0,"B",IF(SUMIFS('CDA'!$E$4:$E$53,'CDA'!$A$4:$A$53,C33,'CDA'!$D$4:$D$53,"A")&gt;0,"A","")))),PARAMS_Ksat,2,FALSE),0),0)</f>
        <v/>
      </c>
      <c r="W33" s="17">
        <f>IFERROR(P33*(Q33*R33+S33*T33+U33),0)</f>
        <v/>
      </c>
      <c r="X33" s="28">
        <f>IFERROR(IF(V33=0,"",(Q33+S33)/V33),"")</f>
        <v/>
      </c>
      <c r="Y33" s="4" t="n"/>
      <c r="Z33" s="4" t="n"/>
      <c r="AA33" s="28">
        <f>IFERROR(Y33+Z33,0)</f>
        <v/>
      </c>
      <c r="AB33" s="4" t="n"/>
      <c r="AC33" s="4" t="n"/>
      <c r="AD33" s="4" t="n"/>
      <c r="AE33" s="4" t="n"/>
      <c r="AF33" s="4" t="n"/>
      <c r="AG33" s="4" t="n"/>
      <c r="AH33" s="28">
        <f>IFERROR(AB33*INDEX(PARAMS_Trees,1,3)+AC33*INDEX(PARAMS_Trees,2,3)+AD33*INDEX(PARAMS_Trees,3,3)+AE33*INDEX(PARAMS_Trees,4,3)+AF33*INDEX(PARAMS_Trees,5,3)+AG33*INDEX(PARAMS_Trees,6,3),0)</f>
        <v/>
      </c>
      <c r="AI33" s="17">
        <f>IFERROR(K33+W33+AA33,0)</f>
        <v/>
      </c>
      <c r="AJ33" s="17">
        <f>IFERROR(IF(AND(D33="Permeable Pavement",E33="Enhanced"),INDEX(PARAMS_BMP,1,6),IF(AND(D33="Permeable Pavement",E33="Underdrained Enhanced"),INDEX(PARAMS_BMP,2,6),IF(AND(D33="Bioretention",E33="Standard"),INDEX(PARAMS_BMP,3,6),IF(AND(D33="Bioretention",E33="Enhanced"),INDEX(PARAMS_BMP,4,6),IF(AND(D33="Bioretention",E33="Enhanced w/ Underdrain"),INDEX(PARAMS_BMP,5,6),IF(AND(D33="Dry Swale",E33="—"),INDEX(PARAMS_BMP,6,6),IF(AND(D33="Wet Swale",E33="—"),INDEX(PARAMS_BMP,7,6),""))))))),"")</f>
        <v/>
      </c>
      <c r="AK33" s="17">
        <f>IFERROR(AI33*AJ33+AH33,0)</f>
        <v/>
      </c>
      <c r="AL33" s="17">
        <f>IFERROR(VLOOKUP(C33,'CDA'!$A$58:$D$67,4,FALSE),0)</f>
        <v/>
      </c>
      <c r="AM33" s="28">
        <f>IFERROR(IF(AL33=0,AK33,MIN(AK33,AL33)),0)</f>
        <v/>
      </c>
    </row>
    <row r="34">
      <c r="A34" s="4" t="n"/>
      <c r="B34" s="4" t="n"/>
      <c r="C34" s="4" t="n"/>
      <c r="D34" s="4" t="n"/>
      <c r="E34" s="27" t="n"/>
      <c r="F34" s="4" t="n"/>
      <c r="G34" s="4" t="n"/>
      <c r="H34" s="4" t="n"/>
      <c r="I34" s="4">
        <f>IFERROR(IF(OR(E34="Enhanced",E34="Underdrained Enhanced"),VLOOKUP(IF(SUMIFS('CDA'!$E$4:$E$53,'CDA'!$A$4:$A$53,C34,'CDA'!$D$4:$D$53,"D")&gt;0,"D",IF(SUMIFS('CDA'!$E$4:$E$53,'CDA'!$A$4:$A$53,C34,'CDA'!$D$4:$D$53,"C")&gt;0,"C",IF(SUMIFS('CDA'!$E$4:$E$53,'CDA'!$A$4:$A$53,C34,'CDA'!$D$4:$D$53,"B")&gt;0,"B",IF(SUMIFS('CDA'!$E$4:$E$53,'CDA'!$A$4:$A$53,C34,'CDA'!$D$4:$D$53,"A")&gt;0,"A","")))),PARAMS_Ksat,2,FALSE),0),0)</f>
        <v/>
      </c>
      <c r="J34" s="17">
        <f>IFERROR(IF(AND(D34="Permeable Pavement",E34="Enhanced"),INDEX(PARAMS_BMP,1,5),IF(AND(D34="Permeable Pavement",E34="Underdrained Enhanced"),INDEX(PARAMS_BMP,2,5),IF(AND(D34="Bioretention",E34="Standard"),INDEX(PARAMS_BMP,3,5),IF(AND(D34="Bioretention",E34="Enhanced"),INDEX(PARAMS_BMP,4,5),IF(AND(D34="Bioretention",E34="Enhanced w/ Underdrain"),INDEX(PARAMS_BMP,5,5),IF(AND(D34="Dry Swale",E34="—"),INDEX(PARAMS_BMP,6,5),IF(AND(D34="Wet Swale",E34="—"),INDEX(PARAMS_BMP,7,5),""))))))),"")</f>
        <v/>
      </c>
      <c r="K34" s="17">
        <f>IFERROR(F34*G34*J34,0)</f>
        <v/>
      </c>
      <c r="L34" s="17">
        <f>IFERROR(IF(I34=0,"",G34/I34),"")</f>
        <v/>
      </c>
      <c r="M34" s="28">
        <f>IFERROR(IF(L34="","",IF(L34&lt;=2,"✓","✗")),"")</f>
        <v/>
      </c>
      <c r="N34" s="4" t="n"/>
      <c r="O34" s="4" t="n"/>
      <c r="P34" s="17">
        <f>IFERROR((N34+O34)/2,0)</f>
        <v/>
      </c>
      <c r="Q34" s="4" t="n"/>
      <c r="R34" s="17">
        <f>IFERROR(IF(AND(D34="Permeable Pavement",E34="Enhanced"),INDEX(PARAMS_BMP,1,3),IF(AND(D34="Permeable Pavement",E34="Underdrained Enhanced"),INDEX(PARAMS_BMP,2,3),IF(AND(D34="Bioretention",E34="Standard"),INDEX(PARAMS_BMP,3,3),IF(AND(D34="Bioretention",E34="Enhanced"),INDEX(PARAMS_BMP,4,3),IF(AND(D34="Bioretention",E34="Enhanced w/ Underdrain"),INDEX(PARAMS_BMP,5,3),IF(AND(D34="Dry Swale",E34="—"),INDEX(PARAMS_BMP,6,3),IF(AND(D34="Wet Swale",E34="—"),INDEX(PARAMS_BMP,7,3),""))))))),"")</f>
        <v/>
      </c>
      <c r="S34" s="4" t="n"/>
      <c r="T34" s="17">
        <f>IFERROR(IF(AND(D34="Permeable Pavement",E34="Enhanced"),INDEX(PARAMS_BMP,1,4),IF(AND(D34="Permeable Pavement",E34="Underdrained Enhanced"),INDEX(PARAMS_BMP,2,4),IF(AND(D34="Bioretention",E34="Standard"),INDEX(PARAMS_BMP,3,4),IF(AND(D34="Bioretention",E34="Enhanced"),INDEX(PARAMS_BMP,4,4),IF(AND(D34="Bioretention",E34="Enhanced w/ Underdrain"),INDEX(PARAMS_BMP,5,4),IF(AND(D34="Dry Swale",E34="—"),INDEX(PARAMS_BMP,6,4),IF(AND(D34="Wet Swale",E34="—"),INDEX(PARAMS_BMP,7,4),""))))))),"")</f>
        <v/>
      </c>
      <c r="U34" s="4" t="n"/>
      <c r="V34" s="4">
        <f>IFERROR(IF(OR(E34="Enhanced",E34="Enhanced w/ Underdrain"),VLOOKUP(IF(SUMIFS('CDA'!$E$4:$E$53,'CDA'!$A$4:$A$53,C34,'CDA'!$D$4:$D$53,"D")&gt;0,"D",IF(SUMIFS('CDA'!$E$4:$E$53,'CDA'!$A$4:$A$53,C34,'CDA'!$D$4:$D$53,"C")&gt;0,"C",IF(SUMIFS('CDA'!$E$4:$E$53,'CDA'!$A$4:$A$53,C34,'CDA'!$D$4:$D$53,"B")&gt;0,"B",IF(SUMIFS('CDA'!$E$4:$E$53,'CDA'!$A$4:$A$53,C34,'CDA'!$D$4:$D$53,"A")&gt;0,"A","")))),PARAMS_Ksat,2,FALSE),0),0)</f>
        <v/>
      </c>
      <c r="W34" s="17">
        <f>IFERROR(P34*(Q34*R34+S34*T34+U34),0)</f>
        <v/>
      </c>
      <c r="X34" s="28">
        <f>IFERROR(IF(V34=0,"",(Q34+S34)/V34),"")</f>
        <v/>
      </c>
      <c r="Y34" s="4" t="n"/>
      <c r="Z34" s="4" t="n"/>
      <c r="AA34" s="28">
        <f>IFERROR(Y34+Z34,0)</f>
        <v/>
      </c>
      <c r="AB34" s="4" t="n"/>
      <c r="AC34" s="4" t="n"/>
      <c r="AD34" s="4" t="n"/>
      <c r="AE34" s="4" t="n"/>
      <c r="AF34" s="4" t="n"/>
      <c r="AG34" s="4" t="n"/>
      <c r="AH34" s="28">
        <f>IFERROR(AB34*INDEX(PARAMS_Trees,1,3)+AC34*INDEX(PARAMS_Trees,2,3)+AD34*INDEX(PARAMS_Trees,3,3)+AE34*INDEX(PARAMS_Trees,4,3)+AF34*INDEX(PARAMS_Trees,5,3)+AG34*INDEX(PARAMS_Trees,6,3),0)</f>
        <v/>
      </c>
      <c r="AI34" s="17">
        <f>IFERROR(K34+W34+AA34,0)</f>
        <v/>
      </c>
      <c r="AJ34" s="17">
        <f>IFERROR(IF(AND(D34="Permeable Pavement",E34="Enhanced"),INDEX(PARAMS_BMP,1,6),IF(AND(D34="Permeable Pavement",E34="Underdrained Enhanced"),INDEX(PARAMS_BMP,2,6),IF(AND(D34="Bioretention",E34="Standard"),INDEX(PARAMS_BMP,3,6),IF(AND(D34="Bioretention",E34="Enhanced"),INDEX(PARAMS_BMP,4,6),IF(AND(D34="Bioretention",E34="Enhanced w/ Underdrain"),INDEX(PARAMS_BMP,5,6),IF(AND(D34="Dry Swale",E34="—"),INDEX(PARAMS_BMP,6,6),IF(AND(D34="Wet Swale",E34="—"),INDEX(PARAMS_BMP,7,6),""))))))),"")</f>
        <v/>
      </c>
      <c r="AK34" s="17">
        <f>IFERROR(AI34*AJ34+AH34,0)</f>
        <v/>
      </c>
      <c r="AL34" s="17">
        <f>IFERROR(VLOOKUP(C34,'CDA'!$A$58:$D$67,4,FALSE),0)</f>
        <v/>
      </c>
      <c r="AM34" s="28">
        <f>IFERROR(IF(AL34=0,AK34,MIN(AK34,AL34)),0)</f>
        <v/>
      </c>
    </row>
    <row r="35">
      <c r="A35" s="4" t="n"/>
      <c r="B35" s="4" t="n"/>
      <c r="C35" s="4" t="n"/>
      <c r="D35" s="4" t="n"/>
      <c r="E35" s="27" t="n"/>
      <c r="F35" s="4" t="n"/>
      <c r="G35" s="4" t="n"/>
      <c r="H35" s="4" t="n"/>
      <c r="I35" s="4">
        <f>IFERROR(IF(OR(E35="Enhanced",E35="Underdrained Enhanced"),VLOOKUP(IF(SUMIFS('CDA'!$E$4:$E$53,'CDA'!$A$4:$A$53,C35,'CDA'!$D$4:$D$53,"D")&gt;0,"D",IF(SUMIFS('CDA'!$E$4:$E$53,'CDA'!$A$4:$A$53,C35,'CDA'!$D$4:$D$53,"C")&gt;0,"C",IF(SUMIFS('CDA'!$E$4:$E$53,'CDA'!$A$4:$A$53,C35,'CDA'!$D$4:$D$53,"B")&gt;0,"B",IF(SUMIFS('CDA'!$E$4:$E$53,'CDA'!$A$4:$A$53,C35,'CDA'!$D$4:$D$53,"A")&gt;0,"A","")))),PARAMS_Ksat,2,FALSE),0),0)</f>
        <v/>
      </c>
      <c r="J35" s="17">
        <f>IFERROR(IF(AND(D35="Permeable Pavement",E35="Enhanced"),INDEX(PARAMS_BMP,1,5),IF(AND(D35="Permeable Pavement",E35="Underdrained Enhanced"),INDEX(PARAMS_BMP,2,5),IF(AND(D35="Bioretention",E35="Standard"),INDEX(PARAMS_BMP,3,5),IF(AND(D35="Bioretention",E35="Enhanced"),INDEX(PARAMS_BMP,4,5),IF(AND(D35="Bioretention",E35="Enhanced w/ Underdrain"),INDEX(PARAMS_BMP,5,5),IF(AND(D35="Dry Swale",E35="—"),INDEX(PARAMS_BMP,6,5),IF(AND(D35="Wet Swale",E35="—"),INDEX(PARAMS_BMP,7,5),""))))))),"")</f>
        <v/>
      </c>
      <c r="K35" s="17">
        <f>IFERROR(F35*G35*J35,0)</f>
        <v/>
      </c>
      <c r="L35" s="17">
        <f>IFERROR(IF(I35=0,"",G35/I35),"")</f>
        <v/>
      </c>
      <c r="M35" s="28">
        <f>IFERROR(IF(L35="","",IF(L35&lt;=2,"✓","✗")),"")</f>
        <v/>
      </c>
      <c r="N35" s="4" t="n"/>
      <c r="O35" s="4" t="n"/>
      <c r="P35" s="17">
        <f>IFERROR((N35+O35)/2,0)</f>
        <v/>
      </c>
      <c r="Q35" s="4" t="n"/>
      <c r="R35" s="17">
        <f>IFERROR(IF(AND(D35="Permeable Pavement",E35="Enhanced"),INDEX(PARAMS_BMP,1,3),IF(AND(D35="Permeable Pavement",E35="Underdrained Enhanced"),INDEX(PARAMS_BMP,2,3),IF(AND(D35="Bioretention",E35="Standard"),INDEX(PARAMS_BMP,3,3),IF(AND(D35="Bioretention",E35="Enhanced"),INDEX(PARAMS_BMP,4,3),IF(AND(D35="Bioretention",E35="Enhanced w/ Underdrain"),INDEX(PARAMS_BMP,5,3),IF(AND(D35="Dry Swale",E35="—"),INDEX(PARAMS_BMP,6,3),IF(AND(D35="Wet Swale",E35="—"),INDEX(PARAMS_BMP,7,3),""))))))),"")</f>
        <v/>
      </c>
      <c r="S35" s="4" t="n"/>
      <c r="T35" s="17">
        <f>IFERROR(IF(AND(D35="Permeable Pavement",E35="Enhanced"),INDEX(PARAMS_BMP,1,4),IF(AND(D35="Permeable Pavement",E35="Underdrained Enhanced"),INDEX(PARAMS_BMP,2,4),IF(AND(D35="Bioretention",E35="Standard"),INDEX(PARAMS_BMP,3,4),IF(AND(D35="Bioretention",E35="Enhanced"),INDEX(PARAMS_BMP,4,4),IF(AND(D35="Bioretention",E35="Enhanced w/ Underdrain"),INDEX(PARAMS_BMP,5,4),IF(AND(D35="Dry Swale",E35="—"),INDEX(PARAMS_BMP,6,4),IF(AND(D35="Wet Swale",E35="—"),INDEX(PARAMS_BMP,7,4),""))))))),"")</f>
        <v/>
      </c>
      <c r="U35" s="4" t="n"/>
      <c r="V35" s="4">
        <f>IFERROR(IF(OR(E35="Enhanced",E35="Enhanced w/ Underdrain"),VLOOKUP(IF(SUMIFS('CDA'!$E$4:$E$53,'CDA'!$A$4:$A$53,C35,'CDA'!$D$4:$D$53,"D")&gt;0,"D",IF(SUMIFS('CDA'!$E$4:$E$53,'CDA'!$A$4:$A$53,C35,'CDA'!$D$4:$D$53,"C")&gt;0,"C",IF(SUMIFS('CDA'!$E$4:$E$53,'CDA'!$A$4:$A$53,C35,'CDA'!$D$4:$D$53,"B")&gt;0,"B",IF(SUMIFS('CDA'!$E$4:$E$53,'CDA'!$A$4:$A$53,C35,'CDA'!$D$4:$D$53,"A")&gt;0,"A","")))),PARAMS_Ksat,2,FALSE),0),0)</f>
        <v/>
      </c>
      <c r="W35" s="17">
        <f>IFERROR(P35*(Q35*R35+S35*T35+U35),0)</f>
        <v/>
      </c>
      <c r="X35" s="28">
        <f>IFERROR(IF(V35=0,"",(Q35+S35)/V35),"")</f>
        <v/>
      </c>
      <c r="Y35" s="4" t="n"/>
      <c r="Z35" s="4" t="n"/>
      <c r="AA35" s="28">
        <f>IFERROR(Y35+Z35,0)</f>
        <v/>
      </c>
      <c r="AB35" s="4" t="n"/>
      <c r="AC35" s="4" t="n"/>
      <c r="AD35" s="4" t="n"/>
      <c r="AE35" s="4" t="n"/>
      <c r="AF35" s="4" t="n"/>
      <c r="AG35" s="4" t="n"/>
      <c r="AH35" s="28">
        <f>IFERROR(AB35*INDEX(PARAMS_Trees,1,3)+AC35*INDEX(PARAMS_Trees,2,3)+AD35*INDEX(PARAMS_Trees,3,3)+AE35*INDEX(PARAMS_Trees,4,3)+AF35*INDEX(PARAMS_Trees,5,3)+AG35*INDEX(PARAMS_Trees,6,3),0)</f>
        <v/>
      </c>
      <c r="AI35" s="17">
        <f>IFERROR(K35+W35+AA35,0)</f>
        <v/>
      </c>
      <c r="AJ35" s="17">
        <f>IFERROR(IF(AND(D35="Permeable Pavement",E35="Enhanced"),INDEX(PARAMS_BMP,1,6),IF(AND(D35="Permeable Pavement",E35="Underdrained Enhanced"),INDEX(PARAMS_BMP,2,6),IF(AND(D35="Bioretention",E35="Standard"),INDEX(PARAMS_BMP,3,6),IF(AND(D35="Bioretention",E35="Enhanced"),INDEX(PARAMS_BMP,4,6),IF(AND(D35="Bioretention",E35="Enhanced w/ Underdrain"),INDEX(PARAMS_BMP,5,6),IF(AND(D35="Dry Swale",E35="—"),INDEX(PARAMS_BMP,6,6),IF(AND(D35="Wet Swale",E35="—"),INDEX(PARAMS_BMP,7,6),""))))))),"")</f>
        <v/>
      </c>
      <c r="AK35" s="17">
        <f>IFERROR(AI35*AJ35+AH35,0)</f>
        <v/>
      </c>
      <c r="AL35" s="17">
        <f>IFERROR(VLOOKUP(C35,'CDA'!$A$58:$D$67,4,FALSE),0)</f>
        <v/>
      </c>
      <c r="AM35" s="28">
        <f>IFERROR(IF(AL35=0,AK35,MIN(AK35,AL35)),0)</f>
        <v/>
      </c>
    </row>
    <row r="36">
      <c r="A36" s="4" t="n"/>
      <c r="B36" s="4" t="n"/>
      <c r="C36" s="4" t="n"/>
      <c r="D36" s="4" t="n"/>
      <c r="E36" s="27" t="n"/>
      <c r="F36" s="4" t="n"/>
      <c r="G36" s="4" t="n"/>
      <c r="H36" s="4" t="n"/>
      <c r="I36" s="4">
        <f>IFERROR(IF(OR(E36="Enhanced",E36="Underdrained Enhanced"),VLOOKUP(IF(SUMIFS('CDA'!$E$4:$E$53,'CDA'!$A$4:$A$53,C36,'CDA'!$D$4:$D$53,"D")&gt;0,"D",IF(SUMIFS('CDA'!$E$4:$E$53,'CDA'!$A$4:$A$53,C36,'CDA'!$D$4:$D$53,"C")&gt;0,"C",IF(SUMIFS('CDA'!$E$4:$E$53,'CDA'!$A$4:$A$53,C36,'CDA'!$D$4:$D$53,"B")&gt;0,"B",IF(SUMIFS('CDA'!$E$4:$E$53,'CDA'!$A$4:$A$53,C36,'CDA'!$D$4:$D$53,"A")&gt;0,"A","")))),PARAMS_Ksat,2,FALSE),0),0)</f>
        <v/>
      </c>
      <c r="J36" s="17">
        <f>IFERROR(IF(AND(D36="Permeable Pavement",E36="Enhanced"),INDEX(PARAMS_BMP,1,5),IF(AND(D36="Permeable Pavement",E36="Underdrained Enhanced"),INDEX(PARAMS_BMP,2,5),IF(AND(D36="Bioretention",E36="Standard"),INDEX(PARAMS_BMP,3,5),IF(AND(D36="Bioretention",E36="Enhanced"),INDEX(PARAMS_BMP,4,5),IF(AND(D36="Bioretention",E36="Enhanced w/ Underdrain"),INDEX(PARAMS_BMP,5,5),IF(AND(D36="Dry Swale",E36="—"),INDEX(PARAMS_BMP,6,5),IF(AND(D36="Wet Swale",E36="—"),INDEX(PARAMS_BMP,7,5),""))))))),"")</f>
        <v/>
      </c>
      <c r="K36" s="17">
        <f>IFERROR(F36*G36*J36,0)</f>
        <v/>
      </c>
      <c r="L36" s="17">
        <f>IFERROR(IF(I36=0,"",G36/I36),"")</f>
        <v/>
      </c>
      <c r="M36" s="28">
        <f>IFERROR(IF(L36="","",IF(L36&lt;=2,"✓","✗")),"")</f>
        <v/>
      </c>
      <c r="N36" s="4" t="n"/>
      <c r="O36" s="4" t="n"/>
      <c r="P36" s="17">
        <f>IFERROR((N36+O36)/2,0)</f>
        <v/>
      </c>
      <c r="Q36" s="4" t="n"/>
      <c r="R36" s="17">
        <f>IFERROR(IF(AND(D36="Permeable Pavement",E36="Enhanced"),INDEX(PARAMS_BMP,1,3),IF(AND(D36="Permeable Pavement",E36="Underdrained Enhanced"),INDEX(PARAMS_BMP,2,3),IF(AND(D36="Bioretention",E36="Standard"),INDEX(PARAMS_BMP,3,3),IF(AND(D36="Bioretention",E36="Enhanced"),INDEX(PARAMS_BMP,4,3),IF(AND(D36="Bioretention",E36="Enhanced w/ Underdrain"),INDEX(PARAMS_BMP,5,3),IF(AND(D36="Dry Swale",E36="—"),INDEX(PARAMS_BMP,6,3),IF(AND(D36="Wet Swale",E36="—"),INDEX(PARAMS_BMP,7,3),""))))))),"")</f>
        <v/>
      </c>
      <c r="S36" s="4" t="n"/>
      <c r="T36" s="17">
        <f>IFERROR(IF(AND(D36="Permeable Pavement",E36="Enhanced"),INDEX(PARAMS_BMP,1,4),IF(AND(D36="Permeable Pavement",E36="Underdrained Enhanced"),INDEX(PARAMS_BMP,2,4),IF(AND(D36="Bioretention",E36="Standard"),INDEX(PARAMS_BMP,3,4),IF(AND(D36="Bioretention",E36="Enhanced"),INDEX(PARAMS_BMP,4,4),IF(AND(D36="Bioretention",E36="Enhanced w/ Underdrain"),INDEX(PARAMS_BMP,5,4),IF(AND(D36="Dry Swale",E36="—"),INDEX(PARAMS_BMP,6,4),IF(AND(D36="Wet Swale",E36="—"),INDEX(PARAMS_BMP,7,4),""))))))),"")</f>
        <v/>
      </c>
      <c r="U36" s="4" t="n"/>
      <c r="V36" s="4">
        <f>IFERROR(IF(OR(E36="Enhanced",E36="Enhanced w/ Underdrain"),VLOOKUP(IF(SUMIFS('CDA'!$E$4:$E$53,'CDA'!$A$4:$A$53,C36,'CDA'!$D$4:$D$53,"D")&gt;0,"D",IF(SUMIFS('CDA'!$E$4:$E$53,'CDA'!$A$4:$A$53,C36,'CDA'!$D$4:$D$53,"C")&gt;0,"C",IF(SUMIFS('CDA'!$E$4:$E$53,'CDA'!$A$4:$A$53,C36,'CDA'!$D$4:$D$53,"B")&gt;0,"B",IF(SUMIFS('CDA'!$E$4:$E$53,'CDA'!$A$4:$A$53,C36,'CDA'!$D$4:$D$53,"A")&gt;0,"A","")))),PARAMS_Ksat,2,FALSE),0),0)</f>
        <v/>
      </c>
      <c r="W36" s="17">
        <f>IFERROR(P36*(Q36*R36+S36*T36+U36),0)</f>
        <v/>
      </c>
      <c r="X36" s="28">
        <f>IFERROR(IF(V36=0,"",(Q36+S36)/V36),"")</f>
        <v/>
      </c>
      <c r="Y36" s="4" t="n"/>
      <c r="Z36" s="4" t="n"/>
      <c r="AA36" s="28">
        <f>IFERROR(Y36+Z36,0)</f>
        <v/>
      </c>
      <c r="AB36" s="4" t="n"/>
      <c r="AC36" s="4" t="n"/>
      <c r="AD36" s="4" t="n"/>
      <c r="AE36" s="4" t="n"/>
      <c r="AF36" s="4" t="n"/>
      <c r="AG36" s="4" t="n"/>
      <c r="AH36" s="28">
        <f>IFERROR(AB36*INDEX(PARAMS_Trees,1,3)+AC36*INDEX(PARAMS_Trees,2,3)+AD36*INDEX(PARAMS_Trees,3,3)+AE36*INDEX(PARAMS_Trees,4,3)+AF36*INDEX(PARAMS_Trees,5,3)+AG36*INDEX(PARAMS_Trees,6,3),0)</f>
        <v/>
      </c>
      <c r="AI36" s="17">
        <f>IFERROR(K36+W36+AA36,0)</f>
        <v/>
      </c>
      <c r="AJ36" s="17">
        <f>IFERROR(IF(AND(D36="Permeable Pavement",E36="Enhanced"),INDEX(PARAMS_BMP,1,6),IF(AND(D36="Permeable Pavement",E36="Underdrained Enhanced"),INDEX(PARAMS_BMP,2,6),IF(AND(D36="Bioretention",E36="Standard"),INDEX(PARAMS_BMP,3,6),IF(AND(D36="Bioretention",E36="Enhanced"),INDEX(PARAMS_BMP,4,6),IF(AND(D36="Bioretention",E36="Enhanced w/ Underdrain"),INDEX(PARAMS_BMP,5,6),IF(AND(D36="Dry Swale",E36="—"),INDEX(PARAMS_BMP,6,6),IF(AND(D36="Wet Swale",E36="—"),INDEX(PARAMS_BMP,7,6),""))))))),"")</f>
        <v/>
      </c>
      <c r="AK36" s="17">
        <f>IFERROR(AI36*AJ36+AH36,0)</f>
        <v/>
      </c>
      <c r="AL36" s="17">
        <f>IFERROR(VLOOKUP(C36,'CDA'!$A$58:$D$67,4,FALSE),0)</f>
        <v/>
      </c>
      <c r="AM36" s="28">
        <f>IFERROR(IF(AL36=0,AK36,MIN(AK36,AL36)),0)</f>
        <v/>
      </c>
    </row>
    <row r="37">
      <c r="A37" s="4" t="n"/>
      <c r="B37" s="4" t="n"/>
      <c r="C37" s="4" t="n"/>
      <c r="D37" s="4" t="n"/>
      <c r="E37" s="27" t="n"/>
      <c r="F37" s="4" t="n"/>
      <c r="G37" s="4" t="n"/>
      <c r="H37" s="4" t="n"/>
      <c r="I37" s="4">
        <f>IFERROR(IF(OR(E37="Enhanced",E37="Underdrained Enhanced"),VLOOKUP(IF(SUMIFS('CDA'!$E$4:$E$53,'CDA'!$A$4:$A$53,C37,'CDA'!$D$4:$D$53,"D")&gt;0,"D",IF(SUMIFS('CDA'!$E$4:$E$53,'CDA'!$A$4:$A$53,C37,'CDA'!$D$4:$D$53,"C")&gt;0,"C",IF(SUMIFS('CDA'!$E$4:$E$53,'CDA'!$A$4:$A$53,C37,'CDA'!$D$4:$D$53,"B")&gt;0,"B",IF(SUMIFS('CDA'!$E$4:$E$53,'CDA'!$A$4:$A$53,C37,'CDA'!$D$4:$D$53,"A")&gt;0,"A","")))),PARAMS_Ksat,2,FALSE),0),0)</f>
        <v/>
      </c>
      <c r="J37" s="17">
        <f>IFERROR(IF(AND(D37="Permeable Pavement",E37="Enhanced"),INDEX(PARAMS_BMP,1,5),IF(AND(D37="Permeable Pavement",E37="Underdrained Enhanced"),INDEX(PARAMS_BMP,2,5),IF(AND(D37="Bioretention",E37="Standard"),INDEX(PARAMS_BMP,3,5),IF(AND(D37="Bioretention",E37="Enhanced"),INDEX(PARAMS_BMP,4,5),IF(AND(D37="Bioretention",E37="Enhanced w/ Underdrain"),INDEX(PARAMS_BMP,5,5),IF(AND(D37="Dry Swale",E37="—"),INDEX(PARAMS_BMP,6,5),IF(AND(D37="Wet Swale",E37="—"),INDEX(PARAMS_BMP,7,5),""))))))),"")</f>
        <v/>
      </c>
      <c r="K37" s="17">
        <f>IFERROR(F37*G37*J37,0)</f>
        <v/>
      </c>
      <c r="L37" s="17">
        <f>IFERROR(IF(I37=0,"",G37/I37),"")</f>
        <v/>
      </c>
      <c r="M37" s="28">
        <f>IFERROR(IF(L37="","",IF(L37&lt;=2,"✓","✗")),"")</f>
        <v/>
      </c>
      <c r="N37" s="4" t="n"/>
      <c r="O37" s="4" t="n"/>
      <c r="P37" s="17">
        <f>IFERROR((N37+O37)/2,0)</f>
        <v/>
      </c>
      <c r="Q37" s="4" t="n"/>
      <c r="R37" s="17">
        <f>IFERROR(IF(AND(D37="Permeable Pavement",E37="Enhanced"),INDEX(PARAMS_BMP,1,3),IF(AND(D37="Permeable Pavement",E37="Underdrained Enhanced"),INDEX(PARAMS_BMP,2,3),IF(AND(D37="Bioretention",E37="Standard"),INDEX(PARAMS_BMP,3,3),IF(AND(D37="Bioretention",E37="Enhanced"),INDEX(PARAMS_BMP,4,3),IF(AND(D37="Bioretention",E37="Enhanced w/ Underdrain"),INDEX(PARAMS_BMP,5,3),IF(AND(D37="Dry Swale",E37="—"),INDEX(PARAMS_BMP,6,3),IF(AND(D37="Wet Swale",E37="—"),INDEX(PARAMS_BMP,7,3),""))))))),"")</f>
        <v/>
      </c>
      <c r="S37" s="4" t="n"/>
      <c r="T37" s="17">
        <f>IFERROR(IF(AND(D37="Permeable Pavement",E37="Enhanced"),INDEX(PARAMS_BMP,1,4),IF(AND(D37="Permeable Pavement",E37="Underdrained Enhanced"),INDEX(PARAMS_BMP,2,4),IF(AND(D37="Bioretention",E37="Standard"),INDEX(PARAMS_BMP,3,4),IF(AND(D37="Bioretention",E37="Enhanced"),INDEX(PARAMS_BMP,4,4),IF(AND(D37="Bioretention",E37="Enhanced w/ Underdrain"),INDEX(PARAMS_BMP,5,4),IF(AND(D37="Dry Swale",E37="—"),INDEX(PARAMS_BMP,6,4),IF(AND(D37="Wet Swale",E37="—"),INDEX(PARAMS_BMP,7,4),""))))))),"")</f>
        <v/>
      </c>
      <c r="U37" s="4" t="n"/>
      <c r="V37" s="4">
        <f>IFERROR(IF(OR(E37="Enhanced",E37="Enhanced w/ Underdrain"),VLOOKUP(IF(SUMIFS('CDA'!$E$4:$E$53,'CDA'!$A$4:$A$53,C37,'CDA'!$D$4:$D$53,"D")&gt;0,"D",IF(SUMIFS('CDA'!$E$4:$E$53,'CDA'!$A$4:$A$53,C37,'CDA'!$D$4:$D$53,"C")&gt;0,"C",IF(SUMIFS('CDA'!$E$4:$E$53,'CDA'!$A$4:$A$53,C37,'CDA'!$D$4:$D$53,"B")&gt;0,"B",IF(SUMIFS('CDA'!$E$4:$E$53,'CDA'!$A$4:$A$53,C37,'CDA'!$D$4:$D$53,"A")&gt;0,"A","")))),PARAMS_Ksat,2,FALSE),0),0)</f>
        <v/>
      </c>
      <c r="W37" s="17">
        <f>IFERROR(P37*(Q37*R37+S37*T37+U37),0)</f>
        <v/>
      </c>
      <c r="X37" s="28">
        <f>IFERROR(IF(V37=0,"",(Q37+S37)/V37),"")</f>
        <v/>
      </c>
      <c r="Y37" s="4" t="n"/>
      <c r="Z37" s="4" t="n"/>
      <c r="AA37" s="28">
        <f>IFERROR(Y37+Z37,0)</f>
        <v/>
      </c>
      <c r="AB37" s="4" t="n"/>
      <c r="AC37" s="4" t="n"/>
      <c r="AD37" s="4" t="n"/>
      <c r="AE37" s="4" t="n"/>
      <c r="AF37" s="4" t="n"/>
      <c r="AG37" s="4" t="n"/>
      <c r="AH37" s="28">
        <f>IFERROR(AB37*INDEX(PARAMS_Trees,1,3)+AC37*INDEX(PARAMS_Trees,2,3)+AD37*INDEX(PARAMS_Trees,3,3)+AE37*INDEX(PARAMS_Trees,4,3)+AF37*INDEX(PARAMS_Trees,5,3)+AG37*INDEX(PARAMS_Trees,6,3),0)</f>
        <v/>
      </c>
      <c r="AI37" s="17">
        <f>IFERROR(K37+W37+AA37,0)</f>
        <v/>
      </c>
      <c r="AJ37" s="17">
        <f>IFERROR(IF(AND(D37="Permeable Pavement",E37="Enhanced"),INDEX(PARAMS_BMP,1,6),IF(AND(D37="Permeable Pavement",E37="Underdrained Enhanced"),INDEX(PARAMS_BMP,2,6),IF(AND(D37="Bioretention",E37="Standard"),INDEX(PARAMS_BMP,3,6),IF(AND(D37="Bioretention",E37="Enhanced"),INDEX(PARAMS_BMP,4,6),IF(AND(D37="Bioretention",E37="Enhanced w/ Underdrain"),INDEX(PARAMS_BMP,5,6),IF(AND(D37="Dry Swale",E37="—"),INDEX(PARAMS_BMP,6,6),IF(AND(D37="Wet Swale",E37="—"),INDEX(PARAMS_BMP,7,6),""))))))),"")</f>
        <v/>
      </c>
      <c r="AK37" s="17">
        <f>IFERROR(AI37*AJ37+AH37,0)</f>
        <v/>
      </c>
      <c r="AL37" s="17">
        <f>IFERROR(VLOOKUP(C37,'CDA'!$A$58:$D$67,4,FALSE),0)</f>
        <v/>
      </c>
      <c r="AM37" s="28">
        <f>IFERROR(IF(AL37=0,AK37,MIN(AK37,AL37)),0)</f>
        <v/>
      </c>
    </row>
    <row r="38">
      <c r="A38" s="4" t="n"/>
      <c r="B38" s="4" t="n"/>
      <c r="C38" s="4" t="n"/>
      <c r="D38" s="4" t="n"/>
      <c r="E38" s="27" t="n"/>
      <c r="F38" s="4" t="n"/>
      <c r="G38" s="4" t="n"/>
      <c r="H38" s="4" t="n"/>
      <c r="I38" s="4">
        <f>IFERROR(IF(OR(E38="Enhanced",E38="Underdrained Enhanced"),VLOOKUP(IF(SUMIFS('CDA'!$E$4:$E$53,'CDA'!$A$4:$A$53,C38,'CDA'!$D$4:$D$53,"D")&gt;0,"D",IF(SUMIFS('CDA'!$E$4:$E$53,'CDA'!$A$4:$A$53,C38,'CDA'!$D$4:$D$53,"C")&gt;0,"C",IF(SUMIFS('CDA'!$E$4:$E$53,'CDA'!$A$4:$A$53,C38,'CDA'!$D$4:$D$53,"B")&gt;0,"B",IF(SUMIFS('CDA'!$E$4:$E$53,'CDA'!$A$4:$A$53,C38,'CDA'!$D$4:$D$53,"A")&gt;0,"A","")))),PARAMS_Ksat,2,FALSE),0),0)</f>
        <v/>
      </c>
      <c r="J38" s="17">
        <f>IFERROR(IF(AND(D38="Permeable Pavement",E38="Enhanced"),INDEX(PARAMS_BMP,1,5),IF(AND(D38="Permeable Pavement",E38="Underdrained Enhanced"),INDEX(PARAMS_BMP,2,5),IF(AND(D38="Bioretention",E38="Standard"),INDEX(PARAMS_BMP,3,5),IF(AND(D38="Bioretention",E38="Enhanced"),INDEX(PARAMS_BMP,4,5),IF(AND(D38="Bioretention",E38="Enhanced w/ Underdrain"),INDEX(PARAMS_BMP,5,5),IF(AND(D38="Dry Swale",E38="—"),INDEX(PARAMS_BMP,6,5),IF(AND(D38="Wet Swale",E38="—"),INDEX(PARAMS_BMP,7,5),""))))))),"")</f>
        <v/>
      </c>
      <c r="K38" s="17">
        <f>IFERROR(F38*G38*J38,0)</f>
        <v/>
      </c>
      <c r="L38" s="17">
        <f>IFERROR(IF(I38=0,"",G38/I38),"")</f>
        <v/>
      </c>
      <c r="M38" s="28">
        <f>IFERROR(IF(L38="","",IF(L38&lt;=2,"✓","✗")),"")</f>
        <v/>
      </c>
      <c r="N38" s="4" t="n"/>
      <c r="O38" s="4" t="n"/>
      <c r="P38" s="17">
        <f>IFERROR((N38+O38)/2,0)</f>
        <v/>
      </c>
      <c r="Q38" s="4" t="n"/>
      <c r="R38" s="17">
        <f>IFERROR(IF(AND(D38="Permeable Pavement",E38="Enhanced"),INDEX(PARAMS_BMP,1,3),IF(AND(D38="Permeable Pavement",E38="Underdrained Enhanced"),INDEX(PARAMS_BMP,2,3),IF(AND(D38="Bioretention",E38="Standard"),INDEX(PARAMS_BMP,3,3),IF(AND(D38="Bioretention",E38="Enhanced"),INDEX(PARAMS_BMP,4,3),IF(AND(D38="Bioretention",E38="Enhanced w/ Underdrain"),INDEX(PARAMS_BMP,5,3),IF(AND(D38="Dry Swale",E38="—"),INDEX(PARAMS_BMP,6,3),IF(AND(D38="Wet Swale",E38="—"),INDEX(PARAMS_BMP,7,3),""))))))),"")</f>
        <v/>
      </c>
      <c r="S38" s="4" t="n"/>
      <c r="T38" s="17">
        <f>IFERROR(IF(AND(D38="Permeable Pavement",E38="Enhanced"),INDEX(PARAMS_BMP,1,4),IF(AND(D38="Permeable Pavement",E38="Underdrained Enhanced"),INDEX(PARAMS_BMP,2,4),IF(AND(D38="Bioretention",E38="Standard"),INDEX(PARAMS_BMP,3,4),IF(AND(D38="Bioretention",E38="Enhanced"),INDEX(PARAMS_BMP,4,4),IF(AND(D38="Bioretention",E38="Enhanced w/ Underdrain"),INDEX(PARAMS_BMP,5,4),IF(AND(D38="Dry Swale",E38="—"),INDEX(PARAMS_BMP,6,4),IF(AND(D38="Wet Swale",E38="—"),INDEX(PARAMS_BMP,7,4),""))))))),"")</f>
        <v/>
      </c>
      <c r="U38" s="4" t="n"/>
      <c r="V38" s="4">
        <f>IFERROR(IF(OR(E38="Enhanced",E38="Enhanced w/ Underdrain"),VLOOKUP(IF(SUMIFS('CDA'!$E$4:$E$53,'CDA'!$A$4:$A$53,C38,'CDA'!$D$4:$D$53,"D")&gt;0,"D",IF(SUMIFS('CDA'!$E$4:$E$53,'CDA'!$A$4:$A$53,C38,'CDA'!$D$4:$D$53,"C")&gt;0,"C",IF(SUMIFS('CDA'!$E$4:$E$53,'CDA'!$A$4:$A$53,C38,'CDA'!$D$4:$D$53,"B")&gt;0,"B",IF(SUMIFS('CDA'!$E$4:$E$53,'CDA'!$A$4:$A$53,C38,'CDA'!$D$4:$D$53,"A")&gt;0,"A","")))),PARAMS_Ksat,2,FALSE),0),0)</f>
        <v/>
      </c>
      <c r="W38" s="17">
        <f>IFERROR(P38*(Q38*R38+S38*T38+U38),0)</f>
        <v/>
      </c>
      <c r="X38" s="28">
        <f>IFERROR(IF(V38=0,"",(Q38+S38)/V38),"")</f>
        <v/>
      </c>
      <c r="Y38" s="4" t="n"/>
      <c r="Z38" s="4" t="n"/>
      <c r="AA38" s="28">
        <f>IFERROR(Y38+Z38,0)</f>
        <v/>
      </c>
      <c r="AB38" s="4" t="n"/>
      <c r="AC38" s="4" t="n"/>
      <c r="AD38" s="4" t="n"/>
      <c r="AE38" s="4" t="n"/>
      <c r="AF38" s="4" t="n"/>
      <c r="AG38" s="4" t="n"/>
      <c r="AH38" s="28">
        <f>IFERROR(AB38*INDEX(PARAMS_Trees,1,3)+AC38*INDEX(PARAMS_Trees,2,3)+AD38*INDEX(PARAMS_Trees,3,3)+AE38*INDEX(PARAMS_Trees,4,3)+AF38*INDEX(PARAMS_Trees,5,3)+AG38*INDEX(PARAMS_Trees,6,3),0)</f>
        <v/>
      </c>
      <c r="AI38" s="17">
        <f>IFERROR(K38+W38+AA38,0)</f>
        <v/>
      </c>
      <c r="AJ38" s="17">
        <f>IFERROR(IF(AND(D38="Permeable Pavement",E38="Enhanced"),INDEX(PARAMS_BMP,1,6),IF(AND(D38="Permeable Pavement",E38="Underdrained Enhanced"),INDEX(PARAMS_BMP,2,6),IF(AND(D38="Bioretention",E38="Standard"),INDEX(PARAMS_BMP,3,6),IF(AND(D38="Bioretention",E38="Enhanced"),INDEX(PARAMS_BMP,4,6),IF(AND(D38="Bioretention",E38="Enhanced w/ Underdrain"),INDEX(PARAMS_BMP,5,6),IF(AND(D38="Dry Swale",E38="—"),INDEX(PARAMS_BMP,6,6),IF(AND(D38="Wet Swale",E38="—"),INDEX(PARAMS_BMP,7,6),""))))))),"")</f>
        <v/>
      </c>
      <c r="AK38" s="17">
        <f>IFERROR(AI38*AJ38+AH38,0)</f>
        <v/>
      </c>
      <c r="AL38" s="17">
        <f>IFERROR(VLOOKUP(C38,'CDA'!$A$58:$D$67,4,FALSE),0)</f>
        <v/>
      </c>
      <c r="AM38" s="28">
        <f>IFERROR(IF(AL38=0,AK38,MIN(AK38,AL38)),0)</f>
        <v/>
      </c>
    </row>
    <row r="39">
      <c r="A39" s="4" t="n"/>
      <c r="B39" s="4" t="n"/>
      <c r="C39" s="4" t="n"/>
      <c r="D39" s="4" t="n"/>
      <c r="E39" s="27" t="n"/>
      <c r="F39" s="4" t="n"/>
      <c r="G39" s="4" t="n"/>
      <c r="H39" s="4" t="n"/>
      <c r="I39" s="4">
        <f>IFERROR(IF(OR(E39="Enhanced",E39="Underdrained Enhanced"),VLOOKUP(IF(SUMIFS('CDA'!$E$4:$E$53,'CDA'!$A$4:$A$53,C39,'CDA'!$D$4:$D$53,"D")&gt;0,"D",IF(SUMIFS('CDA'!$E$4:$E$53,'CDA'!$A$4:$A$53,C39,'CDA'!$D$4:$D$53,"C")&gt;0,"C",IF(SUMIFS('CDA'!$E$4:$E$53,'CDA'!$A$4:$A$53,C39,'CDA'!$D$4:$D$53,"B")&gt;0,"B",IF(SUMIFS('CDA'!$E$4:$E$53,'CDA'!$A$4:$A$53,C39,'CDA'!$D$4:$D$53,"A")&gt;0,"A","")))),PARAMS_Ksat,2,FALSE),0),0)</f>
        <v/>
      </c>
      <c r="J39" s="17">
        <f>IFERROR(IF(AND(D39="Permeable Pavement",E39="Enhanced"),INDEX(PARAMS_BMP,1,5),IF(AND(D39="Permeable Pavement",E39="Underdrained Enhanced"),INDEX(PARAMS_BMP,2,5),IF(AND(D39="Bioretention",E39="Standard"),INDEX(PARAMS_BMP,3,5),IF(AND(D39="Bioretention",E39="Enhanced"),INDEX(PARAMS_BMP,4,5),IF(AND(D39="Bioretention",E39="Enhanced w/ Underdrain"),INDEX(PARAMS_BMP,5,5),IF(AND(D39="Dry Swale",E39="—"),INDEX(PARAMS_BMP,6,5),IF(AND(D39="Wet Swale",E39="—"),INDEX(PARAMS_BMP,7,5),""))))))),"")</f>
        <v/>
      </c>
      <c r="K39" s="17">
        <f>IFERROR(F39*G39*J39,0)</f>
        <v/>
      </c>
      <c r="L39" s="17">
        <f>IFERROR(IF(I39=0,"",G39/I39),"")</f>
        <v/>
      </c>
      <c r="M39" s="28">
        <f>IFERROR(IF(L39="","",IF(L39&lt;=2,"✓","✗")),"")</f>
        <v/>
      </c>
      <c r="N39" s="4" t="n"/>
      <c r="O39" s="4" t="n"/>
      <c r="P39" s="17">
        <f>IFERROR((N39+O39)/2,0)</f>
        <v/>
      </c>
      <c r="Q39" s="4" t="n"/>
      <c r="R39" s="17">
        <f>IFERROR(IF(AND(D39="Permeable Pavement",E39="Enhanced"),INDEX(PARAMS_BMP,1,3),IF(AND(D39="Permeable Pavement",E39="Underdrained Enhanced"),INDEX(PARAMS_BMP,2,3),IF(AND(D39="Bioretention",E39="Standard"),INDEX(PARAMS_BMP,3,3),IF(AND(D39="Bioretention",E39="Enhanced"),INDEX(PARAMS_BMP,4,3),IF(AND(D39="Bioretention",E39="Enhanced w/ Underdrain"),INDEX(PARAMS_BMP,5,3),IF(AND(D39="Dry Swale",E39="—"),INDEX(PARAMS_BMP,6,3),IF(AND(D39="Wet Swale",E39="—"),INDEX(PARAMS_BMP,7,3),""))))))),"")</f>
        <v/>
      </c>
      <c r="S39" s="4" t="n"/>
      <c r="T39" s="17">
        <f>IFERROR(IF(AND(D39="Permeable Pavement",E39="Enhanced"),INDEX(PARAMS_BMP,1,4),IF(AND(D39="Permeable Pavement",E39="Underdrained Enhanced"),INDEX(PARAMS_BMP,2,4),IF(AND(D39="Bioretention",E39="Standard"),INDEX(PARAMS_BMP,3,4),IF(AND(D39="Bioretention",E39="Enhanced"),INDEX(PARAMS_BMP,4,4),IF(AND(D39="Bioretention",E39="Enhanced w/ Underdrain"),INDEX(PARAMS_BMP,5,4),IF(AND(D39="Dry Swale",E39="—"),INDEX(PARAMS_BMP,6,4),IF(AND(D39="Wet Swale",E39="—"),INDEX(PARAMS_BMP,7,4),""))))))),"")</f>
        <v/>
      </c>
      <c r="U39" s="4" t="n"/>
      <c r="V39" s="4">
        <f>IFERROR(IF(OR(E39="Enhanced",E39="Enhanced w/ Underdrain"),VLOOKUP(IF(SUMIFS('CDA'!$E$4:$E$53,'CDA'!$A$4:$A$53,C39,'CDA'!$D$4:$D$53,"D")&gt;0,"D",IF(SUMIFS('CDA'!$E$4:$E$53,'CDA'!$A$4:$A$53,C39,'CDA'!$D$4:$D$53,"C")&gt;0,"C",IF(SUMIFS('CDA'!$E$4:$E$53,'CDA'!$A$4:$A$53,C39,'CDA'!$D$4:$D$53,"B")&gt;0,"B",IF(SUMIFS('CDA'!$E$4:$E$53,'CDA'!$A$4:$A$53,C39,'CDA'!$D$4:$D$53,"A")&gt;0,"A","")))),PARAMS_Ksat,2,FALSE),0),0)</f>
        <v/>
      </c>
      <c r="W39" s="17">
        <f>IFERROR(P39*(Q39*R39+S39*T39+U39),0)</f>
        <v/>
      </c>
      <c r="X39" s="28">
        <f>IFERROR(IF(V39=0,"",(Q39+S39)/V39),"")</f>
        <v/>
      </c>
      <c r="Y39" s="4" t="n"/>
      <c r="Z39" s="4" t="n"/>
      <c r="AA39" s="28">
        <f>IFERROR(Y39+Z39,0)</f>
        <v/>
      </c>
      <c r="AB39" s="4" t="n"/>
      <c r="AC39" s="4" t="n"/>
      <c r="AD39" s="4" t="n"/>
      <c r="AE39" s="4" t="n"/>
      <c r="AF39" s="4" t="n"/>
      <c r="AG39" s="4" t="n"/>
      <c r="AH39" s="28">
        <f>IFERROR(AB39*INDEX(PARAMS_Trees,1,3)+AC39*INDEX(PARAMS_Trees,2,3)+AD39*INDEX(PARAMS_Trees,3,3)+AE39*INDEX(PARAMS_Trees,4,3)+AF39*INDEX(PARAMS_Trees,5,3)+AG39*INDEX(PARAMS_Trees,6,3),0)</f>
        <v/>
      </c>
      <c r="AI39" s="17">
        <f>IFERROR(K39+W39+AA39,0)</f>
        <v/>
      </c>
      <c r="AJ39" s="17">
        <f>IFERROR(IF(AND(D39="Permeable Pavement",E39="Enhanced"),INDEX(PARAMS_BMP,1,6),IF(AND(D39="Permeable Pavement",E39="Underdrained Enhanced"),INDEX(PARAMS_BMP,2,6),IF(AND(D39="Bioretention",E39="Standard"),INDEX(PARAMS_BMP,3,6),IF(AND(D39="Bioretention",E39="Enhanced"),INDEX(PARAMS_BMP,4,6),IF(AND(D39="Bioretention",E39="Enhanced w/ Underdrain"),INDEX(PARAMS_BMP,5,6),IF(AND(D39="Dry Swale",E39="—"),INDEX(PARAMS_BMP,6,6),IF(AND(D39="Wet Swale",E39="—"),INDEX(PARAMS_BMP,7,6),""))))))),"")</f>
        <v/>
      </c>
      <c r="AK39" s="17">
        <f>IFERROR(AI39*AJ39+AH39,0)</f>
        <v/>
      </c>
      <c r="AL39" s="17">
        <f>IFERROR(VLOOKUP(C39,'CDA'!$A$58:$D$67,4,FALSE),0)</f>
        <v/>
      </c>
      <c r="AM39" s="28">
        <f>IFERROR(IF(AL39=0,AK39,MIN(AK39,AL39)),0)</f>
        <v/>
      </c>
    </row>
    <row r="40">
      <c r="A40" s="4" t="n"/>
      <c r="B40" s="4" t="n"/>
      <c r="C40" s="4" t="n"/>
      <c r="D40" s="4" t="n"/>
      <c r="E40" s="27" t="n"/>
      <c r="F40" s="4" t="n"/>
      <c r="G40" s="4" t="n"/>
      <c r="H40" s="4" t="n"/>
      <c r="I40" s="4">
        <f>IFERROR(IF(OR(E40="Enhanced",E40="Underdrained Enhanced"),VLOOKUP(IF(SUMIFS('CDA'!$E$4:$E$53,'CDA'!$A$4:$A$53,C40,'CDA'!$D$4:$D$53,"D")&gt;0,"D",IF(SUMIFS('CDA'!$E$4:$E$53,'CDA'!$A$4:$A$53,C40,'CDA'!$D$4:$D$53,"C")&gt;0,"C",IF(SUMIFS('CDA'!$E$4:$E$53,'CDA'!$A$4:$A$53,C40,'CDA'!$D$4:$D$53,"B")&gt;0,"B",IF(SUMIFS('CDA'!$E$4:$E$53,'CDA'!$A$4:$A$53,C40,'CDA'!$D$4:$D$53,"A")&gt;0,"A","")))),PARAMS_Ksat,2,FALSE),0),0)</f>
        <v/>
      </c>
      <c r="J40" s="17">
        <f>IFERROR(IF(AND(D40="Permeable Pavement",E40="Enhanced"),INDEX(PARAMS_BMP,1,5),IF(AND(D40="Permeable Pavement",E40="Underdrained Enhanced"),INDEX(PARAMS_BMP,2,5),IF(AND(D40="Bioretention",E40="Standard"),INDEX(PARAMS_BMP,3,5),IF(AND(D40="Bioretention",E40="Enhanced"),INDEX(PARAMS_BMP,4,5),IF(AND(D40="Bioretention",E40="Enhanced w/ Underdrain"),INDEX(PARAMS_BMP,5,5),IF(AND(D40="Dry Swale",E40="—"),INDEX(PARAMS_BMP,6,5),IF(AND(D40="Wet Swale",E40="—"),INDEX(PARAMS_BMP,7,5),""))))))),"")</f>
        <v/>
      </c>
      <c r="K40" s="17">
        <f>IFERROR(F40*G40*J40,0)</f>
        <v/>
      </c>
      <c r="L40" s="17">
        <f>IFERROR(IF(I40=0,"",G40/I40),"")</f>
        <v/>
      </c>
      <c r="M40" s="28">
        <f>IFERROR(IF(L40="","",IF(L40&lt;=2,"✓","✗")),"")</f>
        <v/>
      </c>
      <c r="N40" s="4" t="n"/>
      <c r="O40" s="4" t="n"/>
      <c r="P40" s="17">
        <f>IFERROR((N40+O40)/2,0)</f>
        <v/>
      </c>
      <c r="Q40" s="4" t="n"/>
      <c r="R40" s="17">
        <f>IFERROR(IF(AND(D40="Permeable Pavement",E40="Enhanced"),INDEX(PARAMS_BMP,1,3),IF(AND(D40="Permeable Pavement",E40="Underdrained Enhanced"),INDEX(PARAMS_BMP,2,3),IF(AND(D40="Bioretention",E40="Standard"),INDEX(PARAMS_BMP,3,3),IF(AND(D40="Bioretention",E40="Enhanced"),INDEX(PARAMS_BMP,4,3),IF(AND(D40="Bioretention",E40="Enhanced w/ Underdrain"),INDEX(PARAMS_BMP,5,3),IF(AND(D40="Dry Swale",E40="—"),INDEX(PARAMS_BMP,6,3),IF(AND(D40="Wet Swale",E40="—"),INDEX(PARAMS_BMP,7,3),""))))))),"")</f>
        <v/>
      </c>
      <c r="S40" s="4" t="n"/>
      <c r="T40" s="17">
        <f>IFERROR(IF(AND(D40="Permeable Pavement",E40="Enhanced"),INDEX(PARAMS_BMP,1,4),IF(AND(D40="Permeable Pavement",E40="Underdrained Enhanced"),INDEX(PARAMS_BMP,2,4),IF(AND(D40="Bioretention",E40="Standard"),INDEX(PARAMS_BMP,3,4),IF(AND(D40="Bioretention",E40="Enhanced"),INDEX(PARAMS_BMP,4,4),IF(AND(D40="Bioretention",E40="Enhanced w/ Underdrain"),INDEX(PARAMS_BMP,5,4),IF(AND(D40="Dry Swale",E40="—"),INDEX(PARAMS_BMP,6,4),IF(AND(D40="Wet Swale",E40="—"),INDEX(PARAMS_BMP,7,4),""))))))),"")</f>
        <v/>
      </c>
      <c r="U40" s="4" t="n"/>
      <c r="V40" s="4">
        <f>IFERROR(IF(OR(E40="Enhanced",E40="Enhanced w/ Underdrain"),VLOOKUP(IF(SUMIFS('CDA'!$E$4:$E$53,'CDA'!$A$4:$A$53,C40,'CDA'!$D$4:$D$53,"D")&gt;0,"D",IF(SUMIFS('CDA'!$E$4:$E$53,'CDA'!$A$4:$A$53,C40,'CDA'!$D$4:$D$53,"C")&gt;0,"C",IF(SUMIFS('CDA'!$E$4:$E$53,'CDA'!$A$4:$A$53,C40,'CDA'!$D$4:$D$53,"B")&gt;0,"B",IF(SUMIFS('CDA'!$E$4:$E$53,'CDA'!$A$4:$A$53,C40,'CDA'!$D$4:$D$53,"A")&gt;0,"A","")))),PARAMS_Ksat,2,FALSE),0),0)</f>
        <v/>
      </c>
      <c r="W40" s="17">
        <f>IFERROR(P40*(Q40*R40+S40*T40+U40),0)</f>
        <v/>
      </c>
      <c r="X40" s="28">
        <f>IFERROR(IF(V40=0,"",(Q40+S40)/V40),"")</f>
        <v/>
      </c>
      <c r="Y40" s="4" t="n"/>
      <c r="Z40" s="4" t="n"/>
      <c r="AA40" s="28">
        <f>IFERROR(Y40+Z40,0)</f>
        <v/>
      </c>
      <c r="AB40" s="4" t="n"/>
      <c r="AC40" s="4" t="n"/>
      <c r="AD40" s="4" t="n"/>
      <c r="AE40" s="4" t="n"/>
      <c r="AF40" s="4" t="n"/>
      <c r="AG40" s="4" t="n"/>
      <c r="AH40" s="28">
        <f>IFERROR(AB40*INDEX(PARAMS_Trees,1,3)+AC40*INDEX(PARAMS_Trees,2,3)+AD40*INDEX(PARAMS_Trees,3,3)+AE40*INDEX(PARAMS_Trees,4,3)+AF40*INDEX(PARAMS_Trees,5,3)+AG40*INDEX(PARAMS_Trees,6,3),0)</f>
        <v/>
      </c>
      <c r="AI40" s="17">
        <f>IFERROR(K40+W40+AA40,0)</f>
        <v/>
      </c>
      <c r="AJ40" s="17">
        <f>IFERROR(IF(AND(D40="Permeable Pavement",E40="Enhanced"),INDEX(PARAMS_BMP,1,6),IF(AND(D40="Permeable Pavement",E40="Underdrained Enhanced"),INDEX(PARAMS_BMP,2,6),IF(AND(D40="Bioretention",E40="Standard"),INDEX(PARAMS_BMP,3,6),IF(AND(D40="Bioretention",E40="Enhanced"),INDEX(PARAMS_BMP,4,6),IF(AND(D40="Bioretention",E40="Enhanced w/ Underdrain"),INDEX(PARAMS_BMP,5,6),IF(AND(D40="Dry Swale",E40="—"),INDEX(PARAMS_BMP,6,6),IF(AND(D40="Wet Swale",E40="—"),INDEX(PARAMS_BMP,7,6),""))))))),"")</f>
        <v/>
      </c>
      <c r="AK40" s="17">
        <f>IFERROR(AI40*AJ40+AH40,0)</f>
        <v/>
      </c>
      <c r="AL40" s="17">
        <f>IFERROR(VLOOKUP(C40,'CDA'!$A$58:$D$67,4,FALSE),0)</f>
        <v/>
      </c>
      <c r="AM40" s="28">
        <f>IFERROR(IF(AL40=0,AK40,MIN(AK40,AL40)),0)</f>
        <v/>
      </c>
    </row>
    <row r="41">
      <c r="A41" s="4" t="n"/>
      <c r="B41" s="4" t="n"/>
      <c r="C41" s="4" t="n"/>
      <c r="D41" s="4" t="n"/>
      <c r="E41" s="27" t="n"/>
      <c r="F41" s="4" t="n"/>
      <c r="G41" s="4" t="n"/>
      <c r="H41" s="4" t="n"/>
      <c r="I41" s="4">
        <f>IFERROR(IF(OR(E41="Enhanced",E41="Underdrained Enhanced"),VLOOKUP(IF(SUMIFS('CDA'!$E$4:$E$53,'CDA'!$A$4:$A$53,C41,'CDA'!$D$4:$D$53,"D")&gt;0,"D",IF(SUMIFS('CDA'!$E$4:$E$53,'CDA'!$A$4:$A$53,C41,'CDA'!$D$4:$D$53,"C")&gt;0,"C",IF(SUMIFS('CDA'!$E$4:$E$53,'CDA'!$A$4:$A$53,C41,'CDA'!$D$4:$D$53,"B")&gt;0,"B",IF(SUMIFS('CDA'!$E$4:$E$53,'CDA'!$A$4:$A$53,C41,'CDA'!$D$4:$D$53,"A")&gt;0,"A","")))),PARAMS_Ksat,2,FALSE),0),0)</f>
        <v/>
      </c>
      <c r="J41" s="17">
        <f>IFERROR(IF(AND(D41="Permeable Pavement",E41="Enhanced"),INDEX(PARAMS_BMP,1,5),IF(AND(D41="Permeable Pavement",E41="Underdrained Enhanced"),INDEX(PARAMS_BMP,2,5),IF(AND(D41="Bioretention",E41="Standard"),INDEX(PARAMS_BMP,3,5),IF(AND(D41="Bioretention",E41="Enhanced"),INDEX(PARAMS_BMP,4,5),IF(AND(D41="Bioretention",E41="Enhanced w/ Underdrain"),INDEX(PARAMS_BMP,5,5),IF(AND(D41="Dry Swale",E41="—"),INDEX(PARAMS_BMP,6,5),IF(AND(D41="Wet Swale",E41="—"),INDEX(PARAMS_BMP,7,5),""))))))),"")</f>
        <v/>
      </c>
      <c r="K41" s="17">
        <f>IFERROR(F41*G41*J41,0)</f>
        <v/>
      </c>
      <c r="L41" s="17">
        <f>IFERROR(IF(I41=0,"",G41/I41),"")</f>
        <v/>
      </c>
      <c r="M41" s="28">
        <f>IFERROR(IF(L41="","",IF(L41&lt;=2,"✓","✗")),"")</f>
        <v/>
      </c>
      <c r="N41" s="4" t="n"/>
      <c r="O41" s="4" t="n"/>
      <c r="P41" s="17">
        <f>IFERROR((N41+O41)/2,0)</f>
        <v/>
      </c>
      <c r="Q41" s="4" t="n"/>
      <c r="R41" s="17">
        <f>IFERROR(IF(AND(D41="Permeable Pavement",E41="Enhanced"),INDEX(PARAMS_BMP,1,3),IF(AND(D41="Permeable Pavement",E41="Underdrained Enhanced"),INDEX(PARAMS_BMP,2,3),IF(AND(D41="Bioretention",E41="Standard"),INDEX(PARAMS_BMP,3,3),IF(AND(D41="Bioretention",E41="Enhanced"),INDEX(PARAMS_BMP,4,3),IF(AND(D41="Bioretention",E41="Enhanced w/ Underdrain"),INDEX(PARAMS_BMP,5,3),IF(AND(D41="Dry Swale",E41="—"),INDEX(PARAMS_BMP,6,3),IF(AND(D41="Wet Swale",E41="—"),INDEX(PARAMS_BMP,7,3),""))))))),"")</f>
        <v/>
      </c>
      <c r="S41" s="4" t="n"/>
      <c r="T41" s="17">
        <f>IFERROR(IF(AND(D41="Permeable Pavement",E41="Enhanced"),INDEX(PARAMS_BMP,1,4),IF(AND(D41="Permeable Pavement",E41="Underdrained Enhanced"),INDEX(PARAMS_BMP,2,4),IF(AND(D41="Bioretention",E41="Standard"),INDEX(PARAMS_BMP,3,4),IF(AND(D41="Bioretention",E41="Enhanced"),INDEX(PARAMS_BMP,4,4),IF(AND(D41="Bioretention",E41="Enhanced w/ Underdrain"),INDEX(PARAMS_BMP,5,4),IF(AND(D41="Dry Swale",E41="—"),INDEX(PARAMS_BMP,6,4),IF(AND(D41="Wet Swale",E41="—"),INDEX(PARAMS_BMP,7,4),""))))))),"")</f>
        <v/>
      </c>
      <c r="U41" s="4" t="n"/>
      <c r="V41" s="4">
        <f>IFERROR(IF(OR(E41="Enhanced",E41="Enhanced w/ Underdrain"),VLOOKUP(IF(SUMIFS('CDA'!$E$4:$E$53,'CDA'!$A$4:$A$53,C41,'CDA'!$D$4:$D$53,"D")&gt;0,"D",IF(SUMIFS('CDA'!$E$4:$E$53,'CDA'!$A$4:$A$53,C41,'CDA'!$D$4:$D$53,"C")&gt;0,"C",IF(SUMIFS('CDA'!$E$4:$E$53,'CDA'!$A$4:$A$53,C41,'CDA'!$D$4:$D$53,"B")&gt;0,"B",IF(SUMIFS('CDA'!$E$4:$E$53,'CDA'!$A$4:$A$53,C41,'CDA'!$D$4:$D$53,"A")&gt;0,"A","")))),PARAMS_Ksat,2,FALSE),0),0)</f>
        <v/>
      </c>
      <c r="W41" s="17">
        <f>IFERROR(P41*(Q41*R41+S41*T41+U41),0)</f>
        <v/>
      </c>
      <c r="X41" s="28">
        <f>IFERROR(IF(V41=0,"",(Q41+S41)/V41),"")</f>
        <v/>
      </c>
      <c r="Y41" s="4" t="n"/>
      <c r="Z41" s="4" t="n"/>
      <c r="AA41" s="28">
        <f>IFERROR(Y41+Z41,0)</f>
        <v/>
      </c>
      <c r="AB41" s="4" t="n"/>
      <c r="AC41" s="4" t="n"/>
      <c r="AD41" s="4" t="n"/>
      <c r="AE41" s="4" t="n"/>
      <c r="AF41" s="4" t="n"/>
      <c r="AG41" s="4" t="n"/>
      <c r="AH41" s="28">
        <f>IFERROR(AB41*INDEX(PARAMS_Trees,1,3)+AC41*INDEX(PARAMS_Trees,2,3)+AD41*INDEX(PARAMS_Trees,3,3)+AE41*INDEX(PARAMS_Trees,4,3)+AF41*INDEX(PARAMS_Trees,5,3)+AG41*INDEX(PARAMS_Trees,6,3),0)</f>
        <v/>
      </c>
      <c r="AI41" s="17">
        <f>IFERROR(K41+W41+AA41,0)</f>
        <v/>
      </c>
      <c r="AJ41" s="17">
        <f>IFERROR(IF(AND(D41="Permeable Pavement",E41="Enhanced"),INDEX(PARAMS_BMP,1,6),IF(AND(D41="Permeable Pavement",E41="Underdrained Enhanced"),INDEX(PARAMS_BMP,2,6),IF(AND(D41="Bioretention",E41="Standard"),INDEX(PARAMS_BMP,3,6),IF(AND(D41="Bioretention",E41="Enhanced"),INDEX(PARAMS_BMP,4,6),IF(AND(D41="Bioretention",E41="Enhanced w/ Underdrain"),INDEX(PARAMS_BMP,5,6),IF(AND(D41="Dry Swale",E41="—"),INDEX(PARAMS_BMP,6,6),IF(AND(D41="Wet Swale",E41="—"),INDEX(PARAMS_BMP,7,6),""))))))),"")</f>
        <v/>
      </c>
      <c r="AK41" s="17">
        <f>IFERROR(AI41*AJ41+AH41,0)</f>
        <v/>
      </c>
      <c r="AL41" s="17">
        <f>IFERROR(VLOOKUP(C41,'CDA'!$A$58:$D$67,4,FALSE),0)</f>
        <v/>
      </c>
      <c r="AM41" s="28">
        <f>IFERROR(IF(AL41=0,AK41,MIN(AK41,AL41)),0)</f>
        <v/>
      </c>
    </row>
    <row r="42">
      <c r="A42" s="4" t="n"/>
      <c r="B42" s="4" t="n"/>
      <c r="C42" s="4" t="n"/>
      <c r="D42" s="4" t="n"/>
      <c r="E42" s="27" t="n"/>
      <c r="F42" s="4" t="n"/>
      <c r="G42" s="4" t="n"/>
      <c r="H42" s="4" t="n"/>
      <c r="I42" s="4">
        <f>IFERROR(IF(OR(E42="Enhanced",E42="Underdrained Enhanced"),VLOOKUP(IF(SUMIFS('CDA'!$E$4:$E$53,'CDA'!$A$4:$A$53,C42,'CDA'!$D$4:$D$53,"D")&gt;0,"D",IF(SUMIFS('CDA'!$E$4:$E$53,'CDA'!$A$4:$A$53,C42,'CDA'!$D$4:$D$53,"C")&gt;0,"C",IF(SUMIFS('CDA'!$E$4:$E$53,'CDA'!$A$4:$A$53,C42,'CDA'!$D$4:$D$53,"B")&gt;0,"B",IF(SUMIFS('CDA'!$E$4:$E$53,'CDA'!$A$4:$A$53,C42,'CDA'!$D$4:$D$53,"A")&gt;0,"A","")))),PARAMS_Ksat,2,FALSE),0),0)</f>
        <v/>
      </c>
      <c r="J42" s="17">
        <f>IFERROR(IF(AND(D42="Permeable Pavement",E42="Enhanced"),INDEX(PARAMS_BMP,1,5),IF(AND(D42="Permeable Pavement",E42="Underdrained Enhanced"),INDEX(PARAMS_BMP,2,5),IF(AND(D42="Bioretention",E42="Standard"),INDEX(PARAMS_BMP,3,5),IF(AND(D42="Bioretention",E42="Enhanced"),INDEX(PARAMS_BMP,4,5),IF(AND(D42="Bioretention",E42="Enhanced w/ Underdrain"),INDEX(PARAMS_BMP,5,5),IF(AND(D42="Dry Swale",E42="—"),INDEX(PARAMS_BMP,6,5),IF(AND(D42="Wet Swale",E42="—"),INDEX(PARAMS_BMP,7,5),""))))))),"")</f>
        <v/>
      </c>
      <c r="K42" s="17">
        <f>IFERROR(F42*G42*J42,0)</f>
        <v/>
      </c>
      <c r="L42" s="17">
        <f>IFERROR(IF(I42=0,"",G42/I42),"")</f>
        <v/>
      </c>
      <c r="M42" s="28">
        <f>IFERROR(IF(L42="","",IF(L42&lt;=2,"✓","✗")),"")</f>
        <v/>
      </c>
      <c r="N42" s="4" t="n"/>
      <c r="O42" s="4" t="n"/>
      <c r="P42" s="17">
        <f>IFERROR((N42+O42)/2,0)</f>
        <v/>
      </c>
      <c r="Q42" s="4" t="n"/>
      <c r="R42" s="17">
        <f>IFERROR(IF(AND(D42="Permeable Pavement",E42="Enhanced"),INDEX(PARAMS_BMP,1,3),IF(AND(D42="Permeable Pavement",E42="Underdrained Enhanced"),INDEX(PARAMS_BMP,2,3),IF(AND(D42="Bioretention",E42="Standard"),INDEX(PARAMS_BMP,3,3),IF(AND(D42="Bioretention",E42="Enhanced"),INDEX(PARAMS_BMP,4,3),IF(AND(D42="Bioretention",E42="Enhanced w/ Underdrain"),INDEX(PARAMS_BMP,5,3),IF(AND(D42="Dry Swale",E42="—"),INDEX(PARAMS_BMP,6,3),IF(AND(D42="Wet Swale",E42="—"),INDEX(PARAMS_BMP,7,3),""))))))),"")</f>
        <v/>
      </c>
      <c r="S42" s="4" t="n"/>
      <c r="T42" s="17">
        <f>IFERROR(IF(AND(D42="Permeable Pavement",E42="Enhanced"),INDEX(PARAMS_BMP,1,4),IF(AND(D42="Permeable Pavement",E42="Underdrained Enhanced"),INDEX(PARAMS_BMP,2,4),IF(AND(D42="Bioretention",E42="Standard"),INDEX(PARAMS_BMP,3,4),IF(AND(D42="Bioretention",E42="Enhanced"),INDEX(PARAMS_BMP,4,4),IF(AND(D42="Bioretention",E42="Enhanced w/ Underdrain"),INDEX(PARAMS_BMP,5,4),IF(AND(D42="Dry Swale",E42="—"),INDEX(PARAMS_BMP,6,4),IF(AND(D42="Wet Swale",E42="—"),INDEX(PARAMS_BMP,7,4),""))))))),"")</f>
        <v/>
      </c>
      <c r="U42" s="4" t="n"/>
      <c r="V42" s="4">
        <f>IFERROR(IF(OR(E42="Enhanced",E42="Enhanced w/ Underdrain"),VLOOKUP(IF(SUMIFS('CDA'!$E$4:$E$53,'CDA'!$A$4:$A$53,C42,'CDA'!$D$4:$D$53,"D")&gt;0,"D",IF(SUMIFS('CDA'!$E$4:$E$53,'CDA'!$A$4:$A$53,C42,'CDA'!$D$4:$D$53,"C")&gt;0,"C",IF(SUMIFS('CDA'!$E$4:$E$53,'CDA'!$A$4:$A$53,C42,'CDA'!$D$4:$D$53,"B")&gt;0,"B",IF(SUMIFS('CDA'!$E$4:$E$53,'CDA'!$A$4:$A$53,C42,'CDA'!$D$4:$D$53,"A")&gt;0,"A","")))),PARAMS_Ksat,2,FALSE),0),0)</f>
        <v/>
      </c>
      <c r="W42" s="17">
        <f>IFERROR(P42*(Q42*R42+S42*T42+U42),0)</f>
        <v/>
      </c>
      <c r="X42" s="28">
        <f>IFERROR(IF(V42=0,"",(Q42+S42)/V42),"")</f>
        <v/>
      </c>
      <c r="Y42" s="4" t="n"/>
      <c r="Z42" s="4" t="n"/>
      <c r="AA42" s="28">
        <f>IFERROR(Y42+Z42,0)</f>
        <v/>
      </c>
      <c r="AB42" s="4" t="n"/>
      <c r="AC42" s="4" t="n"/>
      <c r="AD42" s="4" t="n"/>
      <c r="AE42" s="4" t="n"/>
      <c r="AF42" s="4" t="n"/>
      <c r="AG42" s="4" t="n"/>
      <c r="AH42" s="28">
        <f>IFERROR(AB42*INDEX(PARAMS_Trees,1,3)+AC42*INDEX(PARAMS_Trees,2,3)+AD42*INDEX(PARAMS_Trees,3,3)+AE42*INDEX(PARAMS_Trees,4,3)+AF42*INDEX(PARAMS_Trees,5,3)+AG42*INDEX(PARAMS_Trees,6,3),0)</f>
        <v/>
      </c>
      <c r="AI42" s="17">
        <f>IFERROR(K42+W42+AA42,0)</f>
        <v/>
      </c>
      <c r="AJ42" s="17">
        <f>IFERROR(IF(AND(D42="Permeable Pavement",E42="Enhanced"),INDEX(PARAMS_BMP,1,6),IF(AND(D42="Permeable Pavement",E42="Underdrained Enhanced"),INDEX(PARAMS_BMP,2,6),IF(AND(D42="Bioretention",E42="Standard"),INDEX(PARAMS_BMP,3,6),IF(AND(D42="Bioretention",E42="Enhanced"),INDEX(PARAMS_BMP,4,6),IF(AND(D42="Bioretention",E42="Enhanced w/ Underdrain"),INDEX(PARAMS_BMP,5,6),IF(AND(D42="Dry Swale",E42="—"),INDEX(PARAMS_BMP,6,6),IF(AND(D42="Wet Swale",E42="—"),INDEX(PARAMS_BMP,7,6),""))))))),"")</f>
        <v/>
      </c>
      <c r="AK42" s="17">
        <f>IFERROR(AI42*AJ42+AH42,0)</f>
        <v/>
      </c>
      <c r="AL42" s="17">
        <f>IFERROR(VLOOKUP(C42,'CDA'!$A$58:$D$67,4,FALSE),0)</f>
        <v/>
      </c>
      <c r="AM42" s="28">
        <f>IFERROR(IF(AL42=0,AK42,MIN(AK42,AL42)),0)</f>
        <v/>
      </c>
    </row>
    <row r="43">
      <c r="A43" s="4" t="n"/>
      <c r="B43" s="4" t="n"/>
      <c r="C43" s="4" t="n"/>
      <c r="D43" s="4" t="n"/>
      <c r="E43" s="27" t="n"/>
      <c r="F43" s="4" t="n"/>
      <c r="G43" s="4" t="n"/>
      <c r="H43" s="4" t="n"/>
      <c r="I43" s="4">
        <f>IFERROR(IF(OR(E43="Enhanced",E43="Underdrained Enhanced"),VLOOKUP(IF(SUMIFS('CDA'!$E$4:$E$53,'CDA'!$A$4:$A$53,C43,'CDA'!$D$4:$D$53,"D")&gt;0,"D",IF(SUMIFS('CDA'!$E$4:$E$53,'CDA'!$A$4:$A$53,C43,'CDA'!$D$4:$D$53,"C")&gt;0,"C",IF(SUMIFS('CDA'!$E$4:$E$53,'CDA'!$A$4:$A$53,C43,'CDA'!$D$4:$D$53,"B")&gt;0,"B",IF(SUMIFS('CDA'!$E$4:$E$53,'CDA'!$A$4:$A$53,C43,'CDA'!$D$4:$D$53,"A")&gt;0,"A","")))),PARAMS_Ksat,2,FALSE),0),0)</f>
        <v/>
      </c>
      <c r="J43" s="17">
        <f>IFERROR(IF(AND(D43="Permeable Pavement",E43="Enhanced"),INDEX(PARAMS_BMP,1,5),IF(AND(D43="Permeable Pavement",E43="Underdrained Enhanced"),INDEX(PARAMS_BMP,2,5),IF(AND(D43="Bioretention",E43="Standard"),INDEX(PARAMS_BMP,3,5),IF(AND(D43="Bioretention",E43="Enhanced"),INDEX(PARAMS_BMP,4,5),IF(AND(D43="Bioretention",E43="Enhanced w/ Underdrain"),INDEX(PARAMS_BMP,5,5),IF(AND(D43="Dry Swale",E43="—"),INDEX(PARAMS_BMP,6,5),IF(AND(D43="Wet Swale",E43="—"),INDEX(PARAMS_BMP,7,5),""))))))),"")</f>
        <v/>
      </c>
      <c r="K43" s="17">
        <f>IFERROR(F43*G43*J43,0)</f>
        <v/>
      </c>
      <c r="L43" s="17">
        <f>IFERROR(IF(I43=0,"",G43/I43),"")</f>
        <v/>
      </c>
      <c r="M43" s="28">
        <f>IFERROR(IF(L43="","",IF(L43&lt;=2,"✓","✗")),"")</f>
        <v/>
      </c>
      <c r="N43" s="4" t="n"/>
      <c r="O43" s="4" t="n"/>
      <c r="P43" s="17">
        <f>IFERROR((N43+O43)/2,0)</f>
        <v/>
      </c>
      <c r="Q43" s="4" t="n"/>
      <c r="R43" s="17">
        <f>IFERROR(IF(AND(D43="Permeable Pavement",E43="Enhanced"),INDEX(PARAMS_BMP,1,3),IF(AND(D43="Permeable Pavement",E43="Underdrained Enhanced"),INDEX(PARAMS_BMP,2,3),IF(AND(D43="Bioretention",E43="Standard"),INDEX(PARAMS_BMP,3,3),IF(AND(D43="Bioretention",E43="Enhanced"),INDEX(PARAMS_BMP,4,3),IF(AND(D43="Bioretention",E43="Enhanced w/ Underdrain"),INDEX(PARAMS_BMP,5,3),IF(AND(D43="Dry Swale",E43="—"),INDEX(PARAMS_BMP,6,3),IF(AND(D43="Wet Swale",E43="—"),INDEX(PARAMS_BMP,7,3),""))))))),"")</f>
        <v/>
      </c>
      <c r="S43" s="4" t="n"/>
      <c r="T43" s="17">
        <f>IFERROR(IF(AND(D43="Permeable Pavement",E43="Enhanced"),INDEX(PARAMS_BMP,1,4),IF(AND(D43="Permeable Pavement",E43="Underdrained Enhanced"),INDEX(PARAMS_BMP,2,4),IF(AND(D43="Bioretention",E43="Standard"),INDEX(PARAMS_BMP,3,4),IF(AND(D43="Bioretention",E43="Enhanced"),INDEX(PARAMS_BMP,4,4),IF(AND(D43="Bioretention",E43="Enhanced w/ Underdrain"),INDEX(PARAMS_BMP,5,4),IF(AND(D43="Dry Swale",E43="—"),INDEX(PARAMS_BMP,6,4),IF(AND(D43="Wet Swale",E43="—"),INDEX(PARAMS_BMP,7,4),""))))))),"")</f>
        <v/>
      </c>
      <c r="U43" s="4" t="n"/>
      <c r="V43" s="4">
        <f>IFERROR(IF(OR(E43="Enhanced",E43="Enhanced w/ Underdrain"),VLOOKUP(IF(SUMIFS('CDA'!$E$4:$E$53,'CDA'!$A$4:$A$53,C43,'CDA'!$D$4:$D$53,"D")&gt;0,"D",IF(SUMIFS('CDA'!$E$4:$E$53,'CDA'!$A$4:$A$53,C43,'CDA'!$D$4:$D$53,"C")&gt;0,"C",IF(SUMIFS('CDA'!$E$4:$E$53,'CDA'!$A$4:$A$53,C43,'CDA'!$D$4:$D$53,"B")&gt;0,"B",IF(SUMIFS('CDA'!$E$4:$E$53,'CDA'!$A$4:$A$53,C43,'CDA'!$D$4:$D$53,"A")&gt;0,"A","")))),PARAMS_Ksat,2,FALSE),0),0)</f>
        <v/>
      </c>
      <c r="W43" s="17">
        <f>IFERROR(P43*(Q43*R43+S43*T43+U43),0)</f>
        <v/>
      </c>
      <c r="X43" s="28">
        <f>IFERROR(IF(V43=0,"",(Q43+S43)/V43),"")</f>
        <v/>
      </c>
      <c r="Y43" s="4" t="n"/>
      <c r="Z43" s="4" t="n"/>
      <c r="AA43" s="28">
        <f>IFERROR(Y43+Z43,0)</f>
        <v/>
      </c>
      <c r="AB43" s="4" t="n"/>
      <c r="AC43" s="4" t="n"/>
      <c r="AD43" s="4" t="n"/>
      <c r="AE43" s="4" t="n"/>
      <c r="AF43" s="4" t="n"/>
      <c r="AG43" s="4" t="n"/>
      <c r="AH43" s="28">
        <f>IFERROR(AB43*INDEX(PARAMS_Trees,1,3)+AC43*INDEX(PARAMS_Trees,2,3)+AD43*INDEX(PARAMS_Trees,3,3)+AE43*INDEX(PARAMS_Trees,4,3)+AF43*INDEX(PARAMS_Trees,5,3)+AG43*INDEX(PARAMS_Trees,6,3),0)</f>
        <v/>
      </c>
      <c r="AI43" s="17">
        <f>IFERROR(K43+W43+AA43,0)</f>
        <v/>
      </c>
      <c r="AJ43" s="17">
        <f>IFERROR(IF(AND(D43="Permeable Pavement",E43="Enhanced"),INDEX(PARAMS_BMP,1,6),IF(AND(D43="Permeable Pavement",E43="Underdrained Enhanced"),INDEX(PARAMS_BMP,2,6),IF(AND(D43="Bioretention",E43="Standard"),INDEX(PARAMS_BMP,3,6),IF(AND(D43="Bioretention",E43="Enhanced"),INDEX(PARAMS_BMP,4,6),IF(AND(D43="Bioretention",E43="Enhanced w/ Underdrain"),INDEX(PARAMS_BMP,5,6),IF(AND(D43="Dry Swale",E43="—"),INDEX(PARAMS_BMP,6,6),IF(AND(D43="Wet Swale",E43="—"),INDEX(PARAMS_BMP,7,6),""))))))),"")</f>
        <v/>
      </c>
      <c r="AK43" s="17">
        <f>IFERROR(AI43*AJ43+AH43,0)</f>
        <v/>
      </c>
      <c r="AL43" s="17">
        <f>IFERROR(VLOOKUP(C43,'CDA'!$A$58:$D$67,4,FALSE),0)</f>
        <v/>
      </c>
      <c r="AM43" s="28">
        <f>IFERROR(IF(AL43=0,AK43,MIN(AK43,AL43)),0)</f>
        <v/>
      </c>
    </row>
    <row r="44">
      <c r="A44" s="4" t="n"/>
      <c r="B44" s="4" t="n"/>
      <c r="C44" s="4" t="n"/>
      <c r="D44" s="4" t="n"/>
      <c r="E44" s="27" t="n"/>
      <c r="F44" s="4" t="n"/>
      <c r="G44" s="4" t="n"/>
      <c r="H44" s="4" t="n"/>
      <c r="I44" s="4">
        <f>IFERROR(IF(OR(E44="Enhanced",E44="Underdrained Enhanced"),VLOOKUP(IF(SUMIFS('CDA'!$E$4:$E$53,'CDA'!$A$4:$A$53,C44,'CDA'!$D$4:$D$53,"D")&gt;0,"D",IF(SUMIFS('CDA'!$E$4:$E$53,'CDA'!$A$4:$A$53,C44,'CDA'!$D$4:$D$53,"C")&gt;0,"C",IF(SUMIFS('CDA'!$E$4:$E$53,'CDA'!$A$4:$A$53,C44,'CDA'!$D$4:$D$53,"B")&gt;0,"B",IF(SUMIFS('CDA'!$E$4:$E$53,'CDA'!$A$4:$A$53,C44,'CDA'!$D$4:$D$53,"A")&gt;0,"A","")))),PARAMS_Ksat,2,FALSE),0),0)</f>
        <v/>
      </c>
      <c r="J44" s="17">
        <f>IFERROR(IF(AND(D44="Permeable Pavement",E44="Enhanced"),INDEX(PARAMS_BMP,1,5),IF(AND(D44="Permeable Pavement",E44="Underdrained Enhanced"),INDEX(PARAMS_BMP,2,5),IF(AND(D44="Bioretention",E44="Standard"),INDEX(PARAMS_BMP,3,5),IF(AND(D44="Bioretention",E44="Enhanced"),INDEX(PARAMS_BMP,4,5),IF(AND(D44="Bioretention",E44="Enhanced w/ Underdrain"),INDEX(PARAMS_BMP,5,5),IF(AND(D44="Dry Swale",E44="—"),INDEX(PARAMS_BMP,6,5),IF(AND(D44="Wet Swale",E44="—"),INDEX(PARAMS_BMP,7,5),""))))))),"")</f>
        <v/>
      </c>
      <c r="K44" s="17">
        <f>IFERROR(F44*G44*J44,0)</f>
        <v/>
      </c>
      <c r="L44" s="17">
        <f>IFERROR(IF(I44=0,"",G44/I44),"")</f>
        <v/>
      </c>
      <c r="M44" s="28">
        <f>IFERROR(IF(L44="","",IF(L44&lt;=2,"✓","✗")),"")</f>
        <v/>
      </c>
      <c r="N44" s="4" t="n"/>
      <c r="O44" s="4" t="n"/>
      <c r="P44" s="17">
        <f>IFERROR((N44+O44)/2,0)</f>
        <v/>
      </c>
      <c r="Q44" s="4" t="n"/>
      <c r="R44" s="17">
        <f>IFERROR(IF(AND(D44="Permeable Pavement",E44="Enhanced"),INDEX(PARAMS_BMP,1,3),IF(AND(D44="Permeable Pavement",E44="Underdrained Enhanced"),INDEX(PARAMS_BMP,2,3),IF(AND(D44="Bioretention",E44="Standard"),INDEX(PARAMS_BMP,3,3),IF(AND(D44="Bioretention",E44="Enhanced"),INDEX(PARAMS_BMP,4,3),IF(AND(D44="Bioretention",E44="Enhanced w/ Underdrain"),INDEX(PARAMS_BMP,5,3),IF(AND(D44="Dry Swale",E44="—"),INDEX(PARAMS_BMP,6,3),IF(AND(D44="Wet Swale",E44="—"),INDEX(PARAMS_BMP,7,3),""))))))),"")</f>
        <v/>
      </c>
      <c r="S44" s="4" t="n"/>
      <c r="T44" s="17">
        <f>IFERROR(IF(AND(D44="Permeable Pavement",E44="Enhanced"),INDEX(PARAMS_BMP,1,4),IF(AND(D44="Permeable Pavement",E44="Underdrained Enhanced"),INDEX(PARAMS_BMP,2,4),IF(AND(D44="Bioretention",E44="Standard"),INDEX(PARAMS_BMP,3,4),IF(AND(D44="Bioretention",E44="Enhanced"),INDEX(PARAMS_BMP,4,4),IF(AND(D44="Bioretention",E44="Enhanced w/ Underdrain"),INDEX(PARAMS_BMP,5,4),IF(AND(D44="Dry Swale",E44="—"),INDEX(PARAMS_BMP,6,4),IF(AND(D44="Wet Swale",E44="—"),INDEX(PARAMS_BMP,7,4),""))))))),"")</f>
        <v/>
      </c>
      <c r="U44" s="4" t="n"/>
      <c r="V44" s="4">
        <f>IFERROR(IF(OR(E44="Enhanced",E44="Enhanced w/ Underdrain"),VLOOKUP(IF(SUMIFS('CDA'!$E$4:$E$53,'CDA'!$A$4:$A$53,C44,'CDA'!$D$4:$D$53,"D")&gt;0,"D",IF(SUMIFS('CDA'!$E$4:$E$53,'CDA'!$A$4:$A$53,C44,'CDA'!$D$4:$D$53,"C")&gt;0,"C",IF(SUMIFS('CDA'!$E$4:$E$53,'CDA'!$A$4:$A$53,C44,'CDA'!$D$4:$D$53,"B")&gt;0,"B",IF(SUMIFS('CDA'!$E$4:$E$53,'CDA'!$A$4:$A$53,C44,'CDA'!$D$4:$D$53,"A")&gt;0,"A","")))),PARAMS_Ksat,2,FALSE),0),0)</f>
        <v/>
      </c>
      <c r="W44" s="17">
        <f>IFERROR(P44*(Q44*R44+S44*T44+U44),0)</f>
        <v/>
      </c>
      <c r="X44" s="28">
        <f>IFERROR(IF(V44=0,"",(Q44+S44)/V44),"")</f>
        <v/>
      </c>
      <c r="Y44" s="4" t="n"/>
      <c r="Z44" s="4" t="n"/>
      <c r="AA44" s="28">
        <f>IFERROR(Y44+Z44,0)</f>
        <v/>
      </c>
      <c r="AB44" s="4" t="n"/>
      <c r="AC44" s="4" t="n"/>
      <c r="AD44" s="4" t="n"/>
      <c r="AE44" s="4" t="n"/>
      <c r="AF44" s="4" t="n"/>
      <c r="AG44" s="4" t="n"/>
      <c r="AH44" s="28">
        <f>IFERROR(AB44*INDEX(PARAMS_Trees,1,3)+AC44*INDEX(PARAMS_Trees,2,3)+AD44*INDEX(PARAMS_Trees,3,3)+AE44*INDEX(PARAMS_Trees,4,3)+AF44*INDEX(PARAMS_Trees,5,3)+AG44*INDEX(PARAMS_Trees,6,3),0)</f>
        <v/>
      </c>
      <c r="AI44" s="17">
        <f>IFERROR(K44+W44+AA44,0)</f>
        <v/>
      </c>
      <c r="AJ44" s="17">
        <f>IFERROR(IF(AND(D44="Permeable Pavement",E44="Enhanced"),INDEX(PARAMS_BMP,1,6),IF(AND(D44="Permeable Pavement",E44="Underdrained Enhanced"),INDEX(PARAMS_BMP,2,6),IF(AND(D44="Bioretention",E44="Standard"),INDEX(PARAMS_BMP,3,6),IF(AND(D44="Bioretention",E44="Enhanced"),INDEX(PARAMS_BMP,4,6),IF(AND(D44="Bioretention",E44="Enhanced w/ Underdrain"),INDEX(PARAMS_BMP,5,6),IF(AND(D44="Dry Swale",E44="—"),INDEX(PARAMS_BMP,6,6),IF(AND(D44="Wet Swale",E44="—"),INDEX(PARAMS_BMP,7,6),""))))))),"")</f>
        <v/>
      </c>
      <c r="AK44" s="17">
        <f>IFERROR(AI44*AJ44+AH44,0)</f>
        <v/>
      </c>
      <c r="AL44" s="17">
        <f>IFERROR(VLOOKUP(C44,'CDA'!$A$58:$D$67,4,FALSE),0)</f>
        <v/>
      </c>
      <c r="AM44" s="28">
        <f>IFERROR(IF(AL44=0,AK44,MIN(AK44,AL44)),0)</f>
        <v/>
      </c>
    </row>
    <row r="45">
      <c r="A45" s="4" t="n"/>
      <c r="B45" s="4" t="n"/>
      <c r="C45" s="4" t="n"/>
      <c r="D45" s="4" t="n"/>
      <c r="E45" s="27" t="n"/>
      <c r="F45" s="4" t="n"/>
      <c r="G45" s="4" t="n"/>
      <c r="H45" s="4" t="n"/>
      <c r="I45" s="4">
        <f>IFERROR(IF(OR(E45="Enhanced",E45="Underdrained Enhanced"),VLOOKUP(IF(SUMIFS('CDA'!$E$4:$E$53,'CDA'!$A$4:$A$53,C45,'CDA'!$D$4:$D$53,"D")&gt;0,"D",IF(SUMIFS('CDA'!$E$4:$E$53,'CDA'!$A$4:$A$53,C45,'CDA'!$D$4:$D$53,"C")&gt;0,"C",IF(SUMIFS('CDA'!$E$4:$E$53,'CDA'!$A$4:$A$53,C45,'CDA'!$D$4:$D$53,"B")&gt;0,"B",IF(SUMIFS('CDA'!$E$4:$E$53,'CDA'!$A$4:$A$53,C45,'CDA'!$D$4:$D$53,"A")&gt;0,"A","")))),PARAMS_Ksat,2,FALSE),0),0)</f>
        <v/>
      </c>
      <c r="J45" s="17">
        <f>IFERROR(IF(AND(D45="Permeable Pavement",E45="Enhanced"),INDEX(PARAMS_BMP,1,5),IF(AND(D45="Permeable Pavement",E45="Underdrained Enhanced"),INDEX(PARAMS_BMP,2,5),IF(AND(D45="Bioretention",E45="Standard"),INDEX(PARAMS_BMP,3,5),IF(AND(D45="Bioretention",E45="Enhanced"),INDEX(PARAMS_BMP,4,5),IF(AND(D45="Bioretention",E45="Enhanced w/ Underdrain"),INDEX(PARAMS_BMP,5,5),IF(AND(D45="Dry Swale",E45="—"),INDEX(PARAMS_BMP,6,5),IF(AND(D45="Wet Swale",E45="—"),INDEX(PARAMS_BMP,7,5),""))))))),"")</f>
        <v/>
      </c>
      <c r="K45" s="17">
        <f>IFERROR(F45*G45*J45,0)</f>
        <v/>
      </c>
      <c r="L45" s="17">
        <f>IFERROR(IF(I45=0,"",G45/I45),"")</f>
        <v/>
      </c>
      <c r="M45" s="28">
        <f>IFERROR(IF(L45="","",IF(L45&lt;=2,"✓","✗")),"")</f>
        <v/>
      </c>
      <c r="N45" s="4" t="n"/>
      <c r="O45" s="4" t="n"/>
      <c r="P45" s="17">
        <f>IFERROR((N45+O45)/2,0)</f>
        <v/>
      </c>
      <c r="Q45" s="4" t="n"/>
      <c r="R45" s="17">
        <f>IFERROR(IF(AND(D45="Permeable Pavement",E45="Enhanced"),INDEX(PARAMS_BMP,1,3),IF(AND(D45="Permeable Pavement",E45="Underdrained Enhanced"),INDEX(PARAMS_BMP,2,3),IF(AND(D45="Bioretention",E45="Standard"),INDEX(PARAMS_BMP,3,3),IF(AND(D45="Bioretention",E45="Enhanced"),INDEX(PARAMS_BMP,4,3),IF(AND(D45="Bioretention",E45="Enhanced w/ Underdrain"),INDEX(PARAMS_BMP,5,3),IF(AND(D45="Dry Swale",E45="—"),INDEX(PARAMS_BMP,6,3),IF(AND(D45="Wet Swale",E45="—"),INDEX(PARAMS_BMP,7,3),""))))))),"")</f>
        <v/>
      </c>
      <c r="S45" s="4" t="n"/>
      <c r="T45" s="17">
        <f>IFERROR(IF(AND(D45="Permeable Pavement",E45="Enhanced"),INDEX(PARAMS_BMP,1,4),IF(AND(D45="Permeable Pavement",E45="Underdrained Enhanced"),INDEX(PARAMS_BMP,2,4),IF(AND(D45="Bioretention",E45="Standard"),INDEX(PARAMS_BMP,3,4),IF(AND(D45="Bioretention",E45="Enhanced"),INDEX(PARAMS_BMP,4,4),IF(AND(D45="Bioretention",E45="Enhanced w/ Underdrain"),INDEX(PARAMS_BMP,5,4),IF(AND(D45="Dry Swale",E45="—"),INDEX(PARAMS_BMP,6,4),IF(AND(D45="Wet Swale",E45="—"),INDEX(PARAMS_BMP,7,4),""))))))),"")</f>
        <v/>
      </c>
      <c r="U45" s="4" t="n"/>
      <c r="V45" s="4">
        <f>IFERROR(IF(OR(E45="Enhanced",E45="Enhanced w/ Underdrain"),VLOOKUP(IF(SUMIFS('CDA'!$E$4:$E$53,'CDA'!$A$4:$A$53,C45,'CDA'!$D$4:$D$53,"D")&gt;0,"D",IF(SUMIFS('CDA'!$E$4:$E$53,'CDA'!$A$4:$A$53,C45,'CDA'!$D$4:$D$53,"C")&gt;0,"C",IF(SUMIFS('CDA'!$E$4:$E$53,'CDA'!$A$4:$A$53,C45,'CDA'!$D$4:$D$53,"B")&gt;0,"B",IF(SUMIFS('CDA'!$E$4:$E$53,'CDA'!$A$4:$A$53,C45,'CDA'!$D$4:$D$53,"A")&gt;0,"A","")))),PARAMS_Ksat,2,FALSE),0),0)</f>
        <v/>
      </c>
      <c r="W45" s="17">
        <f>IFERROR(P45*(Q45*R45+S45*T45+U45),0)</f>
        <v/>
      </c>
      <c r="X45" s="28">
        <f>IFERROR(IF(V45=0,"",(Q45+S45)/V45),"")</f>
        <v/>
      </c>
      <c r="Y45" s="4" t="n"/>
      <c r="Z45" s="4" t="n"/>
      <c r="AA45" s="28">
        <f>IFERROR(Y45+Z45,0)</f>
        <v/>
      </c>
      <c r="AB45" s="4" t="n"/>
      <c r="AC45" s="4" t="n"/>
      <c r="AD45" s="4" t="n"/>
      <c r="AE45" s="4" t="n"/>
      <c r="AF45" s="4" t="n"/>
      <c r="AG45" s="4" t="n"/>
      <c r="AH45" s="28">
        <f>IFERROR(AB45*INDEX(PARAMS_Trees,1,3)+AC45*INDEX(PARAMS_Trees,2,3)+AD45*INDEX(PARAMS_Trees,3,3)+AE45*INDEX(PARAMS_Trees,4,3)+AF45*INDEX(PARAMS_Trees,5,3)+AG45*INDEX(PARAMS_Trees,6,3),0)</f>
        <v/>
      </c>
      <c r="AI45" s="17">
        <f>IFERROR(K45+W45+AA45,0)</f>
        <v/>
      </c>
      <c r="AJ45" s="17">
        <f>IFERROR(IF(AND(D45="Permeable Pavement",E45="Enhanced"),INDEX(PARAMS_BMP,1,6),IF(AND(D45="Permeable Pavement",E45="Underdrained Enhanced"),INDEX(PARAMS_BMP,2,6),IF(AND(D45="Bioretention",E45="Standard"),INDEX(PARAMS_BMP,3,6),IF(AND(D45="Bioretention",E45="Enhanced"),INDEX(PARAMS_BMP,4,6),IF(AND(D45="Bioretention",E45="Enhanced w/ Underdrain"),INDEX(PARAMS_BMP,5,6),IF(AND(D45="Dry Swale",E45="—"),INDEX(PARAMS_BMP,6,6),IF(AND(D45="Wet Swale",E45="—"),INDEX(PARAMS_BMP,7,6),""))))))),"")</f>
        <v/>
      </c>
      <c r="AK45" s="17">
        <f>IFERROR(AI45*AJ45+AH45,0)</f>
        <v/>
      </c>
      <c r="AL45" s="17">
        <f>IFERROR(VLOOKUP(C45,'CDA'!$A$58:$D$67,4,FALSE),0)</f>
        <v/>
      </c>
      <c r="AM45" s="28">
        <f>IFERROR(IF(AL45=0,AK45,MIN(AK45,AL45)),0)</f>
        <v/>
      </c>
    </row>
    <row r="46">
      <c r="A46" s="4" t="n"/>
      <c r="B46" s="4" t="n"/>
      <c r="C46" s="4" t="n"/>
      <c r="D46" s="4" t="n"/>
      <c r="E46" s="27" t="n"/>
      <c r="F46" s="4" t="n"/>
      <c r="G46" s="4" t="n"/>
      <c r="H46" s="4" t="n"/>
      <c r="I46" s="4">
        <f>IFERROR(IF(OR(E46="Enhanced",E46="Underdrained Enhanced"),VLOOKUP(IF(SUMIFS('CDA'!$E$4:$E$53,'CDA'!$A$4:$A$53,C46,'CDA'!$D$4:$D$53,"D")&gt;0,"D",IF(SUMIFS('CDA'!$E$4:$E$53,'CDA'!$A$4:$A$53,C46,'CDA'!$D$4:$D$53,"C")&gt;0,"C",IF(SUMIFS('CDA'!$E$4:$E$53,'CDA'!$A$4:$A$53,C46,'CDA'!$D$4:$D$53,"B")&gt;0,"B",IF(SUMIFS('CDA'!$E$4:$E$53,'CDA'!$A$4:$A$53,C46,'CDA'!$D$4:$D$53,"A")&gt;0,"A","")))),PARAMS_Ksat,2,FALSE),0),0)</f>
        <v/>
      </c>
      <c r="J46" s="17">
        <f>IFERROR(IF(AND(D46="Permeable Pavement",E46="Enhanced"),INDEX(PARAMS_BMP,1,5),IF(AND(D46="Permeable Pavement",E46="Underdrained Enhanced"),INDEX(PARAMS_BMP,2,5),IF(AND(D46="Bioretention",E46="Standard"),INDEX(PARAMS_BMP,3,5),IF(AND(D46="Bioretention",E46="Enhanced"),INDEX(PARAMS_BMP,4,5),IF(AND(D46="Bioretention",E46="Enhanced w/ Underdrain"),INDEX(PARAMS_BMP,5,5),IF(AND(D46="Dry Swale",E46="—"),INDEX(PARAMS_BMP,6,5),IF(AND(D46="Wet Swale",E46="—"),INDEX(PARAMS_BMP,7,5),""))))))),"")</f>
        <v/>
      </c>
      <c r="K46" s="17">
        <f>IFERROR(F46*G46*J46,0)</f>
        <v/>
      </c>
      <c r="L46" s="17">
        <f>IFERROR(IF(I46=0,"",G46/I46),"")</f>
        <v/>
      </c>
      <c r="M46" s="28">
        <f>IFERROR(IF(L46="","",IF(L46&lt;=2,"✓","✗")),"")</f>
        <v/>
      </c>
      <c r="N46" s="4" t="n"/>
      <c r="O46" s="4" t="n"/>
      <c r="P46" s="17">
        <f>IFERROR((N46+O46)/2,0)</f>
        <v/>
      </c>
      <c r="Q46" s="4" t="n"/>
      <c r="R46" s="17">
        <f>IFERROR(IF(AND(D46="Permeable Pavement",E46="Enhanced"),INDEX(PARAMS_BMP,1,3),IF(AND(D46="Permeable Pavement",E46="Underdrained Enhanced"),INDEX(PARAMS_BMP,2,3),IF(AND(D46="Bioretention",E46="Standard"),INDEX(PARAMS_BMP,3,3),IF(AND(D46="Bioretention",E46="Enhanced"),INDEX(PARAMS_BMP,4,3),IF(AND(D46="Bioretention",E46="Enhanced w/ Underdrain"),INDEX(PARAMS_BMP,5,3),IF(AND(D46="Dry Swale",E46="—"),INDEX(PARAMS_BMP,6,3),IF(AND(D46="Wet Swale",E46="—"),INDEX(PARAMS_BMP,7,3),""))))))),"")</f>
        <v/>
      </c>
      <c r="S46" s="4" t="n"/>
      <c r="T46" s="17">
        <f>IFERROR(IF(AND(D46="Permeable Pavement",E46="Enhanced"),INDEX(PARAMS_BMP,1,4),IF(AND(D46="Permeable Pavement",E46="Underdrained Enhanced"),INDEX(PARAMS_BMP,2,4),IF(AND(D46="Bioretention",E46="Standard"),INDEX(PARAMS_BMP,3,4),IF(AND(D46="Bioretention",E46="Enhanced"),INDEX(PARAMS_BMP,4,4),IF(AND(D46="Bioretention",E46="Enhanced w/ Underdrain"),INDEX(PARAMS_BMP,5,4),IF(AND(D46="Dry Swale",E46="—"),INDEX(PARAMS_BMP,6,4),IF(AND(D46="Wet Swale",E46="—"),INDEX(PARAMS_BMP,7,4),""))))))),"")</f>
        <v/>
      </c>
      <c r="U46" s="4" t="n"/>
      <c r="V46" s="4">
        <f>IFERROR(IF(OR(E46="Enhanced",E46="Enhanced w/ Underdrain"),VLOOKUP(IF(SUMIFS('CDA'!$E$4:$E$53,'CDA'!$A$4:$A$53,C46,'CDA'!$D$4:$D$53,"D")&gt;0,"D",IF(SUMIFS('CDA'!$E$4:$E$53,'CDA'!$A$4:$A$53,C46,'CDA'!$D$4:$D$53,"C")&gt;0,"C",IF(SUMIFS('CDA'!$E$4:$E$53,'CDA'!$A$4:$A$53,C46,'CDA'!$D$4:$D$53,"B")&gt;0,"B",IF(SUMIFS('CDA'!$E$4:$E$53,'CDA'!$A$4:$A$53,C46,'CDA'!$D$4:$D$53,"A")&gt;0,"A","")))),PARAMS_Ksat,2,FALSE),0),0)</f>
        <v/>
      </c>
      <c r="W46" s="17">
        <f>IFERROR(P46*(Q46*R46+S46*T46+U46),0)</f>
        <v/>
      </c>
      <c r="X46" s="28">
        <f>IFERROR(IF(V46=0,"",(Q46+S46)/V46),"")</f>
        <v/>
      </c>
      <c r="Y46" s="4" t="n"/>
      <c r="Z46" s="4" t="n"/>
      <c r="AA46" s="28">
        <f>IFERROR(Y46+Z46,0)</f>
        <v/>
      </c>
      <c r="AB46" s="4" t="n"/>
      <c r="AC46" s="4" t="n"/>
      <c r="AD46" s="4" t="n"/>
      <c r="AE46" s="4" t="n"/>
      <c r="AF46" s="4" t="n"/>
      <c r="AG46" s="4" t="n"/>
      <c r="AH46" s="28">
        <f>IFERROR(AB46*INDEX(PARAMS_Trees,1,3)+AC46*INDEX(PARAMS_Trees,2,3)+AD46*INDEX(PARAMS_Trees,3,3)+AE46*INDEX(PARAMS_Trees,4,3)+AF46*INDEX(PARAMS_Trees,5,3)+AG46*INDEX(PARAMS_Trees,6,3),0)</f>
        <v/>
      </c>
      <c r="AI46" s="17">
        <f>IFERROR(K46+W46+AA46,0)</f>
        <v/>
      </c>
      <c r="AJ46" s="17">
        <f>IFERROR(IF(AND(D46="Permeable Pavement",E46="Enhanced"),INDEX(PARAMS_BMP,1,6),IF(AND(D46="Permeable Pavement",E46="Underdrained Enhanced"),INDEX(PARAMS_BMP,2,6),IF(AND(D46="Bioretention",E46="Standard"),INDEX(PARAMS_BMP,3,6),IF(AND(D46="Bioretention",E46="Enhanced"),INDEX(PARAMS_BMP,4,6),IF(AND(D46="Bioretention",E46="Enhanced w/ Underdrain"),INDEX(PARAMS_BMP,5,6),IF(AND(D46="Dry Swale",E46="—"),INDEX(PARAMS_BMP,6,6),IF(AND(D46="Wet Swale",E46="—"),INDEX(PARAMS_BMP,7,6),""))))))),"")</f>
        <v/>
      </c>
      <c r="AK46" s="17">
        <f>IFERROR(AI46*AJ46+AH46,0)</f>
        <v/>
      </c>
      <c r="AL46" s="17">
        <f>IFERROR(VLOOKUP(C46,'CDA'!$A$58:$D$67,4,FALSE),0)</f>
        <v/>
      </c>
      <c r="AM46" s="28">
        <f>IFERROR(IF(AL46=0,AK46,MIN(AK46,AL46)),0)</f>
        <v/>
      </c>
    </row>
    <row r="47">
      <c r="A47" s="4" t="n"/>
      <c r="B47" s="4" t="n"/>
      <c r="C47" s="4" t="n"/>
      <c r="D47" s="4" t="n"/>
      <c r="E47" s="27" t="n"/>
      <c r="F47" s="4" t="n"/>
      <c r="G47" s="4" t="n"/>
      <c r="H47" s="4" t="n"/>
      <c r="I47" s="4">
        <f>IFERROR(IF(OR(E47="Enhanced",E47="Underdrained Enhanced"),VLOOKUP(IF(SUMIFS('CDA'!$E$4:$E$53,'CDA'!$A$4:$A$53,C47,'CDA'!$D$4:$D$53,"D")&gt;0,"D",IF(SUMIFS('CDA'!$E$4:$E$53,'CDA'!$A$4:$A$53,C47,'CDA'!$D$4:$D$53,"C")&gt;0,"C",IF(SUMIFS('CDA'!$E$4:$E$53,'CDA'!$A$4:$A$53,C47,'CDA'!$D$4:$D$53,"B")&gt;0,"B",IF(SUMIFS('CDA'!$E$4:$E$53,'CDA'!$A$4:$A$53,C47,'CDA'!$D$4:$D$53,"A")&gt;0,"A","")))),PARAMS_Ksat,2,FALSE),0),0)</f>
        <v/>
      </c>
      <c r="J47" s="17">
        <f>IFERROR(IF(AND(D47="Permeable Pavement",E47="Enhanced"),INDEX(PARAMS_BMP,1,5),IF(AND(D47="Permeable Pavement",E47="Underdrained Enhanced"),INDEX(PARAMS_BMP,2,5),IF(AND(D47="Bioretention",E47="Standard"),INDEX(PARAMS_BMP,3,5),IF(AND(D47="Bioretention",E47="Enhanced"),INDEX(PARAMS_BMP,4,5),IF(AND(D47="Bioretention",E47="Enhanced w/ Underdrain"),INDEX(PARAMS_BMP,5,5),IF(AND(D47="Dry Swale",E47="—"),INDEX(PARAMS_BMP,6,5),IF(AND(D47="Wet Swale",E47="—"),INDEX(PARAMS_BMP,7,5),""))))))),"")</f>
        <v/>
      </c>
      <c r="K47" s="17">
        <f>IFERROR(F47*G47*J47,0)</f>
        <v/>
      </c>
      <c r="L47" s="17">
        <f>IFERROR(IF(I47=0,"",G47/I47),"")</f>
        <v/>
      </c>
      <c r="M47" s="28">
        <f>IFERROR(IF(L47="","",IF(L47&lt;=2,"✓","✗")),"")</f>
        <v/>
      </c>
      <c r="N47" s="4" t="n"/>
      <c r="O47" s="4" t="n"/>
      <c r="P47" s="17">
        <f>IFERROR((N47+O47)/2,0)</f>
        <v/>
      </c>
      <c r="Q47" s="4" t="n"/>
      <c r="R47" s="17">
        <f>IFERROR(IF(AND(D47="Permeable Pavement",E47="Enhanced"),INDEX(PARAMS_BMP,1,3),IF(AND(D47="Permeable Pavement",E47="Underdrained Enhanced"),INDEX(PARAMS_BMP,2,3),IF(AND(D47="Bioretention",E47="Standard"),INDEX(PARAMS_BMP,3,3),IF(AND(D47="Bioretention",E47="Enhanced"),INDEX(PARAMS_BMP,4,3),IF(AND(D47="Bioretention",E47="Enhanced w/ Underdrain"),INDEX(PARAMS_BMP,5,3),IF(AND(D47="Dry Swale",E47="—"),INDEX(PARAMS_BMP,6,3),IF(AND(D47="Wet Swale",E47="—"),INDEX(PARAMS_BMP,7,3),""))))))),"")</f>
        <v/>
      </c>
      <c r="S47" s="4" t="n"/>
      <c r="T47" s="17">
        <f>IFERROR(IF(AND(D47="Permeable Pavement",E47="Enhanced"),INDEX(PARAMS_BMP,1,4),IF(AND(D47="Permeable Pavement",E47="Underdrained Enhanced"),INDEX(PARAMS_BMP,2,4),IF(AND(D47="Bioretention",E47="Standard"),INDEX(PARAMS_BMP,3,4),IF(AND(D47="Bioretention",E47="Enhanced"),INDEX(PARAMS_BMP,4,4),IF(AND(D47="Bioretention",E47="Enhanced w/ Underdrain"),INDEX(PARAMS_BMP,5,4),IF(AND(D47="Dry Swale",E47="—"),INDEX(PARAMS_BMP,6,4),IF(AND(D47="Wet Swale",E47="—"),INDEX(PARAMS_BMP,7,4),""))))))),"")</f>
        <v/>
      </c>
      <c r="U47" s="4" t="n"/>
      <c r="V47" s="4">
        <f>IFERROR(IF(OR(E47="Enhanced",E47="Enhanced w/ Underdrain"),VLOOKUP(IF(SUMIFS('CDA'!$E$4:$E$53,'CDA'!$A$4:$A$53,C47,'CDA'!$D$4:$D$53,"D")&gt;0,"D",IF(SUMIFS('CDA'!$E$4:$E$53,'CDA'!$A$4:$A$53,C47,'CDA'!$D$4:$D$53,"C")&gt;0,"C",IF(SUMIFS('CDA'!$E$4:$E$53,'CDA'!$A$4:$A$53,C47,'CDA'!$D$4:$D$53,"B")&gt;0,"B",IF(SUMIFS('CDA'!$E$4:$E$53,'CDA'!$A$4:$A$53,C47,'CDA'!$D$4:$D$53,"A")&gt;0,"A","")))),PARAMS_Ksat,2,FALSE),0),0)</f>
        <v/>
      </c>
      <c r="W47" s="17">
        <f>IFERROR(P47*(Q47*R47+S47*T47+U47),0)</f>
        <v/>
      </c>
      <c r="X47" s="28">
        <f>IFERROR(IF(V47=0,"",(Q47+S47)/V47),"")</f>
        <v/>
      </c>
      <c r="Y47" s="4" t="n"/>
      <c r="Z47" s="4" t="n"/>
      <c r="AA47" s="28">
        <f>IFERROR(Y47+Z47,0)</f>
        <v/>
      </c>
      <c r="AB47" s="4" t="n"/>
      <c r="AC47" s="4" t="n"/>
      <c r="AD47" s="4" t="n"/>
      <c r="AE47" s="4" t="n"/>
      <c r="AF47" s="4" t="n"/>
      <c r="AG47" s="4" t="n"/>
      <c r="AH47" s="28">
        <f>IFERROR(AB47*INDEX(PARAMS_Trees,1,3)+AC47*INDEX(PARAMS_Trees,2,3)+AD47*INDEX(PARAMS_Trees,3,3)+AE47*INDEX(PARAMS_Trees,4,3)+AF47*INDEX(PARAMS_Trees,5,3)+AG47*INDEX(PARAMS_Trees,6,3),0)</f>
        <v/>
      </c>
      <c r="AI47" s="17">
        <f>IFERROR(K47+W47+AA47,0)</f>
        <v/>
      </c>
      <c r="AJ47" s="17">
        <f>IFERROR(IF(AND(D47="Permeable Pavement",E47="Enhanced"),INDEX(PARAMS_BMP,1,6),IF(AND(D47="Permeable Pavement",E47="Underdrained Enhanced"),INDEX(PARAMS_BMP,2,6),IF(AND(D47="Bioretention",E47="Standard"),INDEX(PARAMS_BMP,3,6),IF(AND(D47="Bioretention",E47="Enhanced"),INDEX(PARAMS_BMP,4,6),IF(AND(D47="Bioretention",E47="Enhanced w/ Underdrain"),INDEX(PARAMS_BMP,5,6),IF(AND(D47="Dry Swale",E47="—"),INDEX(PARAMS_BMP,6,6),IF(AND(D47="Wet Swale",E47="—"),INDEX(PARAMS_BMP,7,6),""))))))),"")</f>
        <v/>
      </c>
      <c r="AK47" s="17">
        <f>IFERROR(AI47*AJ47+AH47,0)</f>
        <v/>
      </c>
      <c r="AL47" s="17">
        <f>IFERROR(VLOOKUP(C47,'CDA'!$A$58:$D$67,4,FALSE),0)</f>
        <v/>
      </c>
      <c r="AM47" s="28">
        <f>IFERROR(IF(AL47=0,AK47,MIN(AK47,AL47)),0)</f>
        <v/>
      </c>
    </row>
    <row r="48">
      <c r="A48" s="4" t="n"/>
      <c r="B48" s="4" t="n"/>
      <c r="C48" s="4" t="n"/>
      <c r="D48" s="4" t="n"/>
      <c r="E48" s="27" t="n"/>
      <c r="F48" s="4" t="n"/>
      <c r="G48" s="4" t="n"/>
      <c r="H48" s="4" t="n"/>
      <c r="I48" s="4">
        <f>IFERROR(IF(OR(E48="Enhanced",E48="Underdrained Enhanced"),VLOOKUP(IF(SUMIFS('CDA'!$E$4:$E$53,'CDA'!$A$4:$A$53,C48,'CDA'!$D$4:$D$53,"D")&gt;0,"D",IF(SUMIFS('CDA'!$E$4:$E$53,'CDA'!$A$4:$A$53,C48,'CDA'!$D$4:$D$53,"C")&gt;0,"C",IF(SUMIFS('CDA'!$E$4:$E$53,'CDA'!$A$4:$A$53,C48,'CDA'!$D$4:$D$53,"B")&gt;0,"B",IF(SUMIFS('CDA'!$E$4:$E$53,'CDA'!$A$4:$A$53,C48,'CDA'!$D$4:$D$53,"A")&gt;0,"A","")))),PARAMS_Ksat,2,FALSE),0),0)</f>
        <v/>
      </c>
      <c r="J48" s="17">
        <f>IFERROR(IF(AND(D48="Permeable Pavement",E48="Enhanced"),INDEX(PARAMS_BMP,1,5),IF(AND(D48="Permeable Pavement",E48="Underdrained Enhanced"),INDEX(PARAMS_BMP,2,5),IF(AND(D48="Bioretention",E48="Standard"),INDEX(PARAMS_BMP,3,5),IF(AND(D48="Bioretention",E48="Enhanced"),INDEX(PARAMS_BMP,4,5),IF(AND(D48="Bioretention",E48="Enhanced w/ Underdrain"),INDEX(PARAMS_BMP,5,5),IF(AND(D48="Dry Swale",E48="—"),INDEX(PARAMS_BMP,6,5),IF(AND(D48="Wet Swale",E48="—"),INDEX(PARAMS_BMP,7,5),""))))))),"")</f>
        <v/>
      </c>
      <c r="K48" s="17">
        <f>IFERROR(F48*G48*J48,0)</f>
        <v/>
      </c>
      <c r="L48" s="17">
        <f>IFERROR(IF(I48=0,"",G48/I48),"")</f>
        <v/>
      </c>
      <c r="M48" s="28">
        <f>IFERROR(IF(L48="","",IF(L48&lt;=2,"✓","✗")),"")</f>
        <v/>
      </c>
      <c r="N48" s="4" t="n"/>
      <c r="O48" s="4" t="n"/>
      <c r="P48" s="17">
        <f>IFERROR((N48+O48)/2,0)</f>
        <v/>
      </c>
      <c r="Q48" s="4" t="n"/>
      <c r="R48" s="17">
        <f>IFERROR(IF(AND(D48="Permeable Pavement",E48="Enhanced"),INDEX(PARAMS_BMP,1,3),IF(AND(D48="Permeable Pavement",E48="Underdrained Enhanced"),INDEX(PARAMS_BMP,2,3),IF(AND(D48="Bioretention",E48="Standard"),INDEX(PARAMS_BMP,3,3),IF(AND(D48="Bioretention",E48="Enhanced"),INDEX(PARAMS_BMP,4,3),IF(AND(D48="Bioretention",E48="Enhanced w/ Underdrain"),INDEX(PARAMS_BMP,5,3),IF(AND(D48="Dry Swale",E48="—"),INDEX(PARAMS_BMP,6,3),IF(AND(D48="Wet Swale",E48="—"),INDEX(PARAMS_BMP,7,3),""))))))),"")</f>
        <v/>
      </c>
      <c r="S48" s="4" t="n"/>
      <c r="T48" s="17">
        <f>IFERROR(IF(AND(D48="Permeable Pavement",E48="Enhanced"),INDEX(PARAMS_BMP,1,4),IF(AND(D48="Permeable Pavement",E48="Underdrained Enhanced"),INDEX(PARAMS_BMP,2,4),IF(AND(D48="Bioretention",E48="Standard"),INDEX(PARAMS_BMP,3,4),IF(AND(D48="Bioretention",E48="Enhanced"),INDEX(PARAMS_BMP,4,4),IF(AND(D48="Bioretention",E48="Enhanced w/ Underdrain"),INDEX(PARAMS_BMP,5,4),IF(AND(D48="Dry Swale",E48="—"),INDEX(PARAMS_BMP,6,4),IF(AND(D48="Wet Swale",E48="—"),INDEX(PARAMS_BMP,7,4),""))))))),"")</f>
        <v/>
      </c>
      <c r="U48" s="4" t="n"/>
      <c r="V48" s="4">
        <f>IFERROR(IF(OR(E48="Enhanced",E48="Enhanced w/ Underdrain"),VLOOKUP(IF(SUMIFS('CDA'!$E$4:$E$53,'CDA'!$A$4:$A$53,C48,'CDA'!$D$4:$D$53,"D")&gt;0,"D",IF(SUMIFS('CDA'!$E$4:$E$53,'CDA'!$A$4:$A$53,C48,'CDA'!$D$4:$D$53,"C")&gt;0,"C",IF(SUMIFS('CDA'!$E$4:$E$53,'CDA'!$A$4:$A$53,C48,'CDA'!$D$4:$D$53,"B")&gt;0,"B",IF(SUMIFS('CDA'!$E$4:$E$53,'CDA'!$A$4:$A$53,C48,'CDA'!$D$4:$D$53,"A")&gt;0,"A","")))),PARAMS_Ksat,2,FALSE),0),0)</f>
        <v/>
      </c>
      <c r="W48" s="17">
        <f>IFERROR(P48*(Q48*R48+S48*T48+U48),0)</f>
        <v/>
      </c>
      <c r="X48" s="28">
        <f>IFERROR(IF(V48=0,"",(Q48+S48)/V48),"")</f>
        <v/>
      </c>
      <c r="Y48" s="4" t="n"/>
      <c r="Z48" s="4" t="n"/>
      <c r="AA48" s="28">
        <f>IFERROR(Y48+Z48,0)</f>
        <v/>
      </c>
      <c r="AB48" s="4" t="n"/>
      <c r="AC48" s="4" t="n"/>
      <c r="AD48" s="4" t="n"/>
      <c r="AE48" s="4" t="n"/>
      <c r="AF48" s="4" t="n"/>
      <c r="AG48" s="4" t="n"/>
      <c r="AH48" s="28">
        <f>IFERROR(AB48*INDEX(PARAMS_Trees,1,3)+AC48*INDEX(PARAMS_Trees,2,3)+AD48*INDEX(PARAMS_Trees,3,3)+AE48*INDEX(PARAMS_Trees,4,3)+AF48*INDEX(PARAMS_Trees,5,3)+AG48*INDEX(PARAMS_Trees,6,3),0)</f>
        <v/>
      </c>
      <c r="AI48" s="17">
        <f>IFERROR(K48+W48+AA48,0)</f>
        <v/>
      </c>
      <c r="AJ48" s="17">
        <f>IFERROR(IF(AND(D48="Permeable Pavement",E48="Enhanced"),INDEX(PARAMS_BMP,1,6),IF(AND(D48="Permeable Pavement",E48="Underdrained Enhanced"),INDEX(PARAMS_BMP,2,6),IF(AND(D48="Bioretention",E48="Standard"),INDEX(PARAMS_BMP,3,6),IF(AND(D48="Bioretention",E48="Enhanced"),INDEX(PARAMS_BMP,4,6),IF(AND(D48="Bioretention",E48="Enhanced w/ Underdrain"),INDEX(PARAMS_BMP,5,6),IF(AND(D48="Dry Swale",E48="—"),INDEX(PARAMS_BMP,6,6),IF(AND(D48="Wet Swale",E48="—"),INDEX(PARAMS_BMP,7,6),""))))))),"")</f>
        <v/>
      </c>
      <c r="AK48" s="17">
        <f>IFERROR(AI48*AJ48+AH48,0)</f>
        <v/>
      </c>
      <c r="AL48" s="17">
        <f>IFERROR(VLOOKUP(C48,'CDA'!$A$58:$D$67,4,FALSE),0)</f>
        <v/>
      </c>
      <c r="AM48" s="28">
        <f>IFERROR(IF(AL48=0,AK48,MIN(AK48,AL48)),0)</f>
        <v/>
      </c>
    </row>
    <row r="49">
      <c r="A49" s="4" t="n"/>
      <c r="B49" s="4" t="n"/>
      <c r="C49" s="4" t="n"/>
      <c r="D49" s="4" t="n"/>
      <c r="E49" s="27" t="n"/>
      <c r="F49" s="4" t="n"/>
      <c r="G49" s="4" t="n"/>
      <c r="H49" s="4" t="n"/>
      <c r="I49" s="4">
        <f>IFERROR(IF(OR(E49="Enhanced",E49="Underdrained Enhanced"),VLOOKUP(IF(SUMIFS('CDA'!$E$4:$E$53,'CDA'!$A$4:$A$53,C49,'CDA'!$D$4:$D$53,"D")&gt;0,"D",IF(SUMIFS('CDA'!$E$4:$E$53,'CDA'!$A$4:$A$53,C49,'CDA'!$D$4:$D$53,"C")&gt;0,"C",IF(SUMIFS('CDA'!$E$4:$E$53,'CDA'!$A$4:$A$53,C49,'CDA'!$D$4:$D$53,"B")&gt;0,"B",IF(SUMIFS('CDA'!$E$4:$E$53,'CDA'!$A$4:$A$53,C49,'CDA'!$D$4:$D$53,"A")&gt;0,"A","")))),PARAMS_Ksat,2,FALSE),0),0)</f>
        <v/>
      </c>
      <c r="J49" s="17">
        <f>IFERROR(IF(AND(D49="Permeable Pavement",E49="Enhanced"),INDEX(PARAMS_BMP,1,5),IF(AND(D49="Permeable Pavement",E49="Underdrained Enhanced"),INDEX(PARAMS_BMP,2,5),IF(AND(D49="Bioretention",E49="Standard"),INDEX(PARAMS_BMP,3,5),IF(AND(D49="Bioretention",E49="Enhanced"),INDEX(PARAMS_BMP,4,5),IF(AND(D49="Bioretention",E49="Enhanced w/ Underdrain"),INDEX(PARAMS_BMP,5,5),IF(AND(D49="Dry Swale",E49="—"),INDEX(PARAMS_BMP,6,5),IF(AND(D49="Wet Swale",E49="—"),INDEX(PARAMS_BMP,7,5),""))))))),"")</f>
        <v/>
      </c>
      <c r="K49" s="17">
        <f>IFERROR(F49*G49*J49,0)</f>
        <v/>
      </c>
      <c r="L49" s="17">
        <f>IFERROR(IF(I49=0,"",G49/I49),"")</f>
        <v/>
      </c>
      <c r="M49" s="28">
        <f>IFERROR(IF(L49="","",IF(L49&lt;=2,"✓","✗")),"")</f>
        <v/>
      </c>
      <c r="N49" s="4" t="n"/>
      <c r="O49" s="4" t="n"/>
      <c r="P49" s="17">
        <f>IFERROR((N49+O49)/2,0)</f>
        <v/>
      </c>
      <c r="Q49" s="4" t="n"/>
      <c r="R49" s="17">
        <f>IFERROR(IF(AND(D49="Permeable Pavement",E49="Enhanced"),INDEX(PARAMS_BMP,1,3),IF(AND(D49="Permeable Pavement",E49="Underdrained Enhanced"),INDEX(PARAMS_BMP,2,3),IF(AND(D49="Bioretention",E49="Standard"),INDEX(PARAMS_BMP,3,3),IF(AND(D49="Bioretention",E49="Enhanced"),INDEX(PARAMS_BMP,4,3),IF(AND(D49="Bioretention",E49="Enhanced w/ Underdrain"),INDEX(PARAMS_BMP,5,3),IF(AND(D49="Dry Swale",E49="—"),INDEX(PARAMS_BMP,6,3),IF(AND(D49="Wet Swale",E49="—"),INDEX(PARAMS_BMP,7,3),""))))))),"")</f>
        <v/>
      </c>
      <c r="S49" s="4" t="n"/>
      <c r="T49" s="17">
        <f>IFERROR(IF(AND(D49="Permeable Pavement",E49="Enhanced"),INDEX(PARAMS_BMP,1,4),IF(AND(D49="Permeable Pavement",E49="Underdrained Enhanced"),INDEX(PARAMS_BMP,2,4),IF(AND(D49="Bioretention",E49="Standard"),INDEX(PARAMS_BMP,3,4),IF(AND(D49="Bioretention",E49="Enhanced"),INDEX(PARAMS_BMP,4,4),IF(AND(D49="Bioretention",E49="Enhanced w/ Underdrain"),INDEX(PARAMS_BMP,5,4),IF(AND(D49="Dry Swale",E49="—"),INDEX(PARAMS_BMP,6,4),IF(AND(D49="Wet Swale",E49="—"),INDEX(PARAMS_BMP,7,4),""))))))),"")</f>
        <v/>
      </c>
      <c r="U49" s="4" t="n"/>
      <c r="V49" s="4">
        <f>IFERROR(IF(OR(E49="Enhanced",E49="Enhanced w/ Underdrain"),VLOOKUP(IF(SUMIFS('CDA'!$E$4:$E$53,'CDA'!$A$4:$A$53,C49,'CDA'!$D$4:$D$53,"D")&gt;0,"D",IF(SUMIFS('CDA'!$E$4:$E$53,'CDA'!$A$4:$A$53,C49,'CDA'!$D$4:$D$53,"C")&gt;0,"C",IF(SUMIFS('CDA'!$E$4:$E$53,'CDA'!$A$4:$A$53,C49,'CDA'!$D$4:$D$53,"B")&gt;0,"B",IF(SUMIFS('CDA'!$E$4:$E$53,'CDA'!$A$4:$A$53,C49,'CDA'!$D$4:$D$53,"A")&gt;0,"A","")))),PARAMS_Ksat,2,FALSE),0),0)</f>
        <v/>
      </c>
      <c r="W49" s="17">
        <f>IFERROR(P49*(Q49*R49+S49*T49+U49),0)</f>
        <v/>
      </c>
      <c r="X49" s="28">
        <f>IFERROR(IF(V49=0,"",(Q49+S49)/V49),"")</f>
        <v/>
      </c>
      <c r="Y49" s="4" t="n"/>
      <c r="Z49" s="4" t="n"/>
      <c r="AA49" s="28">
        <f>IFERROR(Y49+Z49,0)</f>
        <v/>
      </c>
      <c r="AB49" s="4" t="n"/>
      <c r="AC49" s="4" t="n"/>
      <c r="AD49" s="4" t="n"/>
      <c r="AE49" s="4" t="n"/>
      <c r="AF49" s="4" t="n"/>
      <c r="AG49" s="4" t="n"/>
      <c r="AH49" s="28">
        <f>IFERROR(AB49*INDEX(PARAMS_Trees,1,3)+AC49*INDEX(PARAMS_Trees,2,3)+AD49*INDEX(PARAMS_Trees,3,3)+AE49*INDEX(PARAMS_Trees,4,3)+AF49*INDEX(PARAMS_Trees,5,3)+AG49*INDEX(PARAMS_Trees,6,3),0)</f>
        <v/>
      </c>
      <c r="AI49" s="17">
        <f>IFERROR(K49+W49+AA49,0)</f>
        <v/>
      </c>
      <c r="AJ49" s="17">
        <f>IFERROR(IF(AND(D49="Permeable Pavement",E49="Enhanced"),INDEX(PARAMS_BMP,1,6),IF(AND(D49="Permeable Pavement",E49="Underdrained Enhanced"),INDEX(PARAMS_BMP,2,6),IF(AND(D49="Bioretention",E49="Standard"),INDEX(PARAMS_BMP,3,6),IF(AND(D49="Bioretention",E49="Enhanced"),INDEX(PARAMS_BMP,4,6),IF(AND(D49="Bioretention",E49="Enhanced w/ Underdrain"),INDEX(PARAMS_BMP,5,6),IF(AND(D49="Dry Swale",E49="—"),INDEX(PARAMS_BMP,6,6),IF(AND(D49="Wet Swale",E49="—"),INDEX(PARAMS_BMP,7,6),""))))))),"")</f>
        <v/>
      </c>
      <c r="AK49" s="17">
        <f>IFERROR(AI49*AJ49+AH49,0)</f>
        <v/>
      </c>
      <c r="AL49" s="17">
        <f>IFERROR(VLOOKUP(C49,'CDA'!$A$58:$D$67,4,FALSE),0)</f>
        <v/>
      </c>
      <c r="AM49" s="28">
        <f>IFERROR(IF(AL49=0,AK49,MIN(AK49,AL49)),0)</f>
        <v/>
      </c>
    </row>
    <row r="50">
      <c r="A50" s="4" t="n"/>
      <c r="B50" s="4" t="n"/>
      <c r="C50" s="4" t="n"/>
      <c r="D50" s="4" t="n"/>
      <c r="E50" s="27" t="n"/>
      <c r="F50" s="4" t="n"/>
      <c r="G50" s="4" t="n"/>
      <c r="H50" s="4" t="n"/>
      <c r="I50" s="4">
        <f>IFERROR(IF(OR(E50="Enhanced",E50="Underdrained Enhanced"),VLOOKUP(IF(SUMIFS('CDA'!$E$4:$E$53,'CDA'!$A$4:$A$53,C50,'CDA'!$D$4:$D$53,"D")&gt;0,"D",IF(SUMIFS('CDA'!$E$4:$E$53,'CDA'!$A$4:$A$53,C50,'CDA'!$D$4:$D$53,"C")&gt;0,"C",IF(SUMIFS('CDA'!$E$4:$E$53,'CDA'!$A$4:$A$53,C50,'CDA'!$D$4:$D$53,"B")&gt;0,"B",IF(SUMIFS('CDA'!$E$4:$E$53,'CDA'!$A$4:$A$53,C50,'CDA'!$D$4:$D$53,"A")&gt;0,"A","")))),PARAMS_Ksat,2,FALSE),0),0)</f>
        <v/>
      </c>
      <c r="J50" s="17">
        <f>IFERROR(IF(AND(D50="Permeable Pavement",E50="Enhanced"),INDEX(PARAMS_BMP,1,5),IF(AND(D50="Permeable Pavement",E50="Underdrained Enhanced"),INDEX(PARAMS_BMP,2,5),IF(AND(D50="Bioretention",E50="Standard"),INDEX(PARAMS_BMP,3,5),IF(AND(D50="Bioretention",E50="Enhanced"),INDEX(PARAMS_BMP,4,5),IF(AND(D50="Bioretention",E50="Enhanced w/ Underdrain"),INDEX(PARAMS_BMP,5,5),IF(AND(D50="Dry Swale",E50="—"),INDEX(PARAMS_BMP,6,5),IF(AND(D50="Wet Swale",E50="—"),INDEX(PARAMS_BMP,7,5),""))))))),"")</f>
        <v/>
      </c>
      <c r="K50" s="17">
        <f>IFERROR(F50*G50*J50,0)</f>
        <v/>
      </c>
      <c r="L50" s="17">
        <f>IFERROR(IF(I50=0,"",G50/I50),"")</f>
        <v/>
      </c>
      <c r="M50" s="28">
        <f>IFERROR(IF(L50="","",IF(L50&lt;=2,"✓","✗")),"")</f>
        <v/>
      </c>
      <c r="N50" s="4" t="n"/>
      <c r="O50" s="4" t="n"/>
      <c r="P50" s="17">
        <f>IFERROR((N50+O50)/2,0)</f>
        <v/>
      </c>
      <c r="Q50" s="4" t="n"/>
      <c r="R50" s="17">
        <f>IFERROR(IF(AND(D50="Permeable Pavement",E50="Enhanced"),INDEX(PARAMS_BMP,1,3),IF(AND(D50="Permeable Pavement",E50="Underdrained Enhanced"),INDEX(PARAMS_BMP,2,3),IF(AND(D50="Bioretention",E50="Standard"),INDEX(PARAMS_BMP,3,3),IF(AND(D50="Bioretention",E50="Enhanced"),INDEX(PARAMS_BMP,4,3),IF(AND(D50="Bioretention",E50="Enhanced w/ Underdrain"),INDEX(PARAMS_BMP,5,3),IF(AND(D50="Dry Swale",E50="—"),INDEX(PARAMS_BMP,6,3),IF(AND(D50="Wet Swale",E50="—"),INDEX(PARAMS_BMP,7,3),""))))))),"")</f>
        <v/>
      </c>
      <c r="S50" s="4" t="n"/>
      <c r="T50" s="17">
        <f>IFERROR(IF(AND(D50="Permeable Pavement",E50="Enhanced"),INDEX(PARAMS_BMP,1,4),IF(AND(D50="Permeable Pavement",E50="Underdrained Enhanced"),INDEX(PARAMS_BMP,2,4),IF(AND(D50="Bioretention",E50="Standard"),INDEX(PARAMS_BMP,3,4),IF(AND(D50="Bioretention",E50="Enhanced"),INDEX(PARAMS_BMP,4,4),IF(AND(D50="Bioretention",E50="Enhanced w/ Underdrain"),INDEX(PARAMS_BMP,5,4),IF(AND(D50="Dry Swale",E50="—"),INDEX(PARAMS_BMP,6,4),IF(AND(D50="Wet Swale",E50="—"),INDEX(PARAMS_BMP,7,4),""))))))),"")</f>
        <v/>
      </c>
      <c r="U50" s="4" t="n"/>
      <c r="V50" s="4">
        <f>IFERROR(IF(OR(E50="Enhanced",E50="Enhanced w/ Underdrain"),VLOOKUP(IF(SUMIFS('CDA'!$E$4:$E$53,'CDA'!$A$4:$A$53,C50,'CDA'!$D$4:$D$53,"D")&gt;0,"D",IF(SUMIFS('CDA'!$E$4:$E$53,'CDA'!$A$4:$A$53,C50,'CDA'!$D$4:$D$53,"C")&gt;0,"C",IF(SUMIFS('CDA'!$E$4:$E$53,'CDA'!$A$4:$A$53,C50,'CDA'!$D$4:$D$53,"B")&gt;0,"B",IF(SUMIFS('CDA'!$E$4:$E$53,'CDA'!$A$4:$A$53,C50,'CDA'!$D$4:$D$53,"A")&gt;0,"A","")))),PARAMS_Ksat,2,FALSE),0),0)</f>
        <v/>
      </c>
      <c r="W50" s="17">
        <f>IFERROR(P50*(Q50*R50+S50*T50+U50),0)</f>
        <v/>
      </c>
      <c r="X50" s="28">
        <f>IFERROR(IF(V50=0,"",(Q50+S50)/V50),"")</f>
        <v/>
      </c>
      <c r="Y50" s="4" t="n"/>
      <c r="Z50" s="4" t="n"/>
      <c r="AA50" s="28">
        <f>IFERROR(Y50+Z50,0)</f>
        <v/>
      </c>
      <c r="AB50" s="4" t="n"/>
      <c r="AC50" s="4" t="n"/>
      <c r="AD50" s="4" t="n"/>
      <c r="AE50" s="4" t="n"/>
      <c r="AF50" s="4" t="n"/>
      <c r="AG50" s="4" t="n"/>
      <c r="AH50" s="28">
        <f>IFERROR(AB50*INDEX(PARAMS_Trees,1,3)+AC50*INDEX(PARAMS_Trees,2,3)+AD50*INDEX(PARAMS_Trees,3,3)+AE50*INDEX(PARAMS_Trees,4,3)+AF50*INDEX(PARAMS_Trees,5,3)+AG50*INDEX(PARAMS_Trees,6,3),0)</f>
        <v/>
      </c>
      <c r="AI50" s="17">
        <f>IFERROR(K50+W50+AA50,0)</f>
        <v/>
      </c>
      <c r="AJ50" s="17">
        <f>IFERROR(IF(AND(D50="Permeable Pavement",E50="Enhanced"),INDEX(PARAMS_BMP,1,6),IF(AND(D50="Permeable Pavement",E50="Underdrained Enhanced"),INDEX(PARAMS_BMP,2,6),IF(AND(D50="Bioretention",E50="Standard"),INDEX(PARAMS_BMP,3,6),IF(AND(D50="Bioretention",E50="Enhanced"),INDEX(PARAMS_BMP,4,6),IF(AND(D50="Bioretention",E50="Enhanced w/ Underdrain"),INDEX(PARAMS_BMP,5,6),IF(AND(D50="Dry Swale",E50="—"),INDEX(PARAMS_BMP,6,6),IF(AND(D50="Wet Swale",E50="—"),INDEX(PARAMS_BMP,7,6),""))))))),"")</f>
        <v/>
      </c>
      <c r="AK50" s="17">
        <f>IFERROR(AI50*AJ50+AH50,0)</f>
        <v/>
      </c>
      <c r="AL50" s="17">
        <f>IFERROR(VLOOKUP(C50,'CDA'!$A$58:$D$67,4,FALSE),0)</f>
        <v/>
      </c>
      <c r="AM50" s="28">
        <f>IFERROR(IF(AL50=0,AK50,MIN(AK50,AL50)),0)</f>
        <v/>
      </c>
    </row>
    <row r="51">
      <c r="A51" s="4" t="n"/>
      <c r="B51" s="4" t="n"/>
      <c r="C51" s="4" t="n"/>
      <c r="D51" s="4" t="n"/>
      <c r="E51" s="27" t="n"/>
      <c r="F51" s="4" t="n"/>
      <c r="G51" s="4" t="n"/>
      <c r="H51" s="4" t="n"/>
      <c r="I51" s="4">
        <f>IFERROR(IF(OR(E51="Enhanced",E51="Underdrained Enhanced"),VLOOKUP(IF(SUMIFS('CDA'!$E$4:$E$53,'CDA'!$A$4:$A$53,C51,'CDA'!$D$4:$D$53,"D")&gt;0,"D",IF(SUMIFS('CDA'!$E$4:$E$53,'CDA'!$A$4:$A$53,C51,'CDA'!$D$4:$D$53,"C")&gt;0,"C",IF(SUMIFS('CDA'!$E$4:$E$53,'CDA'!$A$4:$A$53,C51,'CDA'!$D$4:$D$53,"B")&gt;0,"B",IF(SUMIFS('CDA'!$E$4:$E$53,'CDA'!$A$4:$A$53,C51,'CDA'!$D$4:$D$53,"A")&gt;0,"A","")))),PARAMS_Ksat,2,FALSE),0),0)</f>
        <v/>
      </c>
      <c r="J51" s="17">
        <f>IFERROR(IF(AND(D51="Permeable Pavement",E51="Enhanced"),INDEX(PARAMS_BMP,1,5),IF(AND(D51="Permeable Pavement",E51="Underdrained Enhanced"),INDEX(PARAMS_BMP,2,5),IF(AND(D51="Bioretention",E51="Standard"),INDEX(PARAMS_BMP,3,5),IF(AND(D51="Bioretention",E51="Enhanced"),INDEX(PARAMS_BMP,4,5),IF(AND(D51="Bioretention",E51="Enhanced w/ Underdrain"),INDEX(PARAMS_BMP,5,5),IF(AND(D51="Dry Swale",E51="—"),INDEX(PARAMS_BMP,6,5),IF(AND(D51="Wet Swale",E51="—"),INDEX(PARAMS_BMP,7,5),""))))))),"")</f>
        <v/>
      </c>
      <c r="K51" s="17">
        <f>IFERROR(F51*G51*J51,0)</f>
        <v/>
      </c>
      <c r="L51" s="17">
        <f>IFERROR(IF(I51=0,"",G51/I51),"")</f>
        <v/>
      </c>
      <c r="M51" s="28">
        <f>IFERROR(IF(L51="","",IF(L51&lt;=2,"✓","✗")),"")</f>
        <v/>
      </c>
      <c r="N51" s="4" t="n"/>
      <c r="O51" s="4" t="n"/>
      <c r="P51" s="17">
        <f>IFERROR((N51+O51)/2,0)</f>
        <v/>
      </c>
      <c r="Q51" s="4" t="n"/>
      <c r="R51" s="17">
        <f>IFERROR(IF(AND(D51="Permeable Pavement",E51="Enhanced"),INDEX(PARAMS_BMP,1,3),IF(AND(D51="Permeable Pavement",E51="Underdrained Enhanced"),INDEX(PARAMS_BMP,2,3),IF(AND(D51="Bioretention",E51="Standard"),INDEX(PARAMS_BMP,3,3),IF(AND(D51="Bioretention",E51="Enhanced"),INDEX(PARAMS_BMP,4,3),IF(AND(D51="Bioretention",E51="Enhanced w/ Underdrain"),INDEX(PARAMS_BMP,5,3),IF(AND(D51="Dry Swale",E51="—"),INDEX(PARAMS_BMP,6,3),IF(AND(D51="Wet Swale",E51="—"),INDEX(PARAMS_BMP,7,3),""))))))),"")</f>
        <v/>
      </c>
      <c r="S51" s="4" t="n"/>
      <c r="T51" s="17">
        <f>IFERROR(IF(AND(D51="Permeable Pavement",E51="Enhanced"),INDEX(PARAMS_BMP,1,4),IF(AND(D51="Permeable Pavement",E51="Underdrained Enhanced"),INDEX(PARAMS_BMP,2,4),IF(AND(D51="Bioretention",E51="Standard"),INDEX(PARAMS_BMP,3,4),IF(AND(D51="Bioretention",E51="Enhanced"),INDEX(PARAMS_BMP,4,4),IF(AND(D51="Bioretention",E51="Enhanced w/ Underdrain"),INDEX(PARAMS_BMP,5,4),IF(AND(D51="Dry Swale",E51="—"),INDEX(PARAMS_BMP,6,4),IF(AND(D51="Wet Swale",E51="—"),INDEX(PARAMS_BMP,7,4),""))))))),"")</f>
        <v/>
      </c>
      <c r="U51" s="4" t="n"/>
      <c r="V51" s="4">
        <f>IFERROR(IF(OR(E51="Enhanced",E51="Enhanced w/ Underdrain"),VLOOKUP(IF(SUMIFS('CDA'!$E$4:$E$53,'CDA'!$A$4:$A$53,C51,'CDA'!$D$4:$D$53,"D")&gt;0,"D",IF(SUMIFS('CDA'!$E$4:$E$53,'CDA'!$A$4:$A$53,C51,'CDA'!$D$4:$D$53,"C")&gt;0,"C",IF(SUMIFS('CDA'!$E$4:$E$53,'CDA'!$A$4:$A$53,C51,'CDA'!$D$4:$D$53,"B")&gt;0,"B",IF(SUMIFS('CDA'!$E$4:$E$53,'CDA'!$A$4:$A$53,C51,'CDA'!$D$4:$D$53,"A")&gt;0,"A","")))),PARAMS_Ksat,2,FALSE),0),0)</f>
        <v/>
      </c>
      <c r="W51" s="17">
        <f>IFERROR(P51*(Q51*R51+S51*T51+U51),0)</f>
        <v/>
      </c>
      <c r="X51" s="28">
        <f>IFERROR(IF(V51=0,"",(Q51+S51)/V51),"")</f>
        <v/>
      </c>
      <c r="Y51" s="4" t="n"/>
      <c r="Z51" s="4" t="n"/>
      <c r="AA51" s="28">
        <f>IFERROR(Y51+Z51,0)</f>
        <v/>
      </c>
      <c r="AB51" s="4" t="n"/>
      <c r="AC51" s="4" t="n"/>
      <c r="AD51" s="4" t="n"/>
      <c r="AE51" s="4" t="n"/>
      <c r="AF51" s="4" t="n"/>
      <c r="AG51" s="4" t="n"/>
      <c r="AH51" s="28">
        <f>IFERROR(AB51*INDEX(PARAMS_Trees,1,3)+AC51*INDEX(PARAMS_Trees,2,3)+AD51*INDEX(PARAMS_Trees,3,3)+AE51*INDEX(PARAMS_Trees,4,3)+AF51*INDEX(PARAMS_Trees,5,3)+AG51*INDEX(PARAMS_Trees,6,3),0)</f>
        <v/>
      </c>
      <c r="AI51" s="17">
        <f>IFERROR(K51+W51+AA51,0)</f>
        <v/>
      </c>
      <c r="AJ51" s="17">
        <f>IFERROR(IF(AND(D51="Permeable Pavement",E51="Enhanced"),INDEX(PARAMS_BMP,1,6),IF(AND(D51="Permeable Pavement",E51="Underdrained Enhanced"),INDEX(PARAMS_BMP,2,6),IF(AND(D51="Bioretention",E51="Standard"),INDEX(PARAMS_BMP,3,6),IF(AND(D51="Bioretention",E51="Enhanced"),INDEX(PARAMS_BMP,4,6),IF(AND(D51="Bioretention",E51="Enhanced w/ Underdrain"),INDEX(PARAMS_BMP,5,6),IF(AND(D51="Dry Swale",E51="—"),INDEX(PARAMS_BMP,6,6),IF(AND(D51="Wet Swale",E51="—"),INDEX(PARAMS_BMP,7,6),""))))))),"")</f>
        <v/>
      </c>
      <c r="AK51" s="17">
        <f>IFERROR(AI51*AJ51+AH51,0)</f>
        <v/>
      </c>
      <c r="AL51" s="17">
        <f>IFERROR(VLOOKUP(C51,'CDA'!$A$58:$D$67,4,FALSE),0)</f>
        <v/>
      </c>
      <c r="AM51" s="28">
        <f>IFERROR(IF(AL51=0,AK51,MIN(AK51,AL51)),0)</f>
        <v/>
      </c>
    </row>
    <row r="52">
      <c r="A52" s="4" t="n"/>
      <c r="B52" s="4" t="n"/>
      <c r="C52" s="4" t="n"/>
      <c r="D52" s="4" t="n"/>
      <c r="E52" s="27" t="n"/>
      <c r="F52" s="4" t="n"/>
      <c r="G52" s="4" t="n"/>
      <c r="H52" s="4" t="n"/>
      <c r="I52" s="4">
        <f>IFERROR(IF(OR(E52="Enhanced",E52="Underdrained Enhanced"),VLOOKUP(IF(SUMIFS('CDA'!$E$4:$E$53,'CDA'!$A$4:$A$53,C52,'CDA'!$D$4:$D$53,"D")&gt;0,"D",IF(SUMIFS('CDA'!$E$4:$E$53,'CDA'!$A$4:$A$53,C52,'CDA'!$D$4:$D$53,"C")&gt;0,"C",IF(SUMIFS('CDA'!$E$4:$E$53,'CDA'!$A$4:$A$53,C52,'CDA'!$D$4:$D$53,"B")&gt;0,"B",IF(SUMIFS('CDA'!$E$4:$E$53,'CDA'!$A$4:$A$53,C52,'CDA'!$D$4:$D$53,"A")&gt;0,"A","")))),PARAMS_Ksat,2,FALSE),0),0)</f>
        <v/>
      </c>
      <c r="J52" s="17">
        <f>IFERROR(IF(AND(D52="Permeable Pavement",E52="Enhanced"),INDEX(PARAMS_BMP,1,5),IF(AND(D52="Permeable Pavement",E52="Underdrained Enhanced"),INDEX(PARAMS_BMP,2,5),IF(AND(D52="Bioretention",E52="Standard"),INDEX(PARAMS_BMP,3,5),IF(AND(D52="Bioretention",E52="Enhanced"),INDEX(PARAMS_BMP,4,5),IF(AND(D52="Bioretention",E52="Enhanced w/ Underdrain"),INDEX(PARAMS_BMP,5,5),IF(AND(D52="Dry Swale",E52="—"),INDEX(PARAMS_BMP,6,5),IF(AND(D52="Wet Swale",E52="—"),INDEX(PARAMS_BMP,7,5),""))))))),"")</f>
        <v/>
      </c>
      <c r="K52" s="17">
        <f>IFERROR(F52*G52*J52,0)</f>
        <v/>
      </c>
      <c r="L52" s="17">
        <f>IFERROR(IF(I52=0,"",G52/I52),"")</f>
        <v/>
      </c>
      <c r="M52" s="28">
        <f>IFERROR(IF(L52="","",IF(L52&lt;=2,"✓","✗")),"")</f>
        <v/>
      </c>
      <c r="N52" s="4" t="n"/>
      <c r="O52" s="4" t="n"/>
      <c r="P52" s="17">
        <f>IFERROR((N52+O52)/2,0)</f>
        <v/>
      </c>
      <c r="Q52" s="4" t="n"/>
      <c r="R52" s="17">
        <f>IFERROR(IF(AND(D52="Permeable Pavement",E52="Enhanced"),INDEX(PARAMS_BMP,1,3),IF(AND(D52="Permeable Pavement",E52="Underdrained Enhanced"),INDEX(PARAMS_BMP,2,3),IF(AND(D52="Bioretention",E52="Standard"),INDEX(PARAMS_BMP,3,3),IF(AND(D52="Bioretention",E52="Enhanced"),INDEX(PARAMS_BMP,4,3),IF(AND(D52="Bioretention",E52="Enhanced w/ Underdrain"),INDEX(PARAMS_BMP,5,3),IF(AND(D52="Dry Swale",E52="—"),INDEX(PARAMS_BMP,6,3),IF(AND(D52="Wet Swale",E52="—"),INDEX(PARAMS_BMP,7,3),""))))))),"")</f>
        <v/>
      </c>
      <c r="S52" s="4" t="n"/>
      <c r="T52" s="17">
        <f>IFERROR(IF(AND(D52="Permeable Pavement",E52="Enhanced"),INDEX(PARAMS_BMP,1,4),IF(AND(D52="Permeable Pavement",E52="Underdrained Enhanced"),INDEX(PARAMS_BMP,2,4),IF(AND(D52="Bioretention",E52="Standard"),INDEX(PARAMS_BMP,3,4),IF(AND(D52="Bioretention",E52="Enhanced"),INDEX(PARAMS_BMP,4,4),IF(AND(D52="Bioretention",E52="Enhanced w/ Underdrain"),INDEX(PARAMS_BMP,5,4),IF(AND(D52="Dry Swale",E52="—"),INDEX(PARAMS_BMP,6,4),IF(AND(D52="Wet Swale",E52="—"),INDEX(PARAMS_BMP,7,4),""))))))),"")</f>
        <v/>
      </c>
      <c r="U52" s="4" t="n"/>
      <c r="V52" s="4">
        <f>IFERROR(IF(OR(E52="Enhanced",E52="Enhanced w/ Underdrain"),VLOOKUP(IF(SUMIFS('CDA'!$E$4:$E$53,'CDA'!$A$4:$A$53,C52,'CDA'!$D$4:$D$53,"D")&gt;0,"D",IF(SUMIFS('CDA'!$E$4:$E$53,'CDA'!$A$4:$A$53,C52,'CDA'!$D$4:$D$53,"C")&gt;0,"C",IF(SUMIFS('CDA'!$E$4:$E$53,'CDA'!$A$4:$A$53,C52,'CDA'!$D$4:$D$53,"B")&gt;0,"B",IF(SUMIFS('CDA'!$E$4:$E$53,'CDA'!$A$4:$A$53,C52,'CDA'!$D$4:$D$53,"A")&gt;0,"A","")))),PARAMS_Ksat,2,FALSE),0),0)</f>
        <v/>
      </c>
      <c r="W52" s="17">
        <f>IFERROR(P52*(Q52*R52+S52*T52+U52),0)</f>
        <v/>
      </c>
      <c r="X52" s="28">
        <f>IFERROR(IF(V52=0,"",(Q52+S52)/V52),"")</f>
        <v/>
      </c>
      <c r="Y52" s="4" t="n"/>
      <c r="Z52" s="4" t="n"/>
      <c r="AA52" s="28">
        <f>IFERROR(Y52+Z52,0)</f>
        <v/>
      </c>
      <c r="AB52" s="4" t="n"/>
      <c r="AC52" s="4" t="n"/>
      <c r="AD52" s="4" t="n"/>
      <c r="AE52" s="4" t="n"/>
      <c r="AF52" s="4" t="n"/>
      <c r="AG52" s="4" t="n"/>
      <c r="AH52" s="28">
        <f>IFERROR(AB52*INDEX(PARAMS_Trees,1,3)+AC52*INDEX(PARAMS_Trees,2,3)+AD52*INDEX(PARAMS_Trees,3,3)+AE52*INDEX(PARAMS_Trees,4,3)+AF52*INDEX(PARAMS_Trees,5,3)+AG52*INDEX(PARAMS_Trees,6,3),0)</f>
        <v/>
      </c>
      <c r="AI52" s="17">
        <f>IFERROR(K52+W52+AA52,0)</f>
        <v/>
      </c>
      <c r="AJ52" s="17">
        <f>IFERROR(IF(AND(D52="Permeable Pavement",E52="Enhanced"),INDEX(PARAMS_BMP,1,6),IF(AND(D52="Permeable Pavement",E52="Underdrained Enhanced"),INDEX(PARAMS_BMP,2,6),IF(AND(D52="Bioretention",E52="Standard"),INDEX(PARAMS_BMP,3,6),IF(AND(D52="Bioretention",E52="Enhanced"),INDEX(PARAMS_BMP,4,6),IF(AND(D52="Bioretention",E52="Enhanced w/ Underdrain"),INDEX(PARAMS_BMP,5,6),IF(AND(D52="Dry Swale",E52="—"),INDEX(PARAMS_BMP,6,6),IF(AND(D52="Wet Swale",E52="—"),INDEX(PARAMS_BMP,7,6),""))))))),"")</f>
        <v/>
      </c>
      <c r="AK52" s="17">
        <f>IFERROR(AI52*AJ52+AH52,0)</f>
        <v/>
      </c>
      <c r="AL52" s="17">
        <f>IFERROR(VLOOKUP(C52,'CDA'!$A$58:$D$67,4,FALSE),0)</f>
        <v/>
      </c>
      <c r="AM52" s="28">
        <f>IFERROR(IF(AL52=0,AK52,MIN(AK52,AL52)),0)</f>
        <v/>
      </c>
    </row>
    <row r="53">
      <c r="A53" s="4" t="n"/>
      <c r="B53" s="4" t="n"/>
      <c r="C53" s="4" t="n"/>
      <c r="D53" s="4" t="n"/>
      <c r="E53" s="27" t="n"/>
      <c r="F53" s="4" t="n"/>
      <c r="G53" s="4" t="n"/>
      <c r="H53" s="4" t="n"/>
      <c r="I53" s="4">
        <f>IFERROR(IF(OR(E53="Enhanced",E53="Underdrained Enhanced"),VLOOKUP(IF(SUMIFS('CDA'!$E$4:$E$53,'CDA'!$A$4:$A$53,C53,'CDA'!$D$4:$D$53,"D")&gt;0,"D",IF(SUMIFS('CDA'!$E$4:$E$53,'CDA'!$A$4:$A$53,C53,'CDA'!$D$4:$D$53,"C")&gt;0,"C",IF(SUMIFS('CDA'!$E$4:$E$53,'CDA'!$A$4:$A$53,C53,'CDA'!$D$4:$D$53,"B")&gt;0,"B",IF(SUMIFS('CDA'!$E$4:$E$53,'CDA'!$A$4:$A$53,C53,'CDA'!$D$4:$D$53,"A")&gt;0,"A","")))),PARAMS_Ksat,2,FALSE),0),0)</f>
        <v/>
      </c>
      <c r="J53" s="17">
        <f>IFERROR(IF(AND(D53="Permeable Pavement",E53="Enhanced"),INDEX(PARAMS_BMP,1,5),IF(AND(D53="Permeable Pavement",E53="Underdrained Enhanced"),INDEX(PARAMS_BMP,2,5),IF(AND(D53="Bioretention",E53="Standard"),INDEX(PARAMS_BMP,3,5),IF(AND(D53="Bioretention",E53="Enhanced"),INDEX(PARAMS_BMP,4,5),IF(AND(D53="Bioretention",E53="Enhanced w/ Underdrain"),INDEX(PARAMS_BMP,5,5),IF(AND(D53="Dry Swale",E53="—"),INDEX(PARAMS_BMP,6,5),IF(AND(D53="Wet Swale",E53="—"),INDEX(PARAMS_BMP,7,5),""))))))),"")</f>
        <v/>
      </c>
      <c r="K53" s="17">
        <f>IFERROR(F53*G53*J53,0)</f>
        <v/>
      </c>
      <c r="L53" s="17">
        <f>IFERROR(IF(I53=0,"",G53/I53),"")</f>
        <v/>
      </c>
      <c r="M53" s="28">
        <f>IFERROR(IF(L53="","",IF(L53&lt;=2,"✓","✗")),"")</f>
        <v/>
      </c>
      <c r="N53" s="4" t="n"/>
      <c r="O53" s="4" t="n"/>
      <c r="P53" s="17">
        <f>IFERROR((N53+O53)/2,0)</f>
        <v/>
      </c>
      <c r="Q53" s="4" t="n"/>
      <c r="R53" s="17">
        <f>IFERROR(IF(AND(D53="Permeable Pavement",E53="Enhanced"),INDEX(PARAMS_BMP,1,3),IF(AND(D53="Permeable Pavement",E53="Underdrained Enhanced"),INDEX(PARAMS_BMP,2,3),IF(AND(D53="Bioretention",E53="Standard"),INDEX(PARAMS_BMP,3,3),IF(AND(D53="Bioretention",E53="Enhanced"),INDEX(PARAMS_BMP,4,3),IF(AND(D53="Bioretention",E53="Enhanced w/ Underdrain"),INDEX(PARAMS_BMP,5,3),IF(AND(D53="Dry Swale",E53="—"),INDEX(PARAMS_BMP,6,3),IF(AND(D53="Wet Swale",E53="—"),INDEX(PARAMS_BMP,7,3),""))))))),"")</f>
        <v/>
      </c>
      <c r="S53" s="4" t="n"/>
      <c r="T53" s="17">
        <f>IFERROR(IF(AND(D53="Permeable Pavement",E53="Enhanced"),INDEX(PARAMS_BMP,1,4),IF(AND(D53="Permeable Pavement",E53="Underdrained Enhanced"),INDEX(PARAMS_BMP,2,4),IF(AND(D53="Bioretention",E53="Standard"),INDEX(PARAMS_BMP,3,4),IF(AND(D53="Bioretention",E53="Enhanced"),INDEX(PARAMS_BMP,4,4),IF(AND(D53="Bioretention",E53="Enhanced w/ Underdrain"),INDEX(PARAMS_BMP,5,4),IF(AND(D53="Dry Swale",E53="—"),INDEX(PARAMS_BMP,6,4),IF(AND(D53="Wet Swale",E53="—"),INDEX(PARAMS_BMP,7,4),""))))))),"")</f>
        <v/>
      </c>
      <c r="U53" s="4" t="n"/>
      <c r="V53" s="4">
        <f>IFERROR(IF(OR(E53="Enhanced",E53="Enhanced w/ Underdrain"),VLOOKUP(IF(SUMIFS('CDA'!$E$4:$E$53,'CDA'!$A$4:$A$53,C53,'CDA'!$D$4:$D$53,"D")&gt;0,"D",IF(SUMIFS('CDA'!$E$4:$E$53,'CDA'!$A$4:$A$53,C53,'CDA'!$D$4:$D$53,"C")&gt;0,"C",IF(SUMIFS('CDA'!$E$4:$E$53,'CDA'!$A$4:$A$53,C53,'CDA'!$D$4:$D$53,"B")&gt;0,"B",IF(SUMIFS('CDA'!$E$4:$E$53,'CDA'!$A$4:$A$53,C53,'CDA'!$D$4:$D$53,"A")&gt;0,"A","")))),PARAMS_Ksat,2,FALSE),0),0)</f>
        <v/>
      </c>
      <c r="W53" s="17">
        <f>IFERROR(P53*(Q53*R53+S53*T53+U53),0)</f>
        <v/>
      </c>
      <c r="X53" s="28">
        <f>IFERROR(IF(V53=0,"",(Q53+S53)/V53),"")</f>
        <v/>
      </c>
      <c r="Y53" s="4" t="n"/>
      <c r="Z53" s="4" t="n"/>
      <c r="AA53" s="28">
        <f>IFERROR(Y53+Z53,0)</f>
        <v/>
      </c>
      <c r="AB53" s="4" t="n"/>
      <c r="AC53" s="4" t="n"/>
      <c r="AD53" s="4" t="n"/>
      <c r="AE53" s="4" t="n"/>
      <c r="AF53" s="4" t="n"/>
      <c r="AG53" s="4" t="n"/>
      <c r="AH53" s="28">
        <f>IFERROR(AB53*INDEX(PARAMS_Trees,1,3)+AC53*INDEX(PARAMS_Trees,2,3)+AD53*INDEX(PARAMS_Trees,3,3)+AE53*INDEX(PARAMS_Trees,4,3)+AF53*INDEX(PARAMS_Trees,5,3)+AG53*INDEX(PARAMS_Trees,6,3),0)</f>
        <v/>
      </c>
      <c r="AI53" s="17">
        <f>IFERROR(K53+W53+AA53,0)</f>
        <v/>
      </c>
      <c r="AJ53" s="17">
        <f>IFERROR(IF(AND(D53="Permeable Pavement",E53="Enhanced"),INDEX(PARAMS_BMP,1,6),IF(AND(D53="Permeable Pavement",E53="Underdrained Enhanced"),INDEX(PARAMS_BMP,2,6),IF(AND(D53="Bioretention",E53="Standard"),INDEX(PARAMS_BMP,3,6),IF(AND(D53="Bioretention",E53="Enhanced"),INDEX(PARAMS_BMP,4,6),IF(AND(D53="Bioretention",E53="Enhanced w/ Underdrain"),INDEX(PARAMS_BMP,5,6),IF(AND(D53="Dry Swale",E53="—"),INDEX(PARAMS_BMP,6,6),IF(AND(D53="Wet Swale",E53="—"),INDEX(PARAMS_BMP,7,6),""))))))),"")</f>
        <v/>
      </c>
      <c r="AK53" s="17">
        <f>IFERROR(AI53*AJ53+AH53,0)</f>
        <v/>
      </c>
      <c r="AL53" s="17">
        <f>IFERROR(VLOOKUP(C53,'CDA'!$A$58:$D$67,4,FALSE),0)</f>
        <v/>
      </c>
      <c r="AM53" s="28">
        <f>IFERROR(IF(AL53=0,AK53,MIN(AK53,AL53)),0)</f>
        <v/>
      </c>
    </row>
    <row r="56">
      <c r="A56" s="18" t="inlineStr">
        <is>
          <t>SDA Compliance Summary — Σ Rv Applied vs. SWRv Required per SDA</t>
        </is>
      </c>
      <c r="B56" s="19" t="n"/>
      <c r="C56" s="19" t="n"/>
      <c r="D56" s="19" t="n"/>
      <c r="E56" s="29" t="n"/>
      <c r="F56" s="30" t="n"/>
      <c r="G56" s="30" t="n"/>
      <c r="H56" s="30" t="n"/>
      <c r="I56" s="30" t="n"/>
      <c r="J56" s="30" t="n"/>
      <c r="K56" s="30" t="n"/>
      <c r="L56" s="30" t="n"/>
      <c r="M56" s="31" t="n"/>
      <c r="N56" s="30" t="n"/>
      <c r="O56" s="30" t="n"/>
      <c r="P56" s="30" t="n"/>
      <c r="Q56" s="30" t="n"/>
      <c r="R56" s="30" t="n"/>
      <c r="S56" s="30" t="n"/>
      <c r="T56" s="30" t="n"/>
      <c r="U56" s="30" t="n"/>
      <c r="V56" s="30" t="n"/>
      <c r="W56" s="30" t="n"/>
      <c r="X56" s="31" t="n"/>
      <c r="Y56" s="30" t="n"/>
      <c r="Z56" s="30" t="n"/>
      <c r="AA56" s="31" t="n"/>
      <c r="AB56" s="30" t="n"/>
      <c r="AC56" s="30" t="n"/>
      <c r="AD56" s="30" t="n"/>
      <c r="AE56" s="30" t="n"/>
      <c r="AF56" s="30" t="n"/>
      <c r="AG56" s="30" t="n"/>
      <c r="AH56" s="31" t="n"/>
      <c r="AI56" s="30" t="n"/>
      <c r="AJ56" s="30" t="n"/>
      <c r="AK56" s="30" t="n"/>
      <c r="AL56" s="30" t="n"/>
      <c r="AM56" s="31" t="n"/>
    </row>
    <row r="57">
      <c r="A57" s="16" t="inlineStr">
        <is>
          <t>SDA_ID</t>
        </is>
      </c>
      <c r="B57" s="16" t="inlineStr">
        <is>
          <t>SWRv Required (CF)</t>
        </is>
      </c>
      <c r="C57" s="16" t="inlineStr">
        <is>
          <t>Rv Provided (CF)</t>
        </is>
      </c>
      <c r="D57" s="16" t="inlineStr">
        <is>
          <t>Surplus / Deficit (CF)</t>
        </is>
      </c>
      <c r="E57" s="26" t="inlineStr">
        <is>
          <t>Status</t>
        </is>
      </c>
      <c r="M57" s="32" t="n"/>
      <c r="X57" s="32" t="n"/>
      <c r="AA57" s="32" t="n"/>
      <c r="AH57" s="32" t="n"/>
      <c r="AM57" s="32" t="n"/>
    </row>
    <row r="58">
      <c r="A58" s="17">
        <f>'SDA'!A58</f>
        <v/>
      </c>
      <c r="B58" s="17">
        <f>'SDA'!J58</f>
        <v/>
      </c>
      <c r="C58" s="17">
        <f>SUMIFS($AM$4:$AM$53,$B$4:$B$53,A58)</f>
        <v/>
      </c>
      <c r="D58" s="17">
        <f>IFERROR(C58-B58,"")</f>
        <v/>
      </c>
      <c r="E58" s="28">
        <f>IFERROR(IF(B58=0,"—",IF(D58&gt;=0,"✓","✗")),"")</f>
        <v/>
      </c>
      <c r="M58" s="32" t="n"/>
      <c r="X58" s="32" t="n"/>
      <c r="AA58" s="32" t="n"/>
      <c r="AH58" s="32" t="n"/>
      <c r="AM58" s="32" t="n"/>
    </row>
    <row r="59">
      <c r="A59" s="17">
        <f>'SDA'!A59</f>
        <v/>
      </c>
      <c r="B59" s="17">
        <f>'SDA'!J59</f>
        <v/>
      </c>
      <c r="C59" s="17">
        <f>SUMIFS($AM$4:$AM$53,$B$4:$B$53,A59)</f>
        <v/>
      </c>
      <c r="D59" s="17">
        <f>IFERROR(C59-B59,"")</f>
        <v/>
      </c>
      <c r="E59" s="28">
        <f>IFERROR(IF(B59=0,"—",IF(D59&gt;=0,"✓","✗")),"")</f>
        <v/>
      </c>
      <c r="M59" s="32" t="n"/>
      <c r="X59" s="32" t="n"/>
      <c r="AA59" s="32" t="n"/>
      <c r="AH59" s="32" t="n"/>
      <c r="AM59" s="32" t="n"/>
    </row>
    <row r="60">
      <c r="A60" s="17">
        <f>'SDA'!A60</f>
        <v/>
      </c>
      <c r="B60" s="17">
        <f>'SDA'!J60</f>
        <v/>
      </c>
      <c r="C60" s="17">
        <f>SUMIFS($AM$4:$AM$53,$B$4:$B$53,A60)</f>
        <v/>
      </c>
      <c r="D60" s="17">
        <f>IFERROR(C60-B60,"")</f>
        <v/>
      </c>
      <c r="E60" s="28">
        <f>IFERROR(IF(B60=0,"—",IF(D60&gt;=0,"✓","✗")),"")</f>
        <v/>
      </c>
      <c r="M60" s="32" t="n"/>
      <c r="X60" s="32" t="n"/>
      <c r="AA60" s="32" t="n"/>
      <c r="AH60" s="32" t="n"/>
      <c r="AM60" s="32" t="n"/>
    </row>
    <row r="61">
      <c r="A61" s="17">
        <f>'SDA'!A61</f>
        <v/>
      </c>
      <c r="B61" s="17">
        <f>'SDA'!J61</f>
        <v/>
      </c>
      <c r="C61" s="17">
        <f>SUMIFS($AM$4:$AM$53,$B$4:$B$53,A61)</f>
        <v/>
      </c>
      <c r="D61" s="17">
        <f>IFERROR(C61-B61,"")</f>
        <v/>
      </c>
      <c r="E61" s="28">
        <f>IFERROR(IF(B61=0,"—",IF(D61&gt;=0,"✓","✗")),"")</f>
        <v/>
      </c>
      <c r="M61" s="32" t="n"/>
      <c r="X61" s="32" t="n"/>
      <c r="AA61" s="32" t="n"/>
      <c r="AH61" s="32" t="n"/>
      <c r="AM61" s="32" t="n"/>
    </row>
    <row r="62">
      <c r="A62" s="17">
        <f>'SDA'!A62</f>
        <v/>
      </c>
      <c r="B62" s="17">
        <f>'SDA'!J62</f>
        <v/>
      </c>
      <c r="C62" s="17">
        <f>SUMIFS($AM$4:$AM$53,$B$4:$B$53,A62)</f>
        <v/>
      </c>
      <c r="D62" s="17">
        <f>IFERROR(C62-B62,"")</f>
        <v/>
      </c>
      <c r="E62" s="28">
        <f>IFERROR(IF(B62=0,"—",IF(D62&gt;=0,"✓","✗")),"")</f>
        <v/>
      </c>
      <c r="M62" s="32" t="n"/>
      <c r="X62" s="32" t="n"/>
      <c r="AA62" s="32" t="n"/>
      <c r="AH62" s="32" t="n"/>
      <c r="AM62" s="32" t="n"/>
    </row>
    <row r="63">
      <c r="A63" s="17">
        <f>'SDA'!A63</f>
        <v/>
      </c>
      <c r="B63" s="17">
        <f>'SDA'!J63</f>
        <v/>
      </c>
      <c r="C63" s="17">
        <f>SUMIFS($AM$4:$AM$53,$B$4:$B$53,A63)</f>
        <v/>
      </c>
      <c r="D63" s="17">
        <f>IFERROR(C63-B63,"")</f>
        <v/>
      </c>
      <c r="E63" s="28">
        <f>IFERROR(IF(B63=0,"—",IF(D63&gt;=0,"✓","✗")),"")</f>
        <v/>
      </c>
      <c r="M63" s="32" t="n"/>
      <c r="X63" s="32" t="n"/>
      <c r="AA63" s="32" t="n"/>
      <c r="AH63" s="32" t="n"/>
      <c r="AM63" s="32" t="n"/>
    </row>
    <row r="64">
      <c r="A64" s="17">
        <f>'SDA'!A64</f>
        <v/>
      </c>
      <c r="B64" s="17">
        <f>'SDA'!J64</f>
        <v/>
      </c>
      <c r="C64" s="17">
        <f>SUMIFS($AM$4:$AM$53,$B$4:$B$53,A64)</f>
        <v/>
      </c>
      <c r="D64" s="17">
        <f>IFERROR(C64-B64,"")</f>
        <v/>
      </c>
      <c r="E64" s="28">
        <f>IFERROR(IF(B64=0,"—",IF(D64&gt;=0,"✓","✗")),"")</f>
        <v/>
      </c>
      <c r="M64" s="32" t="n"/>
      <c r="X64" s="32" t="n"/>
      <c r="AA64" s="32" t="n"/>
      <c r="AH64" s="32" t="n"/>
      <c r="AM64" s="32" t="n"/>
    </row>
    <row r="65">
      <c r="A65" s="17">
        <f>'SDA'!A65</f>
        <v/>
      </c>
      <c r="B65" s="17">
        <f>'SDA'!J65</f>
        <v/>
      </c>
      <c r="C65" s="17">
        <f>SUMIFS($AM$4:$AM$53,$B$4:$B$53,A65)</f>
        <v/>
      </c>
      <c r="D65" s="17">
        <f>IFERROR(C65-B65,"")</f>
        <v/>
      </c>
      <c r="E65" s="28">
        <f>IFERROR(IF(B65=0,"—",IF(D65&gt;=0,"✓","✗")),"")</f>
        <v/>
      </c>
      <c r="M65" s="32" t="n"/>
      <c r="X65" s="32" t="n"/>
      <c r="AA65" s="32" t="n"/>
      <c r="AH65" s="32" t="n"/>
      <c r="AM65" s="32" t="n"/>
    </row>
    <row r="66">
      <c r="A66" s="17">
        <f>'SDA'!A66</f>
        <v/>
      </c>
      <c r="B66" s="17">
        <f>'SDA'!J66</f>
        <v/>
      </c>
      <c r="C66" s="17">
        <f>SUMIFS($AM$4:$AM$53,$B$4:$B$53,A66)</f>
        <v/>
      </c>
      <c r="D66" s="17">
        <f>IFERROR(C66-B66,"")</f>
        <v/>
      </c>
      <c r="E66" s="28">
        <f>IFERROR(IF(B66=0,"—",IF(D66&gt;=0,"✓","✗")),"")</f>
        <v/>
      </c>
      <c r="M66" s="32" t="n"/>
      <c r="X66" s="32" t="n"/>
      <c r="AA66" s="32" t="n"/>
      <c r="AH66" s="32" t="n"/>
      <c r="AM66" s="32" t="n"/>
    </row>
    <row r="67">
      <c r="A67" s="22">
        <f>'SDA'!A67</f>
        <v/>
      </c>
      <c r="B67" s="22">
        <f>'SDA'!J67</f>
        <v/>
      </c>
      <c r="C67" s="22">
        <f>SUMIFS($AM$4:$AM$53,$B$4:$B$53,A67)</f>
        <v/>
      </c>
      <c r="D67" s="22">
        <f>IFERROR(C67-B67,"")</f>
        <v/>
      </c>
      <c r="E67" s="33">
        <f>IFERROR(IF(B67=0,"—",IF(D67&gt;=0,"✓","✗")),"")</f>
        <v/>
      </c>
      <c r="M67" s="32" t="n"/>
      <c r="X67" s="32" t="n"/>
      <c r="AA67" s="32" t="n"/>
      <c r="AH67" s="32" t="n"/>
      <c r="AM67" s="32" t="n"/>
    </row>
  </sheetData>
  <mergeCells count="3">
    <mergeCell ref="A2:AM2"/>
    <mergeCell ref="A1:AM1"/>
    <mergeCell ref="A56:E56"/>
  </mergeCells>
  <dataValidations count="3">
    <dataValidation sqref="B4:B53" showDropDown="0" showInputMessage="0" showErrorMessage="0" allowBlank="1" type="list">
      <formula1>=SDA_IDs</formula1>
    </dataValidation>
    <dataValidation sqref="C4:C53" showDropDown="0" showInputMessage="0" showErrorMessage="0" allowBlank="1" type="list">
      <formula1>=CDA_IDs</formula1>
    </dataValidation>
    <dataValidation sqref="D4:D53" showDropDown="0" showInputMessage="0" showErrorMessage="0" allowBlank="1" type="list">
      <formula1>"Permeable Pavement,Bioretention,Dry Swale,Wet Swale,Planted Trees,Preserve Trees"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45"/>
  <sheetViews>
    <sheetView showGridLines="0" workbookViewId="0">
      <selection activeCell="A1" sqref="A1"/>
    </sheetView>
  </sheetViews>
  <sheetFormatPr baseColWidth="8" defaultRowHeight="15"/>
  <cols>
    <col width="10.46" customWidth="1" min="1" max="1"/>
    <col width="10.66" customWidth="1" min="2" max="2"/>
    <col width="13.13" customWidth="1" min="3" max="3"/>
    <col width="10" customWidth="1" min="4" max="4"/>
    <col width="12.53" customWidth="1" min="5" max="5"/>
    <col width="13.86" customWidth="1" min="6" max="6"/>
    <col width="12.86" customWidth="1" min="7" max="7"/>
    <col width="13.86" customWidth="1" min="8" max="8"/>
    <col width="28" customWidth="1" min="9" max="9"/>
    <col width="12.46" customWidth="1" min="10" max="10"/>
    <col width="10.66" customWidth="1" min="11" max="11"/>
    <col width="18" customWidth="1" min="12" max="12"/>
    <col width="11.33" customWidth="1" min="13" max="13"/>
    <col width="13.46" customWidth="1" min="14" max="14"/>
    <col width="10" customWidth="1" min="15" max="15"/>
    <col width="10.33" customWidth="1" min="16" max="16"/>
    <col width="11.8" customWidth="1" min="17" max="17"/>
    <col width="12.33" customWidth="1" min="18" max="18"/>
    <col width="11.8" customWidth="1" min="19" max="19"/>
    <col width="12.33" customWidth="1" min="20" max="20"/>
    <col width="14.33" customWidth="1" min="21" max="21"/>
    <col width="12.33" customWidth="1" min="22" max="22"/>
    <col width="14.86" customWidth="1" min="23" max="23"/>
    <col width="13" customWidth="1" min="24" max="24"/>
    <col width="14.46" customWidth="1" min="25" max="25"/>
    <col width="13.46" customWidth="1" min="26" max="26"/>
    <col width="13.86" customWidth="1" min="27" max="27"/>
    <col width="14.13" customWidth="1" min="28" max="28"/>
    <col width="13.53" customWidth="1" min="29" max="29"/>
    <col width="13.86" customWidth="1" min="30" max="30"/>
    <col width="12" customWidth="1" min="31" max="31"/>
    <col width="11.86" customWidth="1" min="32" max="32"/>
    <col width="19.13" customWidth="1" min="33" max="33"/>
    <col width="19.53" customWidth="1" min="34" max="34"/>
    <col width="17.46" customWidth="1" min="35" max="35"/>
    <col width="12.66" customWidth="1" min="36" max="36"/>
    <col width="12.66" customWidth="1" min="37" max="37"/>
    <col width="19.66" customWidth="1" min="38" max="38"/>
    <col width="16.53" customWidth="1" min="39" max="39"/>
    <col width="19.33" customWidth="1" min="40" max="40"/>
    <col width="16.86" customWidth="1" min="41" max="41"/>
    <col width="9.130000000000001" customWidth="1" min="42" max="42"/>
  </cols>
  <sheetData>
    <row r="1" ht="24" customHeight="1">
      <c r="B1" s="3" t="inlineStr">
        <is>
          <t>Project Name:</t>
        </is>
      </c>
      <c r="D1" s="4">
        <f>PROJECT_Name</f>
        <v/>
      </c>
      <c r="E1" s="34" t="n"/>
      <c r="F1" s="34" t="n"/>
      <c r="G1" s="35" t="n"/>
      <c r="H1" s="3" t="inlineStr">
        <is>
          <t>Project No:</t>
        </is>
      </c>
      <c r="I1" s="36" t="n"/>
      <c r="J1" s="36" t="n"/>
      <c r="L1" s="3" t="inlineStr">
        <is>
          <t>Check One: MS4 / CSS</t>
        </is>
      </c>
      <c r="N1" s="4">
        <f>PROJECT_MS4</f>
        <v/>
      </c>
      <c r="P1" s="3" t="inlineStr">
        <is>
          <t>Check if in AWDZ:</t>
        </is>
      </c>
      <c r="R1" s="4">
        <f>PROJECT_AWDZ</f>
        <v/>
      </c>
      <c r="S1" s="3" t="inlineStr">
        <is>
          <t>DOEE Plan Review No.:</t>
        </is>
      </c>
      <c r="T1" s="4">
        <f>PROJECT_DOEEReview</f>
        <v/>
      </c>
      <c r="U1" s="35" t="n"/>
      <c r="W1" t="inlineStr">
        <is>
          <t>Project Name:</t>
        </is>
      </c>
      <c r="Y1">
        <f>IF(D1="","",D1)</f>
        <v/>
      </c>
      <c r="AE1" t="inlineStr">
        <is>
          <t>DOEE Plan Review No.:</t>
        </is>
      </c>
      <c r="AF1">
        <f>IF(T1="","",T1)</f>
        <v/>
      </c>
    </row>
    <row r="2" ht="22" customHeight="1">
      <c r="B2" s="37" t="inlineStr">
        <is>
          <t>Summary Data: 90%/Final Design Phase</t>
        </is>
      </c>
      <c r="L2" s="3" t="inlineStr">
        <is>
          <t>Notes:</t>
        </is>
      </c>
      <c r="W2" s="38">
        <f>B2</f>
        <v/>
      </c>
    </row>
    <row r="3" ht="36" customHeight="1">
      <c r="I3" s="39" t="inlineStr">
        <is>
          <t>Regulated Retention Volume (1.2"):</t>
        </is>
      </c>
      <c r="J3" s="40">
        <f>J45</f>
        <v/>
      </c>
      <c r="K3" s="10" t="inlineStr">
        <is>
          <t>CF</t>
        </is>
      </c>
      <c r="L3" s="41" t="inlineStr">
        <is>
          <t>Blocks in the worksheet that are not shaded are data entry fields for the designer.</t>
        </is>
      </c>
      <c r="AE3">
        <f>I3</f>
        <v/>
      </c>
      <c r="AF3">
        <f>J3</f>
        <v/>
      </c>
      <c r="AG3">
        <f>K3</f>
        <v/>
      </c>
    </row>
    <row r="4" ht="36" customHeight="1">
      <c r="B4" s="39" t="inlineStr">
        <is>
          <t>Disturbance Area (ac.):</t>
        </is>
      </c>
      <c r="E4" s="42">
        <f>E45/43560</f>
        <v/>
      </c>
      <c r="I4" s="39" t="inlineStr">
        <is>
          <t>Volume Retained:</t>
        </is>
      </c>
      <c r="J4" s="40">
        <f>AL45</f>
        <v/>
      </c>
      <c r="K4" s="10" t="inlineStr">
        <is>
          <t>CF</t>
        </is>
      </c>
      <c r="L4" s="41" t="inlineStr">
        <is>
          <t>All shaded blocks are computations internal to the worksheet and should not be edited.</t>
        </is>
      </c>
      <c r="W4">
        <f>B4</f>
        <v/>
      </c>
      <c r="Z4">
        <f>E4</f>
        <v/>
      </c>
      <c r="AE4">
        <f>I4</f>
        <v/>
      </c>
      <c r="AF4">
        <f>J4</f>
        <v/>
      </c>
      <c r="AG4">
        <f>K4</f>
        <v/>
      </c>
    </row>
    <row r="5" ht="22" customHeight="1">
      <c r="B5" s="39" t="inlineStr">
        <is>
          <t>No. of Drainage Areas:</t>
        </is>
      </c>
      <c r="E5" s="43">
        <f>COUNTA(A12:A44)</f>
        <v/>
      </c>
      <c r="I5" s="39" t="inlineStr">
        <is>
          <t>Difference:</t>
        </is>
      </c>
      <c r="J5" s="40">
        <f>J4-J3</f>
        <v/>
      </c>
      <c r="K5" s="10" t="inlineStr">
        <is>
          <t>CF</t>
        </is>
      </c>
      <c r="W5">
        <f>B5</f>
        <v/>
      </c>
      <c r="Z5">
        <f>E5</f>
        <v/>
      </c>
      <c r="AE5">
        <f>I5</f>
        <v/>
      </c>
      <c r="AF5">
        <f>J5</f>
        <v/>
      </c>
      <c r="AG5">
        <f>K5</f>
        <v/>
      </c>
    </row>
    <row r="6" ht="9.75" customHeight="1"/>
    <row r="7" ht="28" customHeight="1">
      <c r="B7" s="1" t="inlineStr">
        <is>
          <t>Step 1:  Drainage Area and Regulated Volumes</t>
        </is>
      </c>
      <c r="C7" s="5" t="n"/>
      <c r="D7" s="5" t="n"/>
      <c r="E7" s="5" t="n"/>
      <c r="F7" s="5" t="n"/>
      <c r="G7" s="5" t="n"/>
      <c r="H7" s="5" t="n"/>
      <c r="I7" s="5" t="n"/>
      <c r="J7" s="5" t="n"/>
      <c r="K7" s="44" t="n"/>
      <c r="L7" s="1" t="inlineStr">
        <is>
          <t>Step 2:  Consider Infiltration</t>
        </is>
      </c>
      <c r="M7" s="5" t="n"/>
      <c r="N7" s="5" t="n"/>
      <c r="O7" s="5" t="n"/>
      <c r="P7" s="44" t="n"/>
      <c r="Q7" s="1" t="inlineStr">
        <is>
          <t>Step 3:  Evaluate Existing Infrastructure Constraints</t>
        </is>
      </c>
      <c r="R7" s="5" t="n"/>
      <c r="S7" s="5" t="n"/>
      <c r="T7" s="5" t="n"/>
      <c r="U7" s="5" t="n"/>
      <c r="V7" s="44" t="n"/>
      <c r="W7" s="1" t="inlineStr">
        <is>
          <t>Step 4:  Identify Land Conversion and BMP Placement Opportunities</t>
        </is>
      </c>
      <c r="X7" s="5" t="n"/>
      <c r="Y7" s="5" t="n"/>
      <c r="Z7" s="5" t="n"/>
      <c r="AA7" s="5" t="n"/>
      <c r="AB7" s="44" t="n"/>
      <c r="AC7" s="1" t="inlineStr">
        <is>
          <t>Step 5: Size BMPs and Compute Achieved Retention Volumes</t>
        </is>
      </c>
      <c r="AD7" s="5" t="n"/>
      <c r="AE7" s="5" t="n"/>
      <c r="AF7" s="5" t="n"/>
      <c r="AG7" s="5" t="n"/>
      <c r="AH7" s="5" t="n"/>
      <c r="AI7" s="5" t="n"/>
      <c r="AJ7" s="5" t="n"/>
      <c r="AK7" s="5" t="n"/>
      <c r="AL7" s="5" t="n"/>
      <c r="AM7" s="44" t="n"/>
    </row>
    <row r="8" ht="102.75" customHeight="1">
      <c r="B8" s="45" t="inlineStr">
        <is>
          <t>Update from 65% based on refined or revised design: 
Number and list each drainage area within the project limits of disturbance (LOD). Provide the drainage area square footage that contributes runoff in the LOD and outside the LOD. The SWRv is calculated for each drainage area. Provide corresponding drainage area identifications on the SWMP.</t>
        </is>
      </c>
      <c r="K8" s="32" t="n"/>
      <c r="L8" s="45" t="inlineStr">
        <is>
          <t>Record the water table, bedrock concerns, infiltration rate, and hotspot concerns within the LOD for each drainage area.</t>
        </is>
      </c>
      <c r="P8" s="32" t="n"/>
      <c r="Q8" s="45" t="inlineStr">
        <is>
          <t>On the SWMP, depict utility locations and conveyance infrastructure to confirm/adjust opportunities for land conversions and BMPs. Delineate areas of potential conflict, and areas without conflict, including areas where minimum depths for BMPs can not be met.  Delineate trees (size, species, condition) and tree protection.</t>
        </is>
      </c>
      <c r="V8" s="32" t="n"/>
      <c r="W8" s="45" t="inlineStr">
        <is>
          <t>For land conversion and BMP opportunities already defined at 30%, and for new opportunities added, provide the areas below.  Land Conversion and BMP surface areas within the LOD must be reflected in the SWRv computation; update those columns as necessary. Additional allowable BMPs such as impervious surface disconnection, swales, and infiltration should also be considered and described in the narrative. Describe the reason for eliminated Land Conversion/BMP locations.</t>
        </is>
      </c>
      <c r="AB8" s="32" t="n"/>
      <c r="AC8" s="45" t="inlineStr">
        <is>
          <t xml:space="preserve">Provide the contributing drainage area to the BMP locations. The ceiling stormwater runoff volume reaching the BMPs is calculated. </t>
        </is>
      </c>
      <c r="AG8" s="45" t="inlineStr">
        <is>
          <t>Calculate and sum the total maximum possible BMP storage volumes. Total the number of proposed trees meeting the required soil volume to be considered for stormwater retention volume.  Total the maximum retention volume capacity of all facilities and compare to the required regulated volume. If a deficit exists, review BMP placements/sizes to determine if additional volume can be captured.</t>
        </is>
      </c>
      <c r="AM8" s="32" t="n"/>
    </row>
    <row r="9" ht="42.6" customHeight="1">
      <c r="A9" s="46" t="inlineStr">
        <is>
          <t>Drainage Area
ID</t>
        </is>
      </c>
      <c r="B9" s="46" t="inlineStr">
        <is>
          <t xml:space="preserve">Drainage Area </t>
        </is>
      </c>
      <c r="J9" s="46" t="inlineStr">
        <is>
          <t>SWRv</t>
        </is>
      </c>
      <c r="K9" s="32" t="n"/>
      <c r="L9" s="46" t="inlineStr">
        <is>
          <t xml:space="preserve"> Hydrologic Soil Group</t>
        </is>
      </c>
      <c r="M9" s="46" t="inlineStr">
        <is>
          <t>Water Table OK?</t>
        </is>
      </c>
      <c r="N9" s="46" t="inlineStr">
        <is>
          <t>Bedrock Elevation OK?</t>
        </is>
      </c>
      <c r="O9" s="46" t="inlineStr">
        <is>
          <t>Infiltration Rate</t>
        </is>
      </c>
      <c r="P9" s="47" t="inlineStr">
        <is>
          <t>Hotspot Concern Found?</t>
        </is>
      </c>
      <c r="Q9" s="46" t="inlineStr">
        <is>
          <t>Preservation of Small, Large, and/or Special/Heritage Trees which are in fair or better condition</t>
        </is>
      </c>
      <c r="V9" s="32" t="n"/>
      <c r="W9" s="46" t="inlineStr">
        <is>
          <t>Land Conversion Area</t>
        </is>
      </c>
      <c r="Y9" s="46" t="inlineStr">
        <is>
          <t xml:space="preserve">Bioretention Opportunity Areas </t>
        </is>
      </c>
      <c r="AA9" s="46" t="inlineStr">
        <is>
          <t>Permeable Pavement Opportunity Areas</t>
        </is>
      </c>
      <c r="AB9" s="32" t="n"/>
      <c r="AC9" s="46" t="inlineStr">
        <is>
          <t>Total BMP Contributing Drainage Area</t>
        </is>
      </c>
      <c r="AE9" s="46" t="inlineStr">
        <is>
          <t>1.7 inch (ceiling) stormwater runoff reaching BMPs</t>
        </is>
      </c>
      <c r="AG9" s="46" t="inlineStr">
        <is>
          <t>Max. Storage Volume of Bioretention Based on Size (Total in DA - See separate sizing computations)</t>
        </is>
      </c>
      <c r="AH9" s="46" t="inlineStr">
        <is>
          <t>Max. Storage Volume of Permeable Pavement. Based on Size (Total in DA - See separate sizing computations)</t>
        </is>
      </c>
      <c r="AI9" s="46" t="inlineStr">
        <is>
          <t>Max. "Other" Storage Volume - (Total in DA - See separate sizing computations)</t>
        </is>
      </c>
      <c r="AJ9" s="46" t="inlineStr">
        <is>
          <t>No. of proposed small trees meeting soil volume requirement</t>
        </is>
      </c>
      <c r="AK9" s="46" t="inlineStr">
        <is>
          <t>No. of proposed large trees meeting soil volume requirement</t>
        </is>
      </c>
      <c r="AL9" s="46" t="inlineStr">
        <is>
          <t>Total Sv Practice -Maximum Retention Volume Achievable (BMPs and Trees)</t>
        </is>
      </c>
      <c r="AM9" s="47" t="inlineStr">
        <is>
          <t>Overage / (Deficit) Volume (as compared to SWRv)</t>
        </is>
      </c>
      <c r="AP9" s="46" t="inlineStr">
        <is>
          <t>Runoff Coefficient</t>
        </is>
      </c>
    </row>
    <row r="10" ht="48.75" customHeight="1">
      <c r="B10" s="46" t="inlineStr">
        <is>
          <t>Impervious 
within LOD</t>
        </is>
      </c>
      <c r="C10" s="46" t="inlineStr">
        <is>
          <t>Compacted    within LOD</t>
        </is>
      </c>
      <c r="D10" s="46" t="inlineStr">
        <is>
          <t>Natural 
within LOD</t>
        </is>
      </c>
      <c r="E10" s="46" t="inlineStr">
        <is>
          <t>Total within LOD</t>
        </is>
      </c>
      <c r="F10" s="46" t="inlineStr">
        <is>
          <t>Impervious outside LOD</t>
        </is>
      </c>
      <c r="G10" s="46" t="inlineStr">
        <is>
          <t>Compacted outside LOD</t>
        </is>
      </c>
      <c r="H10" s="46" t="inlineStr">
        <is>
          <t>Natural outside LOD</t>
        </is>
      </c>
      <c r="I10" s="46" t="inlineStr">
        <is>
          <t>Total outside LOD</t>
        </is>
      </c>
      <c r="J10" s="46" t="inlineStr">
        <is>
          <t>Within LOD</t>
        </is>
      </c>
      <c r="K10" s="47" t="inlineStr">
        <is>
          <t>Outside LOD</t>
        </is>
      </c>
      <c r="P10" s="32" t="n"/>
      <c r="V10" s="32" t="n"/>
      <c r="W10" s="46" t="inlineStr">
        <is>
          <t>Within LOD</t>
        </is>
      </c>
      <c r="X10" s="46" t="inlineStr">
        <is>
          <t>Adjacent to LOD</t>
        </is>
      </c>
      <c r="Y10" s="46" t="inlineStr">
        <is>
          <t>Within LOD</t>
        </is>
      </c>
      <c r="Z10" s="46" t="inlineStr">
        <is>
          <t>Adjacent to LOD</t>
        </is>
      </c>
      <c r="AA10" s="46" t="inlineStr">
        <is>
          <t>Within LOD</t>
        </is>
      </c>
      <c r="AB10" s="47" t="inlineStr">
        <is>
          <t>Adjacent to LOD</t>
        </is>
      </c>
      <c r="AC10" s="46" t="inlineStr">
        <is>
          <t>Within LOD</t>
        </is>
      </c>
      <c r="AD10" s="46" t="inlineStr">
        <is>
          <t>Adjacent to LOD</t>
        </is>
      </c>
      <c r="AE10" s="46" t="inlineStr">
        <is>
          <t>Within LOD</t>
        </is>
      </c>
      <c r="AF10" s="46" t="inlineStr">
        <is>
          <t>Adjacent to LOD</t>
        </is>
      </c>
      <c r="AM10" s="32" t="n"/>
      <c r="AP10" s="46" t="inlineStr">
        <is>
          <t>Within LOD</t>
        </is>
      </c>
      <c r="AQ10" s="46" t="inlineStr">
        <is>
          <t>Outside LOD</t>
        </is>
      </c>
    </row>
    <row r="11" ht="32.45" customHeight="1">
      <c r="B11" s="46" t="inlineStr">
        <is>
          <t>SF</t>
        </is>
      </c>
      <c r="C11" s="46" t="inlineStr">
        <is>
          <t>SF</t>
        </is>
      </c>
      <c r="D11" s="46" t="inlineStr">
        <is>
          <t>SF</t>
        </is>
      </c>
      <c r="E11" s="46" t="inlineStr">
        <is>
          <t>SF</t>
        </is>
      </c>
      <c r="F11" s="46" t="inlineStr">
        <is>
          <t>SF</t>
        </is>
      </c>
      <c r="G11" s="46" t="inlineStr">
        <is>
          <t>SF</t>
        </is>
      </c>
      <c r="H11" s="46" t="inlineStr">
        <is>
          <t>SF</t>
        </is>
      </c>
      <c r="I11" s="46" t="inlineStr">
        <is>
          <t>SF</t>
        </is>
      </c>
      <c r="J11" s="46" t="inlineStr">
        <is>
          <t>CF</t>
        </is>
      </c>
      <c r="K11" s="47" t="inlineStr">
        <is>
          <t>CF</t>
        </is>
      </c>
      <c r="L11" s="46" t="inlineStr">
        <is>
          <t>A, B, C, D, or Urban Land</t>
        </is>
      </c>
      <c r="M11" s="46" t="inlineStr">
        <is>
          <t>Y/N</t>
        </is>
      </c>
      <c r="N11" s="46" t="inlineStr">
        <is>
          <t>Y/N</t>
        </is>
      </c>
      <c r="O11" s="46" t="inlineStr">
        <is>
          <t>in-hr</t>
        </is>
      </c>
      <c r="P11" s="47" t="inlineStr">
        <is>
          <t>Y/N</t>
        </is>
      </c>
      <c r="Q11" s="46" t="inlineStr">
        <is>
          <t># of Small Trees</t>
        </is>
      </c>
      <c r="R11" s="46" t="inlineStr">
        <is>
          <t>Tree Volume Credit (CF)</t>
        </is>
      </c>
      <c r="S11" s="46" t="inlineStr">
        <is>
          <t># of Large Trees</t>
        </is>
      </c>
      <c r="T11" s="46" t="inlineStr">
        <is>
          <t>Tree Volume Credit (CF)</t>
        </is>
      </c>
      <c r="U11" s="46" t="inlineStr">
        <is>
          <t># of Special/ Heritage Trees</t>
        </is>
      </c>
      <c r="V11" s="47" t="inlineStr">
        <is>
          <t>Tree Volume Credit (CF)</t>
        </is>
      </c>
      <c r="W11" s="46" t="inlineStr">
        <is>
          <t>SF</t>
        </is>
      </c>
      <c r="X11" s="46" t="inlineStr">
        <is>
          <t>SF</t>
        </is>
      </c>
      <c r="Y11" s="46" t="inlineStr">
        <is>
          <t>SF</t>
        </is>
      </c>
      <c r="Z11" s="46" t="inlineStr">
        <is>
          <t>SF</t>
        </is>
      </c>
      <c r="AA11" s="46" t="inlineStr">
        <is>
          <t>SF</t>
        </is>
      </c>
      <c r="AB11" s="47" t="inlineStr">
        <is>
          <t>SF</t>
        </is>
      </c>
      <c r="AC11" s="46" t="inlineStr">
        <is>
          <t>SF</t>
        </is>
      </c>
      <c r="AD11" s="46" t="inlineStr">
        <is>
          <t>SF</t>
        </is>
      </c>
      <c r="AE11" s="46" t="inlineStr">
        <is>
          <t>CF</t>
        </is>
      </c>
      <c r="AF11" s="46" t="inlineStr">
        <is>
          <t>CF</t>
        </is>
      </c>
      <c r="AG11" s="46" t="inlineStr">
        <is>
          <t>CF</t>
        </is>
      </c>
      <c r="AH11" s="46" t="inlineStr">
        <is>
          <t>CF</t>
        </is>
      </c>
      <c r="AI11" s="46" t="inlineStr">
        <is>
          <t>CF</t>
        </is>
      </c>
      <c r="AJ11" s="46" t="inlineStr">
        <is>
          <t>EA</t>
        </is>
      </c>
      <c r="AK11" s="46" t="inlineStr">
        <is>
          <t>EA</t>
        </is>
      </c>
      <c r="AL11" s="46" t="inlineStr">
        <is>
          <t>CF</t>
        </is>
      </c>
      <c r="AM11" s="47" t="inlineStr">
        <is>
          <t>CF</t>
        </is>
      </c>
      <c r="AP11" s="46" t="inlineStr">
        <is>
          <t>(unitless)</t>
        </is>
      </c>
      <c r="AQ11" s="46" t="inlineStr">
        <is>
          <t>(unitless)</t>
        </is>
      </c>
    </row>
    <row r="12" ht="16.25" customHeight="1">
      <c r="A12" s="17">
        <f>IF('SDA'!A58="","",'SDA'!A58)</f>
        <v/>
      </c>
      <c r="B12" s="17">
        <f>IF(A12="","",'SDA'!F58)</f>
        <v/>
      </c>
      <c r="C12" s="17">
        <f>IF(A12="","",'SDA'!G58)</f>
        <v/>
      </c>
      <c r="D12" s="17">
        <f>IF(A12="","",'SDA'!H58)</f>
        <v/>
      </c>
      <c r="E12" s="17">
        <f>IF(A12="","",SUM(B12:D12))</f>
        <v/>
      </c>
      <c r="F12" s="17">
        <f>IF(A12="","",SUMIFS('SDA'!$H$4:$H$53,'SDA'!$A$4:$A$53,A12,'SDA'!$C$4:$C$53,"Impervious Vehicular")+SUMIFS('SDA'!$H$4:$H$53,'SDA'!$A$4:$A$53,A12,'SDA'!$C$4:$C$53,"Impervious Non-Vehicular"))</f>
        <v/>
      </c>
      <c r="G12" s="17">
        <f>IF(A12="","",SUMIFS('SDA'!$H$4:$H$53,'SDA'!$A$4:$A$53,A12,'SDA'!$C$4:$C$53,"Compacted (Open Space)"))</f>
        <v/>
      </c>
      <c r="H12" s="17">
        <f>IF(A12="","",SUMIFS('SDA'!$H$4:$H$53,'SDA'!$A$4:$A$53,A12,'SDA'!$C$4:$C$53,"Natural (Woods)"))</f>
        <v/>
      </c>
      <c r="I12" s="17">
        <f>IF(A12="","",SUM(F12:H12))</f>
        <v/>
      </c>
      <c r="J12" s="17">
        <f>IF(A12="","",IF(E12=0,0,AP12*1.2/12*E12))</f>
        <v/>
      </c>
      <c r="K12" s="28">
        <f>IF(A12="","",IF(I12=0,0,AQ12*1.2/12*I12))</f>
        <v/>
      </c>
      <c r="L12" s="17">
        <f>IF(A12="","",IF(SUMIFS('SDA'!$G$4:$G$53,'SDA'!$A$4:$A$53,A12,'SDA'!$D$4:$D$53,"D")&gt;0,"D",IF(SUMIFS('SDA'!$G$4:$G$53,'SDA'!$A$4:$A$53,A12,'SDA'!$D$4:$D$53,"C")&gt;0,"C",IF(SUMIFS('SDA'!$G$4:$G$53,'SDA'!$A$4:$A$53,A12,'SDA'!$D$4:$D$53,"B")&gt;0,"B",IF(SUMIFS('SDA'!$G$4:$G$53,'SDA'!$A$4:$A$53,A12,'SDA'!$D$4:$D$53,"A")&gt;0,"A","")))))</f>
        <v/>
      </c>
      <c r="M12" s="4" t="n"/>
      <c r="N12" s="4" t="n"/>
      <c r="O12" s="17">
        <f>IF(A12="","",IF(L12="A",2.5,IF(L12="B",0.3,IF(L12="C",0.1,IF(L12="D",0.05,"")))))</f>
        <v/>
      </c>
      <c r="P12" s="27" t="n"/>
      <c r="Q12" s="17">
        <f>IF(A12="","",SUMIFS('BMP'!$AD$4:$AD$53,'BMP'!$B$4:$B$53,A12))</f>
        <v/>
      </c>
      <c r="R12" s="17">
        <f>IF(A12="","",Q12*10)</f>
        <v/>
      </c>
      <c r="S12" s="17">
        <f>IF(A12="","",SUMIFS('BMP'!$AE$4:$AE$53,'BMP'!$B$4:$B$53,A12))</f>
        <v/>
      </c>
      <c r="T12" s="17">
        <f>IF(A12="","",S12*20)</f>
        <v/>
      </c>
      <c r="U12" s="17">
        <f>IF(A12="","",SUMIFS('BMP'!$AF$4:$AF$53,'BMP'!$B$4:$B$53,A12)+SUMIFS('BMP'!$AG$4:$AG$53,'BMP'!$B$4:$B$53,A12))</f>
        <v/>
      </c>
      <c r="V12" s="28">
        <f>IF(A12="","",U12*40)</f>
        <v/>
      </c>
      <c r="W12" s="4" t="n"/>
      <c r="X12" s="4" t="n"/>
      <c r="Y12" s="17">
        <f>IF(A12="","",SUMIFS('BMP'!$N$4:$N$53,'BMP'!$B$4:$B$53,A12,'BMP'!$D$4:$D$53,"Bioretention")+SUMIFS('BMP'!$N$4:$N$53,'BMP'!$B$4:$B$53,A12,'BMP'!$D$4:$D$53,"Dry Swale"))</f>
        <v/>
      </c>
      <c r="Z12" s="4" t="n"/>
      <c r="AA12" s="17">
        <f>IF(A12="","",SUMIFS('BMP'!$F$4:$F$53,'BMP'!$B$4:$B$53,A12,'BMP'!$D$4:$D$53,"Permeable Pavement"))</f>
        <v/>
      </c>
      <c r="AB12" s="27" t="n"/>
      <c r="AC12" s="17">
        <f>IF(A12="","",SUMIFS('CDA'!$E$4:$E$53,'CDA'!$B$4:$B$53,A12))</f>
        <v/>
      </c>
      <c r="AD12" s="17">
        <f>IF(A12="","",SUMIFS('CDA'!$F$4:$F$53,'CDA'!$B$4:$B$53,A12))</f>
        <v/>
      </c>
      <c r="AE12" s="17">
        <f>IF(A12="","",IF(AC12=0,0,AC12*1.7/12*AP12))</f>
        <v/>
      </c>
      <c r="AF12" s="17">
        <f>IF(A12="","",IF(AD12=0,0,AD12*1.7/12*AQ12))</f>
        <v/>
      </c>
      <c r="AG12" s="17">
        <f>IF(A12="","",SUMIFS('BMP'!$W$4:$W$53,'BMP'!$B$4:$B$53,A12,'BMP'!$D$4:$D$53,"Bioretention")+SUMIFS('BMP'!$W$4:$W$53,'BMP'!$B$4:$B$53,A12,'BMP'!$D$4:$D$53,"Dry Swale"))</f>
        <v/>
      </c>
      <c r="AH12" s="17">
        <f>IF(A12="","",SUMIFS('BMP'!$K$4:$K$53,'BMP'!$B$4:$B$53,A12,'BMP'!$D$4:$D$53,"Permeable Pavement"))</f>
        <v/>
      </c>
      <c r="AI12" s="17">
        <f>IF(A12="","",SUMIFS('BMP'!$AA$4:$AA$53,'BMP'!$B$4:$B$53,A12,'BMP'!$D$4:$D$53,"Wet Swale"))</f>
        <v/>
      </c>
      <c r="AJ12" s="17">
        <f>IF(A12="","",SUMIFS('BMP'!$AB$4:$AB$53,'BMP'!$B$4:$B$53,A12))</f>
        <v/>
      </c>
      <c r="AK12" s="17">
        <f>IF(A12="","",SUMIFS('BMP'!$AC$4:$AC$53,'BMP'!$B$4:$B$53,A12))</f>
        <v/>
      </c>
      <c r="AL12" s="17">
        <f>IF(A12="","",(IF((AE12)&lt;(AG12+AH12+AI12),(AE12),(AG12+AH12+AI12)))+AJ12*5+AK12*10+R12+T12+V12)</f>
        <v/>
      </c>
      <c r="AM12" s="28">
        <f>IF(A12="","",AL12-J12)</f>
        <v/>
      </c>
      <c r="AP12" s="17">
        <f>IF(A12="","",IF(E12=0,"",(B12*0.95+C12*0.25+D12*0)/E12))</f>
        <v/>
      </c>
      <c r="AQ12" s="17">
        <f>IF(A12="","",IF(I12=0,"",(F12*0.95+G12*0.25+H12*0)/I12))</f>
        <v/>
      </c>
    </row>
    <row r="13" ht="16.25" customHeight="1">
      <c r="A13" s="17">
        <f>IF('SDA'!A59="","",'SDA'!A59)</f>
        <v/>
      </c>
      <c r="B13" s="17">
        <f>IF(A13="","",'SDA'!F59)</f>
        <v/>
      </c>
      <c r="C13" s="17">
        <f>IF(A13="","",'SDA'!G59)</f>
        <v/>
      </c>
      <c r="D13" s="17">
        <f>IF(A13="","",'SDA'!H59)</f>
        <v/>
      </c>
      <c r="E13" s="17">
        <f>IF(A13="","",SUM(B13:D13))</f>
        <v/>
      </c>
      <c r="F13" s="17">
        <f>IF(A13="","",SUMIFS('SDA'!$H$4:$H$53,'SDA'!$A$4:$A$53,A13,'SDA'!$C$4:$C$53,"Impervious Vehicular")+SUMIFS('SDA'!$H$4:$H$53,'SDA'!$A$4:$A$53,A13,'SDA'!$C$4:$C$53,"Impervious Non-Vehicular"))</f>
        <v/>
      </c>
      <c r="G13" s="17">
        <f>IF(A13="","",SUMIFS('SDA'!$H$4:$H$53,'SDA'!$A$4:$A$53,A13,'SDA'!$C$4:$C$53,"Compacted (Open Space)"))</f>
        <v/>
      </c>
      <c r="H13" s="17">
        <f>IF(A13="","",SUMIFS('SDA'!$H$4:$H$53,'SDA'!$A$4:$A$53,A13,'SDA'!$C$4:$C$53,"Natural (Woods)"))</f>
        <v/>
      </c>
      <c r="I13" s="17">
        <f>IF(A13="","",SUM(F13:H13))</f>
        <v/>
      </c>
      <c r="J13" s="17">
        <f>IF(A13="","",IF(E13=0,0,AP13*1.2/12*E13))</f>
        <v/>
      </c>
      <c r="K13" s="28">
        <f>IF(A13="","",IF(I13=0,0,AQ13*1.2/12*I13))</f>
        <v/>
      </c>
      <c r="L13" s="17">
        <f>IF(A13="","",IF(SUMIFS('SDA'!$G$4:$G$53,'SDA'!$A$4:$A$53,A13,'SDA'!$D$4:$D$53,"D")&gt;0,"D",IF(SUMIFS('SDA'!$G$4:$G$53,'SDA'!$A$4:$A$53,A13,'SDA'!$D$4:$D$53,"C")&gt;0,"C",IF(SUMIFS('SDA'!$G$4:$G$53,'SDA'!$A$4:$A$53,A13,'SDA'!$D$4:$D$53,"B")&gt;0,"B",IF(SUMIFS('SDA'!$G$4:$G$53,'SDA'!$A$4:$A$53,A13,'SDA'!$D$4:$D$53,"A")&gt;0,"A","")))))</f>
        <v/>
      </c>
      <c r="M13" s="4" t="n"/>
      <c r="N13" s="4" t="n"/>
      <c r="O13" s="17">
        <f>IF(A13="","",IF(L13="A",2.5,IF(L13="B",0.3,IF(L13="C",0.1,IF(L13="D",0.05,"")))))</f>
        <v/>
      </c>
      <c r="P13" s="27" t="n"/>
      <c r="Q13" s="17">
        <f>IF(A13="","",SUMIFS('BMP'!$AD$4:$AD$53,'BMP'!$B$4:$B$53,A13))</f>
        <v/>
      </c>
      <c r="R13" s="17">
        <f>IF(A13="","",Q13*10)</f>
        <v/>
      </c>
      <c r="S13" s="17">
        <f>IF(A13="","",SUMIFS('BMP'!$AE$4:$AE$53,'BMP'!$B$4:$B$53,A13))</f>
        <v/>
      </c>
      <c r="T13" s="17">
        <f>IF(A13="","",S13*20)</f>
        <v/>
      </c>
      <c r="U13" s="17">
        <f>IF(A13="","",SUMIFS('BMP'!$AF$4:$AF$53,'BMP'!$B$4:$B$53,A13)+SUMIFS('BMP'!$AG$4:$AG$53,'BMP'!$B$4:$B$53,A13))</f>
        <v/>
      </c>
      <c r="V13" s="28">
        <f>IF(A13="","",U13*40)</f>
        <v/>
      </c>
      <c r="W13" s="4" t="n"/>
      <c r="X13" s="4" t="n"/>
      <c r="Y13" s="17">
        <f>IF(A13="","",SUMIFS('BMP'!$N$4:$N$53,'BMP'!$B$4:$B$53,A13,'BMP'!$D$4:$D$53,"Bioretention")+SUMIFS('BMP'!$N$4:$N$53,'BMP'!$B$4:$B$53,A13,'BMP'!$D$4:$D$53,"Dry Swale"))</f>
        <v/>
      </c>
      <c r="Z13" s="4" t="n"/>
      <c r="AA13" s="17">
        <f>IF(A13="","",SUMIFS('BMP'!$F$4:$F$53,'BMP'!$B$4:$B$53,A13,'BMP'!$D$4:$D$53,"Permeable Pavement"))</f>
        <v/>
      </c>
      <c r="AB13" s="27" t="n"/>
      <c r="AC13" s="17">
        <f>IF(A13="","",SUMIFS('CDA'!$E$4:$E$53,'CDA'!$B$4:$B$53,A13))</f>
        <v/>
      </c>
      <c r="AD13" s="17">
        <f>IF(A13="","",SUMIFS('CDA'!$F$4:$F$53,'CDA'!$B$4:$B$53,A13))</f>
        <v/>
      </c>
      <c r="AE13" s="17">
        <f>IF(A13="","",IF(AC13=0,0,AC13*1.7/12*AP13))</f>
        <v/>
      </c>
      <c r="AF13" s="17">
        <f>IF(A13="","",IF(AD13=0,0,AD13*1.7/12*AQ13))</f>
        <v/>
      </c>
      <c r="AG13" s="17">
        <f>IF(A13="","",SUMIFS('BMP'!$W$4:$W$53,'BMP'!$B$4:$B$53,A13,'BMP'!$D$4:$D$53,"Bioretention")+SUMIFS('BMP'!$W$4:$W$53,'BMP'!$B$4:$B$53,A13,'BMP'!$D$4:$D$53,"Dry Swale"))</f>
        <v/>
      </c>
      <c r="AH13" s="17">
        <f>IF(A13="","",SUMIFS('BMP'!$K$4:$K$53,'BMP'!$B$4:$B$53,A13,'BMP'!$D$4:$D$53,"Permeable Pavement"))</f>
        <v/>
      </c>
      <c r="AI13" s="17">
        <f>IF(A13="","",SUMIFS('BMP'!$AA$4:$AA$53,'BMP'!$B$4:$B$53,A13,'BMP'!$D$4:$D$53,"Wet Swale"))</f>
        <v/>
      </c>
      <c r="AJ13" s="17">
        <f>IF(A13="","",SUMIFS('BMP'!$AB$4:$AB$53,'BMP'!$B$4:$B$53,A13))</f>
        <v/>
      </c>
      <c r="AK13" s="17">
        <f>IF(A13="","",SUMIFS('BMP'!$AC$4:$AC$53,'BMP'!$B$4:$B$53,A13))</f>
        <v/>
      </c>
      <c r="AL13" s="17">
        <f>IF(A13="","",(IF((AE13)&lt;(AG13+AH13+AI13),(AE13),(AG13+AH13+AI13)))+AJ13*5+AK13*10+R13+T13+V13)</f>
        <v/>
      </c>
      <c r="AM13" s="28">
        <f>IF(A13="","",AL13-J13)</f>
        <v/>
      </c>
      <c r="AP13" s="17">
        <f>IF(A13="","",IF(E13=0,"",(B13*0.95+C13*0.25+D13*0)/E13))</f>
        <v/>
      </c>
      <c r="AQ13" s="17">
        <f>IF(A13="","",IF(I13=0,"",(F13*0.95+G13*0.25+H13*0)/I13))</f>
        <v/>
      </c>
    </row>
    <row r="14" ht="16.25" customHeight="1">
      <c r="A14" s="17">
        <f>IF('SDA'!A60="","",'SDA'!A60)</f>
        <v/>
      </c>
      <c r="B14" s="17">
        <f>IF(A14="","",'SDA'!F60)</f>
        <v/>
      </c>
      <c r="C14" s="17">
        <f>IF(A14="","",'SDA'!G60)</f>
        <v/>
      </c>
      <c r="D14" s="17">
        <f>IF(A14="","",'SDA'!H60)</f>
        <v/>
      </c>
      <c r="E14" s="17">
        <f>IF(A14="","",SUM(B14:D14))</f>
        <v/>
      </c>
      <c r="F14" s="17">
        <f>IF(A14="","",SUMIFS('SDA'!$H$4:$H$53,'SDA'!$A$4:$A$53,A14,'SDA'!$C$4:$C$53,"Impervious Vehicular")+SUMIFS('SDA'!$H$4:$H$53,'SDA'!$A$4:$A$53,A14,'SDA'!$C$4:$C$53,"Impervious Non-Vehicular"))</f>
        <v/>
      </c>
      <c r="G14" s="17">
        <f>IF(A14="","",SUMIFS('SDA'!$H$4:$H$53,'SDA'!$A$4:$A$53,A14,'SDA'!$C$4:$C$53,"Compacted (Open Space)"))</f>
        <v/>
      </c>
      <c r="H14" s="17">
        <f>IF(A14="","",SUMIFS('SDA'!$H$4:$H$53,'SDA'!$A$4:$A$53,A14,'SDA'!$C$4:$C$53,"Natural (Woods)"))</f>
        <v/>
      </c>
      <c r="I14" s="17">
        <f>IF(A14="","",SUM(F14:H14))</f>
        <v/>
      </c>
      <c r="J14" s="17">
        <f>IF(A14="","",IF(E14=0,0,AP14*1.2/12*E14))</f>
        <v/>
      </c>
      <c r="K14" s="28">
        <f>IF(A14="","",IF(I14=0,0,AQ14*1.2/12*I14))</f>
        <v/>
      </c>
      <c r="L14" s="17">
        <f>IF(A14="","",IF(SUMIFS('SDA'!$G$4:$G$53,'SDA'!$A$4:$A$53,A14,'SDA'!$D$4:$D$53,"D")&gt;0,"D",IF(SUMIFS('SDA'!$G$4:$G$53,'SDA'!$A$4:$A$53,A14,'SDA'!$D$4:$D$53,"C")&gt;0,"C",IF(SUMIFS('SDA'!$G$4:$G$53,'SDA'!$A$4:$A$53,A14,'SDA'!$D$4:$D$53,"B")&gt;0,"B",IF(SUMIFS('SDA'!$G$4:$G$53,'SDA'!$A$4:$A$53,A14,'SDA'!$D$4:$D$53,"A")&gt;0,"A","")))))</f>
        <v/>
      </c>
      <c r="M14" s="4" t="n"/>
      <c r="N14" s="4" t="n"/>
      <c r="O14" s="17">
        <f>IF(A14="","",IF(L14="A",2.5,IF(L14="B",0.3,IF(L14="C",0.1,IF(L14="D",0.05,"")))))</f>
        <v/>
      </c>
      <c r="P14" s="27" t="n"/>
      <c r="Q14" s="17">
        <f>IF(A14="","",SUMIFS('BMP'!$AD$4:$AD$53,'BMP'!$B$4:$B$53,A14))</f>
        <v/>
      </c>
      <c r="R14" s="17">
        <f>IF(A14="","",Q14*10)</f>
        <v/>
      </c>
      <c r="S14" s="17">
        <f>IF(A14="","",SUMIFS('BMP'!$AE$4:$AE$53,'BMP'!$B$4:$B$53,A14))</f>
        <v/>
      </c>
      <c r="T14" s="17">
        <f>IF(A14="","",S14*20)</f>
        <v/>
      </c>
      <c r="U14" s="17">
        <f>IF(A14="","",SUMIFS('BMP'!$AF$4:$AF$53,'BMP'!$B$4:$B$53,A14)+SUMIFS('BMP'!$AG$4:$AG$53,'BMP'!$B$4:$B$53,A14))</f>
        <v/>
      </c>
      <c r="V14" s="28">
        <f>IF(A14="","",U14*40)</f>
        <v/>
      </c>
      <c r="W14" s="4" t="n"/>
      <c r="X14" s="4" t="n"/>
      <c r="Y14" s="17">
        <f>IF(A14="","",SUMIFS('BMP'!$N$4:$N$53,'BMP'!$B$4:$B$53,A14,'BMP'!$D$4:$D$53,"Bioretention")+SUMIFS('BMP'!$N$4:$N$53,'BMP'!$B$4:$B$53,A14,'BMP'!$D$4:$D$53,"Dry Swale"))</f>
        <v/>
      </c>
      <c r="Z14" s="4" t="n"/>
      <c r="AA14" s="17">
        <f>IF(A14="","",SUMIFS('BMP'!$F$4:$F$53,'BMP'!$B$4:$B$53,A14,'BMP'!$D$4:$D$53,"Permeable Pavement"))</f>
        <v/>
      </c>
      <c r="AB14" s="27" t="n"/>
      <c r="AC14" s="17">
        <f>IF(A14="","",SUMIFS('CDA'!$E$4:$E$53,'CDA'!$B$4:$B$53,A14))</f>
        <v/>
      </c>
      <c r="AD14" s="17">
        <f>IF(A14="","",SUMIFS('CDA'!$F$4:$F$53,'CDA'!$B$4:$B$53,A14))</f>
        <v/>
      </c>
      <c r="AE14" s="17">
        <f>IF(A14="","",IF(AC14=0,0,AC14*1.7/12*AP14))</f>
        <v/>
      </c>
      <c r="AF14" s="17">
        <f>IF(A14="","",IF(AD14=0,0,AD14*1.7/12*AQ14))</f>
        <v/>
      </c>
      <c r="AG14" s="17">
        <f>IF(A14="","",SUMIFS('BMP'!$W$4:$W$53,'BMP'!$B$4:$B$53,A14,'BMP'!$D$4:$D$53,"Bioretention")+SUMIFS('BMP'!$W$4:$W$53,'BMP'!$B$4:$B$53,A14,'BMP'!$D$4:$D$53,"Dry Swale"))</f>
        <v/>
      </c>
      <c r="AH14" s="17">
        <f>IF(A14="","",SUMIFS('BMP'!$K$4:$K$53,'BMP'!$B$4:$B$53,A14,'BMP'!$D$4:$D$53,"Permeable Pavement"))</f>
        <v/>
      </c>
      <c r="AI14" s="17">
        <f>IF(A14="","",SUMIFS('BMP'!$AA$4:$AA$53,'BMP'!$B$4:$B$53,A14,'BMP'!$D$4:$D$53,"Wet Swale"))</f>
        <v/>
      </c>
      <c r="AJ14" s="17">
        <f>IF(A14="","",SUMIFS('BMP'!$AB$4:$AB$53,'BMP'!$B$4:$B$53,A14))</f>
        <v/>
      </c>
      <c r="AK14" s="17">
        <f>IF(A14="","",SUMIFS('BMP'!$AC$4:$AC$53,'BMP'!$B$4:$B$53,A14))</f>
        <v/>
      </c>
      <c r="AL14" s="17">
        <f>IF(A14="","",(IF((AE14)&lt;(AG14+AH14+AI14),(AE14),(AG14+AH14+AI14)))+AJ14*5+AK14*10+R14+T14+V14)</f>
        <v/>
      </c>
      <c r="AM14" s="28">
        <f>IF(A14="","",AL14-J14)</f>
        <v/>
      </c>
      <c r="AP14" s="17">
        <f>IF(A14="","",IF(E14=0,"",(B14*0.95+C14*0.25+D14*0)/E14))</f>
        <v/>
      </c>
      <c r="AQ14" s="17">
        <f>IF(A14="","",IF(I14=0,"",(F14*0.95+G14*0.25+H14*0)/I14))</f>
        <v/>
      </c>
    </row>
    <row r="15" ht="16.25" customHeight="1">
      <c r="A15" s="17">
        <f>IF('SDA'!A61="","",'SDA'!A61)</f>
        <v/>
      </c>
      <c r="B15" s="17">
        <f>IF(A15="","",'SDA'!F61)</f>
        <v/>
      </c>
      <c r="C15" s="17">
        <f>IF(A15="","",'SDA'!G61)</f>
        <v/>
      </c>
      <c r="D15" s="17">
        <f>IF(A15="","",'SDA'!H61)</f>
        <v/>
      </c>
      <c r="E15" s="17">
        <f>IF(A15="","",SUM(B15:D15))</f>
        <v/>
      </c>
      <c r="F15" s="17">
        <f>IF(A15="","",SUMIFS('SDA'!$H$4:$H$53,'SDA'!$A$4:$A$53,A15,'SDA'!$C$4:$C$53,"Impervious Vehicular")+SUMIFS('SDA'!$H$4:$H$53,'SDA'!$A$4:$A$53,A15,'SDA'!$C$4:$C$53,"Impervious Non-Vehicular"))</f>
        <v/>
      </c>
      <c r="G15" s="17">
        <f>IF(A15="","",SUMIFS('SDA'!$H$4:$H$53,'SDA'!$A$4:$A$53,A15,'SDA'!$C$4:$C$53,"Compacted (Open Space)"))</f>
        <v/>
      </c>
      <c r="H15" s="17">
        <f>IF(A15="","",SUMIFS('SDA'!$H$4:$H$53,'SDA'!$A$4:$A$53,A15,'SDA'!$C$4:$C$53,"Natural (Woods)"))</f>
        <v/>
      </c>
      <c r="I15" s="17">
        <f>IF(A15="","",SUM(F15:H15))</f>
        <v/>
      </c>
      <c r="J15" s="17">
        <f>IF(A15="","",IF(E15=0,0,AP15*1.2/12*E15))</f>
        <v/>
      </c>
      <c r="K15" s="28">
        <f>IF(A15="","",IF(I15=0,0,AQ15*1.2/12*I15))</f>
        <v/>
      </c>
      <c r="L15" s="17">
        <f>IF(A15="","",IF(SUMIFS('SDA'!$G$4:$G$53,'SDA'!$A$4:$A$53,A15,'SDA'!$D$4:$D$53,"D")&gt;0,"D",IF(SUMIFS('SDA'!$G$4:$G$53,'SDA'!$A$4:$A$53,A15,'SDA'!$D$4:$D$53,"C")&gt;0,"C",IF(SUMIFS('SDA'!$G$4:$G$53,'SDA'!$A$4:$A$53,A15,'SDA'!$D$4:$D$53,"B")&gt;0,"B",IF(SUMIFS('SDA'!$G$4:$G$53,'SDA'!$A$4:$A$53,A15,'SDA'!$D$4:$D$53,"A")&gt;0,"A","")))))</f>
        <v/>
      </c>
      <c r="M15" s="4" t="n"/>
      <c r="N15" s="4" t="n"/>
      <c r="O15" s="17">
        <f>IF(A15="","",IF(L15="A",2.5,IF(L15="B",0.3,IF(L15="C",0.1,IF(L15="D",0.05,"")))))</f>
        <v/>
      </c>
      <c r="P15" s="27" t="n"/>
      <c r="Q15" s="17">
        <f>IF(A15="","",SUMIFS('BMP'!$AD$4:$AD$53,'BMP'!$B$4:$B$53,A15))</f>
        <v/>
      </c>
      <c r="R15" s="17">
        <f>IF(A15="","",Q15*10)</f>
        <v/>
      </c>
      <c r="S15" s="17">
        <f>IF(A15="","",SUMIFS('BMP'!$AE$4:$AE$53,'BMP'!$B$4:$B$53,A15))</f>
        <v/>
      </c>
      <c r="T15" s="17">
        <f>IF(A15="","",S15*20)</f>
        <v/>
      </c>
      <c r="U15" s="17">
        <f>IF(A15="","",SUMIFS('BMP'!$AF$4:$AF$53,'BMP'!$B$4:$B$53,A15)+SUMIFS('BMP'!$AG$4:$AG$53,'BMP'!$B$4:$B$53,A15))</f>
        <v/>
      </c>
      <c r="V15" s="28">
        <f>IF(A15="","",U15*40)</f>
        <v/>
      </c>
      <c r="W15" s="4" t="n"/>
      <c r="X15" s="4" t="n"/>
      <c r="Y15" s="17">
        <f>IF(A15="","",SUMIFS('BMP'!$N$4:$N$53,'BMP'!$B$4:$B$53,A15,'BMP'!$D$4:$D$53,"Bioretention")+SUMIFS('BMP'!$N$4:$N$53,'BMP'!$B$4:$B$53,A15,'BMP'!$D$4:$D$53,"Dry Swale"))</f>
        <v/>
      </c>
      <c r="Z15" s="4" t="n"/>
      <c r="AA15" s="17">
        <f>IF(A15="","",SUMIFS('BMP'!$F$4:$F$53,'BMP'!$B$4:$B$53,A15,'BMP'!$D$4:$D$53,"Permeable Pavement"))</f>
        <v/>
      </c>
      <c r="AB15" s="27" t="n"/>
      <c r="AC15" s="17">
        <f>IF(A15="","",SUMIFS('CDA'!$E$4:$E$53,'CDA'!$B$4:$B$53,A15))</f>
        <v/>
      </c>
      <c r="AD15" s="17">
        <f>IF(A15="","",SUMIFS('CDA'!$F$4:$F$53,'CDA'!$B$4:$B$53,A15))</f>
        <v/>
      </c>
      <c r="AE15" s="17">
        <f>IF(A15="","",IF(AC15=0,0,AC15*1.7/12*AP15))</f>
        <v/>
      </c>
      <c r="AF15" s="17">
        <f>IF(A15="","",IF(AD15=0,0,AD15*1.7/12*AQ15))</f>
        <v/>
      </c>
      <c r="AG15" s="17">
        <f>IF(A15="","",SUMIFS('BMP'!$W$4:$W$53,'BMP'!$B$4:$B$53,A15,'BMP'!$D$4:$D$53,"Bioretention")+SUMIFS('BMP'!$W$4:$W$53,'BMP'!$B$4:$B$53,A15,'BMP'!$D$4:$D$53,"Dry Swale"))</f>
        <v/>
      </c>
      <c r="AH15" s="17">
        <f>IF(A15="","",SUMIFS('BMP'!$K$4:$K$53,'BMP'!$B$4:$B$53,A15,'BMP'!$D$4:$D$53,"Permeable Pavement"))</f>
        <v/>
      </c>
      <c r="AI15" s="17">
        <f>IF(A15="","",SUMIFS('BMP'!$AA$4:$AA$53,'BMP'!$B$4:$B$53,A15,'BMP'!$D$4:$D$53,"Wet Swale"))</f>
        <v/>
      </c>
      <c r="AJ15" s="17">
        <f>IF(A15="","",SUMIFS('BMP'!$AB$4:$AB$53,'BMP'!$B$4:$B$53,A15))</f>
        <v/>
      </c>
      <c r="AK15" s="17">
        <f>IF(A15="","",SUMIFS('BMP'!$AC$4:$AC$53,'BMP'!$B$4:$B$53,A15))</f>
        <v/>
      </c>
      <c r="AL15" s="17">
        <f>IF(A15="","",(IF((AE15)&lt;(AG15+AH15+AI15),(AE15),(AG15+AH15+AI15)))+AJ15*5+AK15*10+R15+T15+V15)</f>
        <v/>
      </c>
      <c r="AM15" s="28">
        <f>IF(A15="","",AL15-J15)</f>
        <v/>
      </c>
      <c r="AP15" s="17">
        <f>IF(A15="","",IF(E15=0,"",(B15*0.95+C15*0.25+D15*0)/E15))</f>
        <v/>
      </c>
      <c r="AQ15" s="17">
        <f>IF(A15="","",IF(I15=0,"",(F15*0.95+G15*0.25+H15*0)/I15))</f>
        <v/>
      </c>
    </row>
    <row r="16" ht="16.25" customHeight="1">
      <c r="A16" s="17">
        <f>IF('SDA'!A62="","",'SDA'!A62)</f>
        <v/>
      </c>
      <c r="B16" s="17">
        <f>IF(A16="","",'SDA'!F62)</f>
        <v/>
      </c>
      <c r="C16" s="17">
        <f>IF(A16="","",'SDA'!G62)</f>
        <v/>
      </c>
      <c r="D16" s="17">
        <f>IF(A16="","",'SDA'!H62)</f>
        <v/>
      </c>
      <c r="E16" s="17">
        <f>IF(A16="","",SUM(B16:D16))</f>
        <v/>
      </c>
      <c r="F16" s="17">
        <f>IF(A16="","",SUMIFS('SDA'!$H$4:$H$53,'SDA'!$A$4:$A$53,A16,'SDA'!$C$4:$C$53,"Impervious Vehicular")+SUMIFS('SDA'!$H$4:$H$53,'SDA'!$A$4:$A$53,A16,'SDA'!$C$4:$C$53,"Impervious Non-Vehicular"))</f>
        <v/>
      </c>
      <c r="G16" s="17">
        <f>IF(A16="","",SUMIFS('SDA'!$H$4:$H$53,'SDA'!$A$4:$A$53,A16,'SDA'!$C$4:$C$53,"Compacted (Open Space)"))</f>
        <v/>
      </c>
      <c r="H16" s="17">
        <f>IF(A16="","",SUMIFS('SDA'!$H$4:$H$53,'SDA'!$A$4:$A$53,A16,'SDA'!$C$4:$C$53,"Natural (Woods)"))</f>
        <v/>
      </c>
      <c r="I16" s="17">
        <f>IF(A16="","",SUM(F16:H16))</f>
        <v/>
      </c>
      <c r="J16" s="17">
        <f>IF(A16="","",IF(E16=0,0,AP16*1.2/12*E16))</f>
        <v/>
      </c>
      <c r="K16" s="28">
        <f>IF(A16="","",IF(I16=0,0,AQ16*1.2/12*I16))</f>
        <v/>
      </c>
      <c r="L16" s="17">
        <f>IF(A16="","",IF(SUMIFS('SDA'!$G$4:$G$53,'SDA'!$A$4:$A$53,A16,'SDA'!$D$4:$D$53,"D")&gt;0,"D",IF(SUMIFS('SDA'!$G$4:$G$53,'SDA'!$A$4:$A$53,A16,'SDA'!$D$4:$D$53,"C")&gt;0,"C",IF(SUMIFS('SDA'!$G$4:$G$53,'SDA'!$A$4:$A$53,A16,'SDA'!$D$4:$D$53,"B")&gt;0,"B",IF(SUMIFS('SDA'!$G$4:$G$53,'SDA'!$A$4:$A$53,A16,'SDA'!$D$4:$D$53,"A")&gt;0,"A","")))))</f>
        <v/>
      </c>
      <c r="M16" s="4" t="n"/>
      <c r="N16" s="4" t="n"/>
      <c r="O16" s="17">
        <f>IF(A16="","",IF(L16="A",2.5,IF(L16="B",0.3,IF(L16="C",0.1,IF(L16="D",0.05,"")))))</f>
        <v/>
      </c>
      <c r="P16" s="27" t="n"/>
      <c r="Q16" s="17">
        <f>IF(A16="","",SUMIFS('BMP'!$AD$4:$AD$53,'BMP'!$B$4:$B$53,A16))</f>
        <v/>
      </c>
      <c r="R16" s="17">
        <f>IF(A16="","",Q16*10)</f>
        <v/>
      </c>
      <c r="S16" s="17">
        <f>IF(A16="","",SUMIFS('BMP'!$AE$4:$AE$53,'BMP'!$B$4:$B$53,A16))</f>
        <v/>
      </c>
      <c r="T16" s="17">
        <f>IF(A16="","",S16*20)</f>
        <v/>
      </c>
      <c r="U16" s="17">
        <f>IF(A16="","",SUMIFS('BMP'!$AF$4:$AF$53,'BMP'!$B$4:$B$53,A16)+SUMIFS('BMP'!$AG$4:$AG$53,'BMP'!$B$4:$B$53,A16))</f>
        <v/>
      </c>
      <c r="V16" s="28">
        <f>IF(A16="","",U16*40)</f>
        <v/>
      </c>
      <c r="W16" s="4" t="n"/>
      <c r="X16" s="4" t="n"/>
      <c r="Y16" s="17">
        <f>IF(A16="","",SUMIFS('BMP'!$N$4:$N$53,'BMP'!$B$4:$B$53,A16,'BMP'!$D$4:$D$53,"Bioretention")+SUMIFS('BMP'!$N$4:$N$53,'BMP'!$B$4:$B$53,A16,'BMP'!$D$4:$D$53,"Dry Swale"))</f>
        <v/>
      </c>
      <c r="Z16" s="4" t="n"/>
      <c r="AA16" s="17">
        <f>IF(A16="","",SUMIFS('BMP'!$F$4:$F$53,'BMP'!$B$4:$B$53,A16,'BMP'!$D$4:$D$53,"Permeable Pavement"))</f>
        <v/>
      </c>
      <c r="AB16" s="27" t="n"/>
      <c r="AC16" s="17">
        <f>IF(A16="","",SUMIFS('CDA'!$E$4:$E$53,'CDA'!$B$4:$B$53,A16))</f>
        <v/>
      </c>
      <c r="AD16" s="17">
        <f>IF(A16="","",SUMIFS('CDA'!$F$4:$F$53,'CDA'!$B$4:$B$53,A16))</f>
        <v/>
      </c>
      <c r="AE16" s="17">
        <f>IF(A16="","",IF(AC16=0,0,AC16*1.7/12*AP16))</f>
        <v/>
      </c>
      <c r="AF16" s="17">
        <f>IF(A16="","",IF(AD16=0,0,AD16*1.7/12*AQ16))</f>
        <v/>
      </c>
      <c r="AG16" s="17">
        <f>IF(A16="","",SUMIFS('BMP'!$W$4:$W$53,'BMP'!$B$4:$B$53,A16,'BMP'!$D$4:$D$53,"Bioretention")+SUMIFS('BMP'!$W$4:$W$53,'BMP'!$B$4:$B$53,A16,'BMP'!$D$4:$D$53,"Dry Swale"))</f>
        <v/>
      </c>
      <c r="AH16" s="17">
        <f>IF(A16="","",SUMIFS('BMP'!$K$4:$K$53,'BMP'!$B$4:$B$53,A16,'BMP'!$D$4:$D$53,"Permeable Pavement"))</f>
        <v/>
      </c>
      <c r="AI16" s="17">
        <f>IF(A16="","",SUMIFS('BMP'!$AA$4:$AA$53,'BMP'!$B$4:$B$53,A16,'BMP'!$D$4:$D$53,"Wet Swale"))</f>
        <v/>
      </c>
      <c r="AJ16" s="17">
        <f>IF(A16="","",SUMIFS('BMP'!$AB$4:$AB$53,'BMP'!$B$4:$B$53,A16))</f>
        <v/>
      </c>
      <c r="AK16" s="17">
        <f>IF(A16="","",SUMIFS('BMP'!$AC$4:$AC$53,'BMP'!$B$4:$B$53,A16))</f>
        <v/>
      </c>
      <c r="AL16" s="17">
        <f>IF(A16="","",(IF((AE16)&lt;(AG16+AH16+AI16),(AE16),(AG16+AH16+AI16)))+AJ16*5+AK16*10+R16+T16+V16)</f>
        <v/>
      </c>
      <c r="AM16" s="28">
        <f>IF(A16="","",AL16-J16)</f>
        <v/>
      </c>
      <c r="AP16" s="17">
        <f>IF(A16="","",IF(E16=0,"",(B16*0.95+C16*0.25+D16*0)/E16))</f>
        <v/>
      </c>
      <c r="AQ16" s="17">
        <f>IF(A16="","",IF(I16=0,"",(F16*0.95+G16*0.25+H16*0)/I16))</f>
        <v/>
      </c>
    </row>
    <row r="17" ht="16.25" customHeight="1">
      <c r="A17" s="17">
        <f>IF('SDA'!A63="","",'SDA'!A63)</f>
        <v/>
      </c>
      <c r="B17" s="17">
        <f>IF(A17="","",'SDA'!F63)</f>
        <v/>
      </c>
      <c r="C17" s="17">
        <f>IF(A17="","",'SDA'!G63)</f>
        <v/>
      </c>
      <c r="D17" s="17">
        <f>IF(A17="","",'SDA'!H63)</f>
        <v/>
      </c>
      <c r="E17" s="17">
        <f>IF(A17="","",SUM(B17:D17))</f>
        <v/>
      </c>
      <c r="F17" s="17">
        <f>IF(A17="","",SUMIFS('SDA'!$H$4:$H$53,'SDA'!$A$4:$A$53,A17,'SDA'!$C$4:$C$53,"Impervious Vehicular")+SUMIFS('SDA'!$H$4:$H$53,'SDA'!$A$4:$A$53,A17,'SDA'!$C$4:$C$53,"Impervious Non-Vehicular"))</f>
        <v/>
      </c>
      <c r="G17" s="17">
        <f>IF(A17="","",SUMIFS('SDA'!$H$4:$H$53,'SDA'!$A$4:$A$53,A17,'SDA'!$C$4:$C$53,"Compacted (Open Space)"))</f>
        <v/>
      </c>
      <c r="H17" s="17">
        <f>IF(A17="","",SUMIFS('SDA'!$H$4:$H$53,'SDA'!$A$4:$A$53,A17,'SDA'!$C$4:$C$53,"Natural (Woods)"))</f>
        <v/>
      </c>
      <c r="I17" s="17">
        <f>IF(A17="","",SUM(F17:H17))</f>
        <v/>
      </c>
      <c r="J17" s="17">
        <f>IF(A17="","",IF(E17=0,0,AP17*1.2/12*E17))</f>
        <v/>
      </c>
      <c r="K17" s="28">
        <f>IF(A17="","",IF(I17=0,0,AQ17*1.2/12*I17))</f>
        <v/>
      </c>
      <c r="L17" s="17">
        <f>IF(A17="","",IF(SUMIFS('SDA'!$G$4:$G$53,'SDA'!$A$4:$A$53,A17,'SDA'!$D$4:$D$53,"D")&gt;0,"D",IF(SUMIFS('SDA'!$G$4:$G$53,'SDA'!$A$4:$A$53,A17,'SDA'!$D$4:$D$53,"C")&gt;0,"C",IF(SUMIFS('SDA'!$G$4:$G$53,'SDA'!$A$4:$A$53,A17,'SDA'!$D$4:$D$53,"B")&gt;0,"B",IF(SUMIFS('SDA'!$G$4:$G$53,'SDA'!$A$4:$A$53,A17,'SDA'!$D$4:$D$53,"A")&gt;0,"A","")))))</f>
        <v/>
      </c>
      <c r="M17" s="4" t="n"/>
      <c r="N17" s="4" t="n"/>
      <c r="O17" s="17">
        <f>IF(A17="","",IF(L17="A",2.5,IF(L17="B",0.3,IF(L17="C",0.1,IF(L17="D",0.05,"")))))</f>
        <v/>
      </c>
      <c r="P17" s="27" t="n"/>
      <c r="Q17" s="17">
        <f>IF(A17="","",SUMIFS('BMP'!$AD$4:$AD$53,'BMP'!$B$4:$B$53,A17))</f>
        <v/>
      </c>
      <c r="R17" s="17">
        <f>IF(A17="","",Q17*10)</f>
        <v/>
      </c>
      <c r="S17" s="17">
        <f>IF(A17="","",SUMIFS('BMP'!$AE$4:$AE$53,'BMP'!$B$4:$B$53,A17))</f>
        <v/>
      </c>
      <c r="T17" s="17">
        <f>IF(A17="","",S17*20)</f>
        <v/>
      </c>
      <c r="U17" s="17">
        <f>IF(A17="","",SUMIFS('BMP'!$AF$4:$AF$53,'BMP'!$B$4:$B$53,A17)+SUMIFS('BMP'!$AG$4:$AG$53,'BMP'!$B$4:$B$53,A17))</f>
        <v/>
      </c>
      <c r="V17" s="28">
        <f>IF(A17="","",U17*40)</f>
        <v/>
      </c>
      <c r="W17" s="4" t="n"/>
      <c r="X17" s="4" t="n"/>
      <c r="Y17" s="17">
        <f>IF(A17="","",SUMIFS('BMP'!$N$4:$N$53,'BMP'!$B$4:$B$53,A17,'BMP'!$D$4:$D$53,"Bioretention")+SUMIFS('BMP'!$N$4:$N$53,'BMP'!$B$4:$B$53,A17,'BMP'!$D$4:$D$53,"Dry Swale"))</f>
        <v/>
      </c>
      <c r="Z17" s="4" t="n"/>
      <c r="AA17" s="17">
        <f>IF(A17="","",SUMIFS('BMP'!$F$4:$F$53,'BMP'!$B$4:$B$53,A17,'BMP'!$D$4:$D$53,"Permeable Pavement"))</f>
        <v/>
      </c>
      <c r="AB17" s="27" t="n"/>
      <c r="AC17" s="17">
        <f>IF(A17="","",SUMIFS('CDA'!$E$4:$E$53,'CDA'!$B$4:$B$53,A17))</f>
        <v/>
      </c>
      <c r="AD17" s="17">
        <f>IF(A17="","",SUMIFS('CDA'!$F$4:$F$53,'CDA'!$B$4:$B$53,A17))</f>
        <v/>
      </c>
      <c r="AE17" s="17">
        <f>IF(A17="","",IF(AC17=0,0,AC17*1.7/12*AP17))</f>
        <v/>
      </c>
      <c r="AF17" s="17">
        <f>IF(A17="","",IF(AD17=0,0,AD17*1.7/12*AQ17))</f>
        <v/>
      </c>
      <c r="AG17" s="17">
        <f>IF(A17="","",SUMIFS('BMP'!$W$4:$W$53,'BMP'!$B$4:$B$53,A17,'BMP'!$D$4:$D$53,"Bioretention")+SUMIFS('BMP'!$W$4:$W$53,'BMP'!$B$4:$B$53,A17,'BMP'!$D$4:$D$53,"Dry Swale"))</f>
        <v/>
      </c>
      <c r="AH17" s="17">
        <f>IF(A17="","",SUMIFS('BMP'!$K$4:$K$53,'BMP'!$B$4:$B$53,A17,'BMP'!$D$4:$D$53,"Permeable Pavement"))</f>
        <v/>
      </c>
      <c r="AI17" s="17">
        <f>IF(A17="","",SUMIFS('BMP'!$AA$4:$AA$53,'BMP'!$B$4:$B$53,A17,'BMP'!$D$4:$D$53,"Wet Swale"))</f>
        <v/>
      </c>
      <c r="AJ17" s="17">
        <f>IF(A17="","",SUMIFS('BMP'!$AB$4:$AB$53,'BMP'!$B$4:$B$53,A17))</f>
        <v/>
      </c>
      <c r="AK17" s="17">
        <f>IF(A17="","",SUMIFS('BMP'!$AC$4:$AC$53,'BMP'!$B$4:$B$53,A17))</f>
        <v/>
      </c>
      <c r="AL17" s="17">
        <f>IF(A17="","",(IF((AE17)&lt;(AG17+AH17+AI17),(AE17),(AG17+AH17+AI17)))+AJ17*5+AK17*10+R17+T17+V17)</f>
        <v/>
      </c>
      <c r="AM17" s="28">
        <f>IF(A17="","",AL17-J17)</f>
        <v/>
      </c>
      <c r="AP17" s="17">
        <f>IF(A17="","",IF(E17=0,"",(B17*0.95+C17*0.25+D17*0)/E17))</f>
        <v/>
      </c>
      <c r="AQ17" s="17">
        <f>IF(A17="","",IF(I17=0,"",(F17*0.95+G17*0.25+H17*0)/I17))</f>
        <v/>
      </c>
    </row>
    <row r="18" ht="16.25" customHeight="1">
      <c r="A18" s="17">
        <f>IF('SDA'!A64="","",'SDA'!A64)</f>
        <v/>
      </c>
      <c r="B18" s="17">
        <f>IF(A18="","",'SDA'!F64)</f>
        <v/>
      </c>
      <c r="C18" s="17">
        <f>IF(A18="","",'SDA'!G64)</f>
        <v/>
      </c>
      <c r="D18" s="17">
        <f>IF(A18="","",'SDA'!H64)</f>
        <v/>
      </c>
      <c r="E18" s="17">
        <f>IF(A18="","",SUM(B18:D18))</f>
        <v/>
      </c>
      <c r="F18" s="17">
        <f>IF(A18="","",SUMIFS('SDA'!$H$4:$H$53,'SDA'!$A$4:$A$53,A18,'SDA'!$C$4:$C$53,"Impervious Vehicular")+SUMIFS('SDA'!$H$4:$H$53,'SDA'!$A$4:$A$53,A18,'SDA'!$C$4:$C$53,"Impervious Non-Vehicular"))</f>
        <v/>
      </c>
      <c r="G18" s="17">
        <f>IF(A18="","",SUMIFS('SDA'!$H$4:$H$53,'SDA'!$A$4:$A$53,A18,'SDA'!$C$4:$C$53,"Compacted (Open Space)"))</f>
        <v/>
      </c>
      <c r="H18" s="17">
        <f>IF(A18="","",SUMIFS('SDA'!$H$4:$H$53,'SDA'!$A$4:$A$53,A18,'SDA'!$C$4:$C$53,"Natural (Woods)"))</f>
        <v/>
      </c>
      <c r="I18" s="17">
        <f>IF(A18="","",SUM(F18:H18))</f>
        <v/>
      </c>
      <c r="J18" s="17">
        <f>IF(A18="","",IF(E18=0,0,AP18*1.2/12*E18))</f>
        <v/>
      </c>
      <c r="K18" s="28">
        <f>IF(A18="","",IF(I18=0,0,AQ18*1.2/12*I18))</f>
        <v/>
      </c>
      <c r="L18" s="17">
        <f>IF(A18="","",IF(SUMIFS('SDA'!$G$4:$G$53,'SDA'!$A$4:$A$53,A18,'SDA'!$D$4:$D$53,"D")&gt;0,"D",IF(SUMIFS('SDA'!$G$4:$G$53,'SDA'!$A$4:$A$53,A18,'SDA'!$D$4:$D$53,"C")&gt;0,"C",IF(SUMIFS('SDA'!$G$4:$G$53,'SDA'!$A$4:$A$53,A18,'SDA'!$D$4:$D$53,"B")&gt;0,"B",IF(SUMIFS('SDA'!$G$4:$G$53,'SDA'!$A$4:$A$53,A18,'SDA'!$D$4:$D$53,"A")&gt;0,"A","")))))</f>
        <v/>
      </c>
      <c r="M18" s="4" t="n"/>
      <c r="N18" s="4" t="n"/>
      <c r="O18" s="17">
        <f>IF(A18="","",IF(L18="A",2.5,IF(L18="B",0.3,IF(L18="C",0.1,IF(L18="D",0.05,"")))))</f>
        <v/>
      </c>
      <c r="P18" s="27" t="n"/>
      <c r="Q18" s="17">
        <f>IF(A18="","",SUMIFS('BMP'!$AD$4:$AD$53,'BMP'!$B$4:$B$53,A18))</f>
        <v/>
      </c>
      <c r="R18" s="17">
        <f>IF(A18="","",Q18*10)</f>
        <v/>
      </c>
      <c r="S18" s="17">
        <f>IF(A18="","",SUMIFS('BMP'!$AE$4:$AE$53,'BMP'!$B$4:$B$53,A18))</f>
        <v/>
      </c>
      <c r="T18" s="17">
        <f>IF(A18="","",S18*20)</f>
        <v/>
      </c>
      <c r="U18" s="17">
        <f>IF(A18="","",SUMIFS('BMP'!$AF$4:$AF$53,'BMP'!$B$4:$B$53,A18)+SUMIFS('BMP'!$AG$4:$AG$53,'BMP'!$B$4:$B$53,A18))</f>
        <v/>
      </c>
      <c r="V18" s="28">
        <f>IF(A18="","",U18*40)</f>
        <v/>
      </c>
      <c r="W18" s="4" t="n"/>
      <c r="X18" s="4" t="n"/>
      <c r="Y18" s="17">
        <f>IF(A18="","",SUMIFS('BMP'!$N$4:$N$53,'BMP'!$B$4:$B$53,A18,'BMP'!$D$4:$D$53,"Bioretention")+SUMIFS('BMP'!$N$4:$N$53,'BMP'!$B$4:$B$53,A18,'BMP'!$D$4:$D$53,"Dry Swale"))</f>
        <v/>
      </c>
      <c r="Z18" s="4" t="n"/>
      <c r="AA18" s="17">
        <f>IF(A18="","",SUMIFS('BMP'!$F$4:$F$53,'BMP'!$B$4:$B$53,A18,'BMP'!$D$4:$D$53,"Permeable Pavement"))</f>
        <v/>
      </c>
      <c r="AB18" s="27" t="n"/>
      <c r="AC18" s="17">
        <f>IF(A18="","",SUMIFS('CDA'!$E$4:$E$53,'CDA'!$B$4:$B$53,A18))</f>
        <v/>
      </c>
      <c r="AD18" s="17">
        <f>IF(A18="","",SUMIFS('CDA'!$F$4:$F$53,'CDA'!$B$4:$B$53,A18))</f>
        <v/>
      </c>
      <c r="AE18" s="17">
        <f>IF(A18="","",IF(AC18=0,0,AC18*1.7/12*AP18))</f>
        <v/>
      </c>
      <c r="AF18" s="17">
        <f>IF(A18="","",IF(AD18=0,0,AD18*1.7/12*AQ18))</f>
        <v/>
      </c>
      <c r="AG18" s="17">
        <f>IF(A18="","",SUMIFS('BMP'!$W$4:$W$53,'BMP'!$B$4:$B$53,A18,'BMP'!$D$4:$D$53,"Bioretention")+SUMIFS('BMP'!$W$4:$W$53,'BMP'!$B$4:$B$53,A18,'BMP'!$D$4:$D$53,"Dry Swale"))</f>
        <v/>
      </c>
      <c r="AH18" s="17">
        <f>IF(A18="","",SUMIFS('BMP'!$K$4:$K$53,'BMP'!$B$4:$B$53,A18,'BMP'!$D$4:$D$53,"Permeable Pavement"))</f>
        <v/>
      </c>
      <c r="AI18" s="17">
        <f>IF(A18="","",SUMIFS('BMP'!$AA$4:$AA$53,'BMP'!$B$4:$B$53,A18,'BMP'!$D$4:$D$53,"Wet Swale"))</f>
        <v/>
      </c>
      <c r="AJ18" s="17">
        <f>IF(A18="","",SUMIFS('BMP'!$AB$4:$AB$53,'BMP'!$B$4:$B$53,A18))</f>
        <v/>
      </c>
      <c r="AK18" s="17">
        <f>IF(A18="","",SUMIFS('BMP'!$AC$4:$AC$53,'BMP'!$B$4:$B$53,A18))</f>
        <v/>
      </c>
      <c r="AL18" s="17">
        <f>IF(A18="","",(IF((AE18)&lt;(AG18+AH18+AI18),(AE18),(AG18+AH18+AI18)))+AJ18*5+AK18*10+R18+T18+V18)</f>
        <v/>
      </c>
      <c r="AM18" s="28">
        <f>IF(A18="","",AL18-J18)</f>
        <v/>
      </c>
      <c r="AP18" s="17">
        <f>IF(A18="","",IF(E18=0,"",(B18*0.95+C18*0.25+D18*0)/E18))</f>
        <v/>
      </c>
      <c r="AQ18" s="17">
        <f>IF(A18="","",IF(I18=0,"",(F18*0.95+G18*0.25+H18*0)/I18))</f>
        <v/>
      </c>
    </row>
    <row r="19" ht="16.25" customHeight="1">
      <c r="A19" s="17">
        <f>IF('SDA'!A65="","",'SDA'!A65)</f>
        <v/>
      </c>
      <c r="B19" s="17">
        <f>IF(A19="","",'SDA'!F65)</f>
        <v/>
      </c>
      <c r="C19" s="17">
        <f>IF(A19="","",'SDA'!G65)</f>
        <v/>
      </c>
      <c r="D19" s="17">
        <f>IF(A19="","",'SDA'!H65)</f>
        <v/>
      </c>
      <c r="E19" s="17">
        <f>IF(A19="","",SUM(B19:D19))</f>
        <v/>
      </c>
      <c r="F19" s="17">
        <f>IF(A19="","",SUMIFS('SDA'!$H$4:$H$53,'SDA'!$A$4:$A$53,A19,'SDA'!$C$4:$C$53,"Impervious Vehicular")+SUMIFS('SDA'!$H$4:$H$53,'SDA'!$A$4:$A$53,A19,'SDA'!$C$4:$C$53,"Impervious Non-Vehicular"))</f>
        <v/>
      </c>
      <c r="G19" s="17">
        <f>IF(A19="","",SUMIFS('SDA'!$H$4:$H$53,'SDA'!$A$4:$A$53,A19,'SDA'!$C$4:$C$53,"Compacted (Open Space)"))</f>
        <v/>
      </c>
      <c r="H19" s="17">
        <f>IF(A19="","",SUMIFS('SDA'!$H$4:$H$53,'SDA'!$A$4:$A$53,A19,'SDA'!$C$4:$C$53,"Natural (Woods)"))</f>
        <v/>
      </c>
      <c r="I19" s="17">
        <f>IF(A19="","",SUM(F19:H19))</f>
        <v/>
      </c>
      <c r="J19" s="17">
        <f>IF(A19="","",IF(E19=0,0,AP19*1.2/12*E19))</f>
        <v/>
      </c>
      <c r="K19" s="28">
        <f>IF(A19="","",IF(I19=0,0,AQ19*1.2/12*I19))</f>
        <v/>
      </c>
      <c r="L19" s="17">
        <f>IF(A19="","",IF(SUMIFS('SDA'!$G$4:$G$53,'SDA'!$A$4:$A$53,A19,'SDA'!$D$4:$D$53,"D")&gt;0,"D",IF(SUMIFS('SDA'!$G$4:$G$53,'SDA'!$A$4:$A$53,A19,'SDA'!$D$4:$D$53,"C")&gt;0,"C",IF(SUMIFS('SDA'!$G$4:$G$53,'SDA'!$A$4:$A$53,A19,'SDA'!$D$4:$D$53,"B")&gt;0,"B",IF(SUMIFS('SDA'!$G$4:$G$53,'SDA'!$A$4:$A$53,A19,'SDA'!$D$4:$D$53,"A")&gt;0,"A","")))))</f>
        <v/>
      </c>
      <c r="M19" s="4" t="n"/>
      <c r="N19" s="4" t="n"/>
      <c r="O19" s="17">
        <f>IF(A19="","",IF(L19="A",2.5,IF(L19="B",0.3,IF(L19="C",0.1,IF(L19="D",0.05,"")))))</f>
        <v/>
      </c>
      <c r="P19" s="27" t="n"/>
      <c r="Q19" s="17">
        <f>IF(A19="","",SUMIFS('BMP'!$AD$4:$AD$53,'BMP'!$B$4:$B$53,A19))</f>
        <v/>
      </c>
      <c r="R19" s="17">
        <f>IF(A19="","",Q19*10)</f>
        <v/>
      </c>
      <c r="S19" s="17">
        <f>IF(A19="","",SUMIFS('BMP'!$AE$4:$AE$53,'BMP'!$B$4:$B$53,A19))</f>
        <v/>
      </c>
      <c r="T19" s="17">
        <f>IF(A19="","",S19*20)</f>
        <v/>
      </c>
      <c r="U19" s="17">
        <f>IF(A19="","",SUMIFS('BMP'!$AF$4:$AF$53,'BMP'!$B$4:$B$53,A19)+SUMIFS('BMP'!$AG$4:$AG$53,'BMP'!$B$4:$B$53,A19))</f>
        <v/>
      </c>
      <c r="V19" s="28">
        <f>IF(A19="","",U19*40)</f>
        <v/>
      </c>
      <c r="W19" s="4" t="n"/>
      <c r="X19" s="4" t="n"/>
      <c r="Y19" s="17">
        <f>IF(A19="","",SUMIFS('BMP'!$N$4:$N$53,'BMP'!$B$4:$B$53,A19,'BMP'!$D$4:$D$53,"Bioretention")+SUMIFS('BMP'!$N$4:$N$53,'BMP'!$B$4:$B$53,A19,'BMP'!$D$4:$D$53,"Dry Swale"))</f>
        <v/>
      </c>
      <c r="Z19" s="4" t="n"/>
      <c r="AA19" s="17">
        <f>IF(A19="","",SUMIFS('BMP'!$F$4:$F$53,'BMP'!$B$4:$B$53,A19,'BMP'!$D$4:$D$53,"Permeable Pavement"))</f>
        <v/>
      </c>
      <c r="AB19" s="27" t="n"/>
      <c r="AC19" s="17">
        <f>IF(A19="","",SUMIFS('CDA'!$E$4:$E$53,'CDA'!$B$4:$B$53,A19))</f>
        <v/>
      </c>
      <c r="AD19" s="17">
        <f>IF(A19="","",SUMIFS('CDA'!$F$4:$F$53,'CDA'!$B$4:$B$53,A19))</f>
        <v/>
      </c>
      <c r="AE19" s="17">
        <f>IF(A19="","",IF(AC19=0,0,AC19*1.7/12*AP19))</f>
        <v/>
      </c>
      <c r="AF19" s="17">
        <f>IF(A19="","",IF(AD19=0,0,AD19*1.7/12*AQ19))</f>
        <v/>
      </c>
      <c r="AG19" s="17">
        <f>IF(A19="","",SUMIFS('BMP'!$W$4:$W$53,'BMP'!$B$4:$B$53,A19,'BMP'!$D$4:$D$53,"Bioretention")+SUMIFS('BMP'!$W$4:$W$53,'BMP'!$B$4:$B$53,A19,'BMP'!$D$4:$D$53,"Dry Swale"))</f>
        <v/>
      </c>
      <c r="AH19" s="17">
        <f>IF(A19="","",SUMIFS('BMP'!$K$4:$K$53,'BMP'!$B$4:$B$53,A19,'BMP'!$D$4:$D$53,"Permeable Pavement"))</f>
        <v/>
      </c>
      <c r="AI19" s="17">
        <f>IF(A19="","",SUMIFS('BMP'!$AA$4:$AA$53,'BMP'!$B$4:$B$53,A19,'BMP'!$D$4:$D$53,"Wet Swale"))</f>
        <v/>
      </c>
      <c r="AJ19" s="17">
        <f>IF(A19="","",SUMIFS('BMP'!$AB$4:$AB$53,'BMP'!$B$4:$B$53,A19))</f>
        <v/>
      </c>
      <c r="AK19" s="17">
        <f>IF(A19="","",SUMIFS('BMP'!$AC$4:$AC$53,'BMP'!$B$4:$B$53,A19))</f>
        <v/>
      </c>
      <c r="AL19" s="17">
        <f>IF(A19="","",(IF((AE19)&lt;(AG19+AH19+AI19),(AE19),(AG19+AH19+AI19)))+AJ19*5+AK19*10+R19+T19+V19)</f>
        <v/>
      </c>
      <c r="AM19" s="28">
        <f>IF(A19="","",AL19-J19)</f>
        <v/>
      </c>
      <c r="AP19" s="17">
        <f>IF(A19="","",IF(E19=0,"",(B19*0.95+C19*0.25+D19*0)/E19))</f>
        <v/>
      </c>
      <c r="AQ19" s="17">
        <f>IF(A19="","",IF(I19=0,"",(F19*0.95+G19*0.25+H19*0)/I19))</f>
        <v/>
      </c>
    </row>
    <row r="20" ht="16.25" customHeight="1">
      <c r="A20" s="17">
        <f>IF('SDA'!A66="","",'SDA'!A66)</f>
        <v/>
      </c>
      <c r="B20" s="17">
        <f>IF(A20="","",'SDA'!F66)</f>
        <v/>
      </c>
      <c r="C20" s="17">
        <f>IF(A20="","",'SDA'!G66)</f>
        <v/>
      </c>
      <c r="D20" s="17">
        <f>IF(A20="","",'SDA'!H66)</f>
        <v/>
      </c>
      <c r="E20" s="17">
        <f>IF(A20="","",SUM(B20:D20))</f>
        <v/>
      </c>
      <c r="F20" s="17">
        <f>IF(A20="","",SUMIFS('SDA'!$H$4:$H$53,'SDA'!$A$4:$A$53,A20,'SDA'!$C$4:$C$53,"Impervious Vehicular")+SUMIFS('SDA'!$H$4:$H$53,'SDA'!$A$4:$A$53,A20,'SDA'!$C$4:$C$53,"Impervious Non-Vehicular"))</f>
        <v/>
      </c>
      <c r="G20" s="17">
        <f>IF(A20="","",SUMIFS('SDA'!$H$4:$H$53,'SDA'!$A$4:$A$53,A20,'SDA'!$C$4:$C$53,"Compacted (Open Space)"))</f>
        <v/>
      </c>
      <c r="H20" s="17">
        <f>IF(A20="","",SUMIFS('SDA'!$H$4:$H$53,'SDA'!$A$4:$A$53,A20,'SDA'!$C$4:$C$53,"Natural (Woods)"))</f>
        <v/>
      </c>
      <c r="I20" s="17">
        <f>IF(A20="","",SUM(F20:H20))</f>
        <v/>
      </c>
      <c r="J20" s="17">
        <f>IF(A20="","",IF(E20=0,0,AP20*1.2/12*E20))</f>
        <v/>
      </c>
      <c r="K20" s="28">
        <f>IF(A20="","",IF(I20=0,0,AQ20*1.2/12*I20))</f>
        <v/>
      </c>
      <c r="L20" s="17">
        <f>IF(A20="","",IF(SUMIFS('SDA'!$G$4:$G$53,'SDA'!$A$4:$A$53,A20,'SDA'!$D$4:$D$53,"D")&gt;0,"D",IF(SUMIFS('SDA'!$G$4:$G$53,'SDA'!$A$4:$A$53,A20,'SDA'!$D$4:$D$53,"C")&gt;0,"C",IF(SUMIFS('SDA'!$G$4:$G$53,'SDA'!$A$4:$A$53,A20,'SDA'!$D$4:$D$53,"B")&gt;0,"B",IF(SUMIFS('SDA'!$G$4:$G$53,'SDA'!$A$4:$A$53,A20,'SDA'!$D$4:$D$53,"A")&gt;0,"A","")))))</f>
        <v/>
      </c>
      <c r="M20" s="4" t="n"/>
      <c r="N20" s="4" t="n"/>
      <c r="O20" s="17">
        <f>IF(A20="","",IF(L20="A",2.5,IF(L20="B",0.3,IF(L20="C",0.1,IF(L20="D",0.05,"")))))</f>
        <v/>
      </c>
      <c r="P20" s="27" t="n"/>
      <c r="Q20" s="17">
        <f>IF(A20="","",SUMIFS('BMP'!$AD$4:$AD$53,'BMP'!$B$4:$B$53,A20))</f>
        <v/>
      </c>
      <c r="R20" s="17">
        <f>IF(A20="","",Q20*10)</f>
        <v/>
      </c>
      <c r="S20" s="17">
        <f>IF(A20="","",SUMIFS('BMP'!$AE$4:$AE$53,'BMP'!$B$4:$B$53,A20))</f>
        <v/>
      </c>
      <c r="T20" s="17">
        <f>IF(A20="","",S20*20)</f>
        <v/>
      </c>
      <c r="U20" s="17">
        <f>IF(A20="","",SUMIFS('BMP'!$AF$4:$AF$53,'BMP'!$B$4:$B$53,A20)+SUMIFS('BMP'!$AG$4:$AG$53,'BMP'!$B$4:$B$53,A20))</f>
        <v/>
      </c>
      <c r="V20" s="28">
        <f>IF(A20="","",U20*40)</f>
        <v/>
      </c>
      <c r="W20" s="4" t="n"/>
      <c r="X20" s="4" t="n"/>
      <c r="Y20" s="17">
        <f>IF(A20="","",SUMIFS('BMP'!$N$4:$N$53,'BMP'!$B$4:$B$53,A20,'BMP'!$D$4:$D$53,"Bioretention")+SUMIFS('BMP'!$N$4:$N$53,'BMP'!$B$4:$B$53,A20,'BMP'!$D$4:$D$53,"Dry Swale"))</f>
        <v/>
      </c>
      <c r="Z20" s="4" t="n"/>
      <c r="AA20" s="17">
        <f>IF(A20="","",SUMIFS('BMP'!$F$4:$F$53,'BMP'!$B$4:$B$53,A20,'BMP'!$D$4:$D$53,"Permeable Pavement"))</f>
        <v/>
      </c>
      <c r="AB20" s="27" t="n"/>
      <c r="AC20" s="17">
        <f>IF(A20="","",SUMIFS('CDA'!$E$4:$E$53,'CDA'!$B$4:$B$53,A20))</f>
        <v/>
      </c>
      <c r="AD20" s="17">
        <f>IF(A20="","",SUMIFS('CDA'!$F$4:$F$53,'CDA'!$B$4:$B$53,A20))</f>
        <v/>
      </c>
      <c r="AE20" s="17">
        <f>IF(A20="","",IF(AC20=0,0,AC20*1.7/12*AP20))</f>
        <v/>
      </c>
      <c r="AF20" s="17">
        <f>IF(A20="","",IF(AD20=0,0,AD20*1.7/12*AQ20))</f>
        <v/>
      </c>
      <c r="AG20" s="17">
        <f>IF(A20="","",SUMIFS('BMP'!$W$4:$W$53,'BMP'!$B$4:$B$53,A20,'BMP'!$D$4:$D$53,"Bioretention")+SUMIFS('BMP'!$W$4:$W$53,'BMP'!$B$4:$B$53,A20,'BMP'!$D$4:$D$53,"Dry Swale"))</f>
        <v/>
      </c>
      <c r="AH20" s="17">
        <f>IF(A20="","",SUMIFS('BMP'!$K$4:$K$53,'BMP'!$B$4:$B$53,A20,'BMP'!$D$4:$D$53,"Permeable Pavement"))</f>
        <v/>
      </c>
      <c r="AI20" s="17">
        <f>IF(A20="","",SUMIFS('BMP'!$AA$4:$AA$53,'BMP'!$B$4:$B$53,A20,'BMP'!$D$4:$D$53,"Wet Swale"))</f>
        <v/>
      </c>
      <c r="AJ20" s="17">
        <f>IF(A20="","",SUMIFS('BMP'!$AB$4:$AB$53,'BMP'!$B$4:$B$53,A20))</f>
        <v/>
      </c>
      <c r="AK20" s="17">
        <f>IF(A20="","",SUMIFS('BMP'!$AC$4:$AC$53,'BMP'!$B$4:$B$53,A20))</f>
        <v/>
      </c>
      <c r="AL20" s="17">
        <f>IF(A20="","",(IF((AE20)&lt;(AG20+AH20+AI20),(AE20),(AG20+AH20+AI20)))+AJ20*5+AK20*10+R20+T20+V20)</f>
        <v/>
      </c>
      <c r="AM20" s="28">
        <f>IF(A20="","",AL20-J20)</f>
        <v/>
      </c>
      <c r="AP20" s="17">
        <f>IF(A20="","",IF(E20=0,"",(B20*0.95+C20*0.25+D20*0)/E20))</f>
        <v/>
      </c>
      <c r="AQ20" s="17">
        <f>IF(A20="","",IF(I20=0,"",(F20*0.95+G20*0.25+H20*0)/I20))</f>
        <v/>
      </c>
    </row>
    <row r="21" ht="16.25" customHeight="1">
      <c r="A21" s="17">
        <f>IF('SDA'!A67="","",'SDA'!A67)</f>
        <v/>
      </c>
      <c r="B21" s="17">
        <f>IF(A21="","",'SDA'!F67)</f>
        <v/>
      </c>
      <c r="C21" s="17">
        <f>IF(A21="","",'SDA'!G67)</f>
        <v/>
      </c>
      <c r="D21" s="17">
        <f>IF(A21="","",'SDA'!H67)</f>
        <v/>
      </c>
      <c r="E21" s="17">
        <f>IF(A21="","",SUM(B21:D21))</f>
        <v/>
      </c>
      <c r="F21" s="17">
        <f>IF(A21="","",SUMIFS('SDA'!$H$4:$H$53,'SDA'!$A$4:$A$53,A21,'SDA'!$C$4:$C$53,"Impervious Vehicular")+SUMIFS('SDA'!$H$4:$H$53,'SDA'!$A$4:$A$53,A21,'SDA'!$C$4:$C$53,"Impervious Non-Vehicular"))</f>
        <v/>
      </c>
      <c r="G21" s="17">
        <f>IF(A21="","",SUMIFS('SDA'!$H$4:$H$53,'SDA'!$A$4:$A$53,A21,'SDA'!$C$4:$C$53,"Compacted (Open Space)"))</f>
        <v/>
      </c>
      <c r="H21" s="17">
        <f>IF(A21="","",SUMIFS('SDA'!$H$4:$H$53,'SDA'!$A$4:$A$53,A21,'SDA'!$C$4:$C$53,"Natural (Woods)"))</f>
        <v/>
      </c>
      <c r="I21" s="17">
        <f>IF(A21="","",SUM(F21:H21))</f>
        <v/>
      </c>
      <c r="J21" s="17">
        <f>IF(A21="","",IF(E21=0,0,AP21*1.2/12*E21))</f>
        <v/>
      </c>
      <c r="K21" s="28">
        <f>IF(A21="","",IF(I21=0,0,AQ21*1.2/12*I21))</f>
        <v/>
      </c>
      <c r="L21" s="17">
        <f>IF(A21="","",IF(SUMIFS('SDA'!$G$4:$G$53,'SDA'!$A$4:$A$53,A21,'SDA'!$D$4:$D$53,"D")&gt;0,"D",IF(SUMIFS('SDA'!$G$4:$G$53,'SDA'!$A$4:$A$53,A21,'SDA'!$D$4:$D$53,"C")&gt;0,"C",IF(SUMIFS('SDA'!$G$4:$G$53,'SDA'!$A$4:$A$53,A21,'SDA'!$D$4:$D$53,"B")&gt;0,"B",IF(SUMIFS('SDA'!$G$4:$G$53,'SDA'!$A$4:$A$53,A21,'SDA'!$D$4:$D$53,"A")&gt;0,"A","")))))</f>
        <v/>
      </c>
      <c r="M21" s="4" t="n"/>
      <c r="N21" s="4" t="n"/>
      <c r="O21" s="17">
        <f>IF(A21="","",IF(L21="A",2.5,IF(L21="B",0.3,IF(L21="C",0.1,IF(L21="D",0.05,"")))))</f>
        <v/>
      </c>
      <c r="P21" s="27" t="n"/>
      <c r="Q21" s="17">
        <f>IF(A21="","",SUMIFS('BMP'!$AD$4:$AD$53,'BMP'!$B$4:$B$53,A21))</f>
        <v/>
      </c>
      <c r="R21" s="17">
        <f>IF(A21="","",Q21*10)</f>
        <v/>
      </c>
      <c r="S21" s="17">
        <f>IF(A21="","",SUMIFS('BMP'!$AE$4:$AE$53,'BMP'!$B$4:$B$53,A21))</f>
        <v/>
      </c>
      <c r="T21" s="17">
        <f>IF(A21="","",S21*20)</f>
        <v/>
      </c>
      <c r="U21" s="17">
        <f>IF(A21="","",SUMIFS('BMP'!$AF$4:$AF$53,'BMP'!$B$4:$B$53,A21)+SUMIFS('BMP'!$AG$4:$AG$53,'BMP'!$B$4:$B$53,A21))</f>
        <v/>
      </c>
      <c r="V21" s="28">
        <f>IF(A21="","",U21*40)</f>
        <v/>
      </c>
      <c r="W21" s="4" t="n"/>
      <c r="X21" s="4" t="n"/>
      <c r="Y21" s="17">
        <f>IF(A21="","",SUMIFS('BMP'!$N$4:$N$53,'BMP'!$B$4:$B$53,A21,'BMP'!$D$4:$D$53,"Bioretention")+SUMIFS('BMP'!$N$4:$N$53,'BMP'!$B$4:$B$53,A21,'BMP'!$D$4:$D$53,"Dry Swale"))</f>
        <v/>
      </c>
      <c r="Z21" s="4" t="n"/>
      <c r="AA21" s="17">
        <f>IF(A21="","",SUMIFS('BMP'!$F$4:$F$53,'BMP'!$B$4:$B$53,A21,'BMP'!$D$4:$D$53,"Permeable Pavement"))</f>
        <v/>
      </c>
      <c r="AB21" s="27" t="n"/>
      <c r="AC21" s="17">
        <f>IF(A21="","",SUMIFS('CDA'!$E$4:$E$53,'CDA'!$B$4:$B$53,A21))</f>
        <v/>
      </c>
      <c r="AD21" s="17">
        <f>IF(A21="","",SUMIFS('CDA'!$F$4:$F$53,'CDA'!$B$4:$B$53,A21))</f>
        <v/>
      </c>
      <c r="AE21" s="17">
        <f>IF(A21="","",IF(AC21=0,0,AC21*1.7/12*AP21))</f>
        <v/>
      </c>
      <c r="AF21" s="17">
        <f>IF(A21="","",IF(AD21=0,0,AD21*1.7/12*AQ21))</f>
        <v/>
      </c>
      <c r="AG21" s="17">
        <f>IF(A21="","",SUMIFS('BMP'!$W$4:$W$53,'BMP'!$B$4:$B$53,A21,'BMP'!$D$4:$D$53,"Bioretention")+SUMIFS('BMP'!$W$4:$W$53,'BMP'!$B$4:$B$53,A21,'BMP'!$D$4:$D$53,"Dry Swale"))</f>
        <v/>
      </c>
      <c r="AH21" s="17">
        <f>IF(A21="","",SUMIFS('BMP'!$K$4:$K$53,'BMP'!$B$4:$B$53,A21,'BMP'!$D$4:$D$53,"Permeable Pavement"))</f>
        <v/>
      </c>
      <c r="AI21" s="17">
        <f>IF(A21="","",SUMIFS('BMP'!$AA$4:$AA$53,'BMP'!$B$4:$B$53,A21,'BMP'!$D$4:$D$53,"Wet Swale"))</f>
        <v/>
      </c>
      <c r="AJ21" s="17">
        <f>IF(A21="","",SUMIFS('BMP'!$AB$4:$AB$53,'BMP'!$B$4:$B$53,A21))</f>
        <v/>
      </c>
      <c r="AK21" s="17">
        <f>IF(A21="","",SUMIFS('BMP'!$AC$4:$AC$53,'BMP'!$B$4:$B$53,A21))</f>
        <v/>
      </c>
      <c r="AL21" s="17">
        <f>IF(A21="","",(IF((AE21)&lt;(AG21+AH21+AI21),(AE21),(AG21+AH21+AI21)))+AJ21*5+AK21*10+R21+T21+V21)</f>
        <v/>
      </c>
      <c r="AM21" s="28">
        <f>IF(A21="","",AL21-J21)</f>
        <v/>
      </c>
      <c r="AP21" s="17">
        <f>IF(A21="","",IF(E21=0,"",(B21*0.95+C21*0.25+D21*0)/E21))</f>
        <v/>
      </c>
      <c r="AQ21" s="17">
        <f>IF(A21="","",IF(I21=0,"",(F21*0.95+G21*0.25+H21*0)/I21))</f>
        <v/>
      </c>
    </row>
    <row r="22" ht="16.25" customHeight="1">
      <c r="A22" s="17">
        <f>IF('SDA'!A68="","",'SDA'!A68)</f>
        <v/>
      </c>
      <c r="B22" s="17">
        <f>IF(A22="","",'SDA'!F68)</f>
        <v/>
      </c>
      <c r="C22" s="17">
        <f>IF(A22="","",'SDA'!G68)</f>
        <v/>
      </c>
      <c r="D22" s="17">
        <f>IF(A22="","",'SDA'!H68)</f>
        <v/>
      </c>
      <c r="E22" s="17">
        <f>IF(A22="","",SUM(B22:D22))</f>
        <v/>
      </c>
      <c r="F22" s="17">
        <f>IF(A22="","",SUMIFS('SDA'!$H$4:$H$53,'SDA'!$A$4:$A$53,A22,'SDA'!$C$4:$C$53,"Impervious Vehicular")+SUMIFS('SDA'!$H$4:$H$53,'SDA'!$A$4:$A$53,A22,'SDA'!$C$4:$C$53,"Impervious Non-Vehicular"))</f>
        <v/>
      </c>
      <c r="G22" s="17">
        <f>IF(A22="","",SUMIFS('SDA'!$H$4:$H$53,'SDA'!$A$4:$A$53,A22,'SDA'!$C$4:$C$53,"Compacted (Open Space)"))</f>
        <v/>
      </c>
      <c r="H22" s="17">
        <f>IF(A22="","",SUMIFS('SDA'!$H$4:$H$53,'SDA'!$A$4:$A$53,A22,'SDA'!$C$4:$C$53,"Natural (Woods)"))</f>
        <v/>
      </c>
      <c r="I22" s="17">
        <f>IF(A22="","",SUM(F22:H22))</f>
        <v/>
      </c>
      <c r="J22" s="17">
        <f>IF(A22="","",IF(E22=0,0,AP22*1.2/12*E22))</f>
        <v/>
      </c>
      <c r="K22" s="28">
        <f>IF(A22="","",IF(I22=0,0,AQ22*1.2/12*I22))</f>
        <v/>
      </c>
      <c r="L22" s="17">
        <f>IF(A22="","",IF(SUMIFS('SDA'!$G$4:$G$53,'SDA'!$A$4:$A$53,A22,'SDA'!$D$4:$D$53,"D")&gt;0,"D",IF(SUMIFS('SDA'!$G$4:$G$53,'SDA'!$A$4:$A$53,A22,'SDA'!$D$4:$D$53,"C")&gt;0,"C",IF(SUMIFS('SDA'!$G$4:$G$53,'SDA'!$A$4:$A$53,A22,'SDA'!$D$4:$D$53,"B")&gt;0,"B",IF(SUMIFS('SDA'!$G$4:$G$53,'SDA'!$A$4:$A$53,A22,'SDA'!$D$4:$D$53,"A")&gt;0,"A","")))))</f>
        <v/>
      </c>
      <c r="M22" s="4" t="n"/>
      <c r="N22" s="4" t="n"/>
      <c r="O22" s="17">
        <f>IF(A22="","",IF(L22="A",2.5,IF(L22="B",0.3,IF(L22="C",0.1,IF(L22="D",0.05,"")))))</f>
        <v/>
      </c>
      <c r="P22" s="27" t="n"/>
      <c r="Q22" s="17">
        <f>IF(A22="","",SUMIFS('BMP'!$AD$4:$AD$53,'BMP'!$B$4:$B$53,A22))</f>
        <v/>
      </c>
      <c r="R22" s="17">
        <f>IF(A22="","",Q22*10)</f>
        <v/>
      </c>
      <c r="S22" s="17">
        <f>IF(A22="","",SUMIFS('BMP'!$AE$4:$AE$53,'BMP'!$B$4:$B$53,A22))</f>
        <v/>
      </c>
      <c r="T22" s="17">
        <f>IF(A22="","",S22*20)</f>
        <v/>
      </c>
      <c r="U22" s="17">
        <f>IF(A22="","",SUMIFS('BMP'!$AF$4:$AF$53,'BMP'!$B$4:$B$53,A22)+SUMIFS('BMP'!$AG$4:$AG$53,'BMP'!$B$4:$B$53,A22))</f>
        <v/>
      </c>
      <c r="V22" s="28">
        <f>IF(A22="","",U22*40)</f>
        <v/>
      </c>
      <c r="W22" s="4" t="n"/>
      <c r="X22" s="4" t="n"/>
      <c r="Y22" s="17">
        <f>IF(A22="","",SUMIFS('BMP'!$N$4:$N$53,'BMP'!$B$4:$B$53,A22,'BMP'!$D$4:$D$53,"Bioretention")+SUMIFS('BMP'!$N$4:$N$53,'BMP'!$B$4:$B$53,A22,'BMP'!$D$4:$D$53,"Dry Swale"))</f>
        <v/>
      </c>
      <c r="Z22" s="4" t="n"/>
      <c r="AA22" s="17">
        <f>IF(A22="","",SUMIFS('BMP'!$F$4:$F$53,'BMP'!$B$4:$B$53,A22,'BMP'!$D$4:$D$53,"Permeable Pavement"))</f>
        <v/>
      </c>
      <c r="AB22" s="27" t="n"/>
      <c r="AC22" s="17">
        <f>IF(A22="","",SUMIFS('CDA'!$E$4:$E$53,'CDA'!$B$4:$B$53,A22))</f>
        <v/>
      </c>
      <c r="AD22" s="17">
        <f>IF(A22="","",SUMIFS('CDA'!$F$4:$F$53,'CDA'!$B$4:$B$53,A22))</f>
        <v/>
      </c>
      <c r="AE22" s="17">
        <f>IF(A22="","",IF(AC22=0,0,AC22*1.7/12*AP22))</f>
        <v/>
      </c>
      <c r="AF22" s="17">
        <f>IF(A22="","",IF(AD22=0,0,AD22*1.7/12*AQ22))</f>
        <v/>
      </c>
      <c r="AG22" s="17">
        <f>IF(A22="","",SUMIFS('BMP'!$W$4:$W$53,'BMP'!$B$4:$B$53,A22,'BMP'!$D$4:$D$53,"Bioretention")+SUMIFS('BMP'!$W$4:$W$53,'BMP'!$B$4:$B$53,A22,'BMP'!$D$4:$D$53,"Dry Swale"))</f>
        <v/>
      </c>
      <c r="AH22" s="17">
        <f>IF(A22="","",SUMIFS('BMP'!$K$4:$K$53,'BMP'!$B$4:$B$53,A22,'BMP'!$D$4:$D$53,"Permeable Pavement"))</f>
        <v/>
      </c>
      <c r="AI22" s="17">
        <f>IF(A22="","",SUMIFS('BMP'!$AA$4:$AA$53,'BMP'!$B$4:$B$53,A22,'BMP'!$D$4:$D$53,"Wet Swale"))</f>
        <v/>
      </c>
      <c r="AJ22" s="17">
        <f>IF(A22="","",SUMIFS('BMP'!$AB$4:$AB$53,'BMP'!$B$4:$B$53,A22))</f>
        <v/>
      </c>
      <c r="AK22" s="17">
        <f>IF(A22="","",SUMIFS('BMP'!$AC$4:$AC$53,'BMP'!$B$4:$B$53,A22))</f>
        <v/>
      </c>
      <c r="AL22" s="17">
        <f>IF(A22="","",(IF((AE22)&lt;(AG22+AH22+AI22),(AE22),(AG22+AH22+AI22)))+AJ22*5+AK22*10+R22+T22+V22)</f>
        <v/>
      </c>
      <c r="AM22" s="28">
        <f>IF(A22="","",AL22-J22)</f>
        <v/>
      </c>
      <c r="AP22" s="17">
        <f>IF(A22="","",IF(E22=0,"",(B22*0.95+C22*0.25+D22*0)/E22))</f>
        <v/>
      </c>
      <c r="AQ22" s="17">
        <f>IF(A22="","",IF(I22=0,"",(F22*0.95+G22*0.25+H22*0)/I22))</f>
        <v/>
      </c>
    </row>
    <row r="23" ht="16.25" customHeight="1">
      <c r="A23" s="17">
        <f>IF('SDA'!A69="","",'SDA'!A69)</f>
        <v/>
      </c>
      <c r="B23" s="17">
        <f>IF(A23="","",'SDA'!F69)</f>
        <v/>
      </c>
      <c r="C23" s="17">
        <f>IF(A23="","",'SDA'!G69)</f>
        <v/>
      </c>
      <c r="D23" s="17">
        <f>IF(A23="","",'SDA'!H69)</f>
        <v/>
      </c>
      <c r="E23" s="17">
        <f>IF(A23="","",SUM(B23:D23))</f>
        <v/>
      </c>
      <c r="F23" s="17">
        <f>IF(A23="","",SUMIFS('SDA'!$H$4:$H$53,'SDA'!$A$4:$A$53,A23,'SDA'!$C$4:$C$53,"Impervious Vehicular")+SUMIFS('SDA'!$H$4:$H$53,'SDA'!$A$4:$A$53,A23,'SDA'!$C$4:$C$53,"Impervious Non-Vehicular"))</f>
        <v/>
      </c>
      <c r="G23" s="17">
        <f>IF(A23="","",SUMIFS('SDA'!$H$4:$H$53,'SDA'!$A$4:$A$53,A23,'SDA'!$C$4:$C$53,"Compacted (Open Space)"))</f>
        <v/>
      </c>
      <c r="H23" s="17">
        <f>IF(A23="","",SUMIFS('SDA'!$H$4:$H$53,'SDA'!$A$4:$A$53,A23,'SDA'!$C$4:$C$53,"Natural (Woods)"))</f>
        <v/>
      </c>
      <c r="I23" s="17">
        <f>IF(A23="","",SUM(F23:H23))</f>
        <v/>
      </c>
      <c r="J23" s="17">
        <f>IF(A23="","",IF(E23=0,0,AP23*1.2/12*E23))</f>
        <v/>
      </c>
      <c r="K23" s="28">
        <f>IF(A23="","",IF(I23=0,0,AQ23*1.2/12*I23))</f>
        <v/>
      </c>
      <c r="L23" s="17">
        <f>IF(A23="","",IF(SUMIFS('SDA'!$G$4:$G$53,'SDA'!$A$4:$A$53,A23,'SDA'!$D$4:$D$53,"D")&gt;0,"D",IF(SUMIFS('SDA'!$G$4:$G$53,'SDA'!$A$4:$A$53,A23,'SDA'!$D$4:$D$53,"C")&gt;0,"C",IF(SUMIFS('SDA'!$G$4:$G$53,'SDA'!$A$4:$A$53,A23,'SDA'!$D$4:$D$53,"B")&gt;0,"B",IF(SUMIFS('SDA'!$G$4:$G$53,'SDA'!$A$4:$A$53,A23,'SDA'!$D$4:$D$53,"A")&gt;0,"A","")))))</f>
        <v/>
      </c>
      <c r="M23" s="4" t="n"/>
      <c r="N23" s="4" t="n"/>
      <c r="O23" s="17">
        <f>IF(A23="","",IF(L23="A",2.5,IF(L23="B",0.3,IF(L23="C",0.1,IF(L23="D",0.05,"")))))</f>
        <v/>
      </c>
      <c r="P23" s="27" t="n"/>
      <c r="Q23" s="17">
        <f>IF(A23="","",SUMIFS('BMP'!$AD$4:$AD$53,'BMP'!$B$4:$B$53,A23))</f>
        <v/>
      </c>
      <c r="R23" s="17">
        <f>IF(A23="","",Q23*10)</f>
        <v/>
      </c>
      <c r="S23" s="17">
        <f>IF(A23="","",SUMIFS('BMP'!$AE$4:$AE$53,'BMP'!$B$4:$B$53,A23))</f>
        <v/>
      </c>
      <c r="T23" s="17">
        <f>IF(A23="","",S23*20)</f>
        <v/>
      </c>
      <c r="U23" s="17">
        <f>IF(A23="","",SUMIFS('BMP'!$AF$4:$AF$53,'BMP'!$B$4:$B$53,A23)+SUMIFS('BMP'!$AG$4:$AG$53,'BMP'!$B$4:$B$53,A23))</f>
        <v/>
      </c>
      <c r="V23" s="28">
        <f>IF(A23="","",U23*40)</f>
        <v/>
      </c>
      <c r="W23" s="4" t="n"/>
      <c r="X23" s="4" t="n"/>
      <c r="Y23" s="17">
        <f>IF(A23="","",SUMIFS('BMP'!$N$4:$N$53,'BMP'!$B$4:$B$53,A23,'BMP'!$D$4:$D$53,"Bioretention")+SUMIFS('BMP'!$N$4:$N$53,'BMP'!$B$4:$B$53,A23,'BMP'!$D$4:$D$53,"Dry Swale"))</f>
        <v/>
      </c>
      <c r="Z23" s="4" t="n"/>
      <c r="AA23" s="17">
        <f>IF(A23="","",SUMIFS('BMP'!$F$4:$F$53,'BMP'!$B$4:$B$53,A23,'BMP'!$D$4:$D$53,"Permeable Pavement"))</f>
        <v/>
      </c>
      <c r="AB23" s="27" t="n"/>
      <c r="AC23" s="17">
        <f>IF(A23="","",SUMIFS('CDA'!$E$4:$E$53,'CDA'!$B$4:$B$53,A23))</f>
        <v/>
      </c>
      <c r="AD23" s="17">
        <f>IF(A23="","",SUMIFS('CDA'!$F$4:$F$53,'CDA'!$B$4:$B$53,A23))</f>
        <v/>
      </c>
      <c r="AE23" s="17">
        <f>IF(A23="","",IF(AC23=0,0,AC23*1.7/12*AP23))</f>
        <v/>
      </c>
      <c r="AF23" s="17">
        <f>IF(A23="","",IF(AD23=0,0,AD23*1.7/12*AQ23))</f>
        <v/>
      </c>
      <c r="AG23" s="17">
        <f>IF(A23="","",SUMIFS('BMP'!$W$4:$W$53,'BMP'!$B$4:$B$53,A23,'BMP'!$D$4:$D$53,"Bioretention")+SUMIFS('BMP'!$W$4:$W$53,'BMP'!$B$4:$B$53,A23,'BMP'!$D$4:$D$53,"Dry Swale"))</f>
        <v/>
      </c>
      <c r="AH23" s="17">
        <f>IF(A23="","",SUMIFS('BMP'!$K$4:$K$53,'BMP'!$B$4:$B$53,A23,'BMP'!$D$4:$D$53,"Permeable Pavement"))</f>
        <v/>
      </c>
      <c r="AI23" s="17">
        <f>IF(A23="","",SUMIFS('BMP'!$AA$4:$AA$53,'BMP'!$B$4:$B$53,A23,'BMP'!$D$4:$D$53,"Wet Swale"))</f>
        <v/>
      </c>
      <c r="AJ23" s="17">
        <f>IF(A23="","",SUMIFS('BMP'!$AB$4:$AB$53,'BMP'!$B$4:$B$53,A23))</f>
        <v/>
      </c>
      <c r="AK23" s="17">
        <f>IF(A23="","",SUMIFS('BMP'!$AC$4:$AC$53,'BMP'!$B$4:$B$53,A23))</f>
        <v/>
      </c>
      <c r="AL23" s="17">
        <f>IF(A23="","",(IF((AE23)&lt;(AG23+AH23+AI23),(AE23),(AG23+AH23+AI23)))+AJ23*5+AK23*10+R23+T23+V23)</f>
        <v/>
      </c>
      <c r="AM23" s="28">
        <f>IF(A23="","",AL23-J23)</f>
        <v/>
      </c>
      <c r="AP23" s="17">
        <f>IF(A23="","",IF(E23=0,"",(B23*0.95+C23*0.25+D23*0)/E23))</f>
        <v/>
      </c>
      <c r="AQ23" s="17">
        <f>IF(A23="","",IF(I23=0,"",(F23*0.95+G23*0.25+H23*0)/I23))</f>
        <v/>
      </c>
    </row>
    <row r="24" ht="16.25" customHeight="1">
      <c r="A24" s="17">
        <f>IF('SDA'!A70="","",'SDA'!A70)</f>
        <v/>
      </c>
      <c r="B24" s="17">
        <f>IF(A24="","",'SDA'!F70)</f>
        <v/>
      </c>
      <c r="C24" s="17">
        <f>IF(A24="","",'SDA'!G70)</f>
        <v/>
      </c>
      <c r="D24" s="17">
        <f>IF(A24="","",'SDA'!H70)</f>
        <v/>
      </c>
      <c r="E24" s="17">
        <f>IF(A24="","",SUM(B24:D24))</f>
        <v/>
      </c>
      <c r="F24" s="17">
        <f>IF(A24="","",SUMIFS('SDA'!$H$4:$H$53,'SDA'!$A$4:$A$53,A24,'SDA'!$C$4:$C$53,"Impervious Vehicular")+SUMIFS('SDA'!$H$4:$H$53,'SDA'!$A$4:$A$53,A24,'SDA'!$C$4:$C$53,"Impervious Non-Vehicular"))</f>
        <v/>
      </c>
      <c r="G24" s="17">
        <f>IF(A24="","",SUMIFS('SDA'!$H$4:$H$53,'SDA'!$A$4:$A$53,A24,'SDA'!$C$4:$C$53,"Compacted (Open Space)"))</f>
        <v/>
      </c>
      <c r="H24" s="17">
        <f>IF(A24="","",SUMIFS('SDA'!$H$4:$H$53,'SDA'!$A$4:$A$53,A24,'SDA'!$C$4:$C$53,"Natural (Woods)"))</f>
        <v/>
      </c>
      <c r="I24" s="17">
        <f>IF(A24="","",SUM(F24:H24))</f>
        <v/>
      </c>
      <c r="J24" s="17">
        <f>IF(A24="","",IF(E24=0,0,AP24*1.2/12*E24))</f>
        <v/>
      </c>
      <c r="K24" s="28">
        <f>IF(A24="","",IF(I24=0,0,AQ24*1.2/12*I24))</f>
        <v/>
      </c>
      <c r="L24" s="17">
        <f>IF(A24="","",IF(SUMIFS('SDA'!$G$4:$G$53,'SDA'!$A$4:$A$53,A24,'SDA'!$D$4:$D$53,"D")&gt;0,"D",IF(SUMIFS('SDA'!$G$4:$G$53,'SDA'!$A$4:$A$53,A24,'SDA'!$D$4:$D$53,"C")&gt;0,"C",IF(SUMIFS('SDA'!$G$4:$G$53,'SDA'!$A$4:$A$53,A24,'SDA'!$D$4:$D$53,"B")&gt;0,"B",IF(SUMIFS('SDA'!$G$4:$G$53,'SDA'!$A$4:$A$53,A24,'SDA'!$D$4:$D$53,"A")&gt;0,"A","")))))</f>
        <v/>
      </c>
      <c r="M24" s="4" t="n"/>
      <c r="N24" s="4" t="n"/>
      <c r="O24" s="17">
        <f>IF(A24="","",IF(L24="A",2.5,IF(L24="B",0.3,IF(L24="C",0.1,IF(L24="D",0.05,"")))))</f>
        <v/>
      </c>
      <c r="P24" s="27" t="n"/>
      <c r="Q24" s="17">
        <f>IF(A24="","",SUMIFS('BMP'!$AD$4:$AD$53,'BMP'!$B$4:$B$53,A24))</f>
        <v/>
      </c>
      <c r="R24" s="17">
        <f>IF(A24="","",Q24*10)</f>
        <v/>
      </c>
      <c r="S24" s="17">
        <f>IF(A24="","",SUMIFS('BMP'!$AE$4:$AE$53,'BMP'!$B$4:$B$53,A24))</f>
        <v/>
      </c>
      <c r="T24" s="17">
        <f>IF(A24="","",S24*20)</f>
        <v/>
      </c>
      <c r="U24" s="17">
        <f>IF(A24="","",SUMIFS('BMP'!$AF$4:$AF$53,'BMP'!$B$4:$B$53,A24)+SUMIFS('BMP'!$AG$4:$AG$53,'BMP'!$B$4:$B$53,A24))</f>
        <v/>
      </c>
      <c r="V24" s="28">
        <f>IF(A24="","",U24*40)</f>
        <v/>
      </c>
      <c r="W24" s="4" t="n"/>
      <c r="X24" s="4" t="n"/>
      <c r="Y24" s="17">
        <f>IF(A24="","",SUMIFS('BMP'!$N$4:$N$53,'BMP'!$B$4:$B$53,A24,'BMP'!$D$4:$D$53,"Bioretention")+SUMIFS('BMP'!$N$4:$N$53,'BMP'!$B$4:$B$53,A24,'BMP'!$D$4:$D$53,"Dry Swale"))</f>
        <v/>
      </c>
      <c r="Z24" s="4" t="n"/>
      <c r="AA24" s="17">
        <f>IF(A24="","",SUMIFS('BMP'!$F$4:$F$53,'BMP'!$B$4:$B$53,A24,'BMP'!$D$4:$D$53,"Permeable Pavement"))</f>
        <v/>
      </c>
      <c r="AB24" s="27" t="n"/>
      <c r="AC24" s="17">
        <f>IF(A24="","",SUMIFS('CDA'!$E$4:$E$53,'CDA'!$B$4:$B$53,A24))</f>
        <v/>
      </c>
      <c r="AD24" s="17">
        <f>IF(A24="","",SUMIFS('CDA'!$F$4:$F$53,'CDA'!$B$4:$B$53,A24))</f>
        <v/>
      </c>
      <c r="AE24" s="17">
        <f>IF(A24="","",IF(AC24=0,0,AC24*1.7/12*AP24))</f>
        <v/>
      </c>
      <c r="AF24" s="17">
        <f>IF(A24="","",IF(AD24=0,0,AD24*1.7/12*AQ24))</f>
        <v/>
      </c>
      <c r="AG24" s="17">
        <f>IF(A24="","",SUMIFS('BMP'!$W$4:$W$53,'BMP'!$B$4:$B$53,A24,'BMP'!$D$4:$D$53,"Bioretention")+SUMIFS('BMP'!$W$4:$W$53,'BMP'!$B$4:$B$53,A24,'BMP'!$D$4:$D$53,"Dry Swale"))</f>
        <v/>
      </c>
      <c r="AH24" s="17">
        <f>IF(A24="","",SUMIFS('BMP'!$K$4:$K$53,'BMP'!$B$4:$B$53,A24,'BMP'!$D$4:$D$53,"Permeable Pavement"))</f>
        <v/>
      </c>
      <c r="AI24" s="17">
        <f>IF(A24="","",SUMIFS('BMP'!$AA$4:$AA$53,'BMP'!$B$4:$B$53,A24,'BMP'!$D$4:$D$53,"Wet Swale"))</f>
        <v/>
      </c>
      <c r="AJ24" s="17">
        <f>IF(A24="","",SUMIFS('BMP'!$AB$4:$AB$53,'BMP'!$B$4:$B$53,A24))</f>
        <v/>
      </c>
      <c r="AK24" s="17">
        <f>IF(A24="","",SUMIFS('BMP'!$AC$4:$AC$53,'BMP'!$B$4:$B$53,A24))</f>
        <v/>
      </c>
      <c r="AL24" s="17">
        <f>IF(A24="","",(IF((AE24)&lt;(AG24+AH24+AI24),(AE24),(AG24+AH24+AI24)))+AJ24*5+AK24*10+R24+T24+V24)</f>
        <v/>
      </c>
      <c r="AM24" s="28">
        <f>IF(A24="","",AL24-J24)</f>
        <v/>
      </c>
      <c r="AP24" s="17">
        <f>IF(A24="","",IF(E24=0,"",(B24*0.95+C24*0.25+D24*0)/E24))</f>
        <v/>
      </c>
      <c r="AQ24" s="17">
        <f>IF(A24="","",IF(I24=0,"",(F24*0.95+G24*0.25+H24*0)/I24))</f>
        <v/>
      </c>
    </row>
    <row r="25" ht="16.25" customHeight="1">
      <c r="A25" s="17">
        <f>IF('SDA'!A71="","",'SDA'!A71)</f>
        <v/>
      </c>
      <c r="B25" s="17">
        <f>IF(A25="","",'SDA'!F71)</f>
        <v/>
      </c>
      <c r="C25" s="17">
        <f>IF(A25="","",'SDA'!G71)</f>
        <v/>
      </c>
      <c r="D25" s="17">
        <f>IF(A25="","",'SDA'!H71)</f>
        <v/>
      </c>
      <c r="E25" s="17">
        <f>IF(A25="","",SUM(B25:D25))</f>
        <v/>
      </c>
      <c r="F25" s="17">
        <f>IF(A25="","",SUMIFS('SDA'!$H$4:$H$53,'SDA'!$A$4:$A$53,A25,'SDA'!$C$4:$C$53,"Impervious Vehicular")+SUMIFS('SDA'!$H$4:$H$53,'SDA'!$A$4:$A$53,A25,'SDA'!$C$4:$C$53,"Impervious Non-Vehicular"))</f>
        <v/>
      </c>
      <c r="G25" s="17">
        <f>IF(A25="","",SUMIFS('SDA'!$H$4:$H$53,'SDA'!$A$4:$A$53,A25,'SDA'!$C$4:$C$53,"Compacted (Open Space)"))</f>
        <v/>
      </c>
      <c r="H25" s="17">
        <f>IF(A25="","",SUMIFS('SDA'!$H$4:$H$53,'SDA'!$A$4:$A$53,A25,'SDA'!$C$4:$C$53,"Natural (Woods)"))</f>
        <v/>
      </c>
      <c r="I25" s="17">
        <f>IF(A25="","",SUM(F25:H25))</f>
        <v/>
      </c>
      <c r="J25" s="17">
        <f>IF(A25="","",IF(E25=0,0,AP25*1.2/12*E25))</f>
        <v/>
      </c>
      <c r="K25" s="28">
        <f>IF(A25="","",IF(I25=0,0,AQ25*1.2/12*I25))</f>
        <v/>
      </c>
      <c r="L25" s="17">
        <f>IF(A25="","",IF(SUMIFS('SDA'!$G$4:$G$53,'SDA'!$A$4:$A$53,A25,'SDA'!$D$4:$D$53,"D")&gt;0,"D",IF(SUMIFS('SDA'!$G$4:$G$53,'SDA'!$A$4:$A$53,A25,'SDA'!$D$4:$D$53,"C")&gt;0,"C",IF(SUMIFS('SDA'!$G$4:$G$53,'SDA'!$A$4:$A$53,A25,'SDA'!$D$4:$D$53,"B")&gt;0,"B",IF(SUMIFS('SDA'!$G$4:$G$53,'SDA'!$A$4:$A$53,A25,'SDA'!$D$4:$D$53,"A")&gt;0,"A","")))))</f>
        <v/>
      </c>
      <c r="M25" s="4" t="n"/>
      <c r="N25" s="4" t="n"/>
      <c r="O25" s="17">
        <f>IF(A25="","",IF(L25="A",2.5,IF(L25="B",0.3,IF(L25="C",0.1,IF(L25="D",0.05,"")))))</f>
        <v/>
      </c>
      <c r="P25" s="27" t="n"/>
      <c r="Q25" s="17">
        <f>IF(A25="","",SUMIFS('BMP'!$AD$4:$AD$53,'BMP'!$B$4:$B$53,A25))</f>
        <v/>
      </c>
      <c r="R25" s="17">
        <f>IF(A25="","",Q25*10)</f>
        <v/>
      </c>
      <c r="S25" s="17">
        <f>IF(A25="","",SUMIFS('BMP'!$AE$4:$AE$53,'BMP'!$B$4:$B$53,A25))</f>
        <v/>
      </c>
      <c r="T25" s="17">
        <f>IF(A25="","",S25*20)</f>
        <v/>
      </c>
      <c r="U25" s="17">
        <f>IF(A25="","",SUMIFS('BMP'!$AF$4:$AF$53,'BMP'!$B$4:$B$53,A25)+SUMIFS('BMP'!$AG$4:$AG$53,'BMP'!$B$4:$B$53,A25))</f>
        <v/>
      </c>
      <c r="V25" s="28">
        <f>IF(A25="","",U25*40)</f>
        <v/>
      </c>
      <c r="W25" s="4" t="n"/>
      <c r="X25" s="4" t="n"/>
      <c r="Y25" s="17">
        <f>IF(A25="","",SUMIFS('BMP'!$N$4:$N$53,'BMP'!$B$4:$B$53,A25,'BMP'!$D$4:$D$53,"Bioretention")+SUMIFS('BMP'!$N$4:$N$53,'BMP'!$B$4:$B$53,A25,'BMP'!$D$4:$D$53,"Dry Swale"))</f>
        <v/>
      </c>
      <c r="Z25" s="4" t="n"/>
      <c r="AA25" s="17">
        <f>IF(A25="","",SUMIFS('BMP'!$F$4:$F$53,'BMP'!$B$4:$B$53,A25,'BMP'!$D$4:$D$53,"Permeable Pavement"))</f>
        <v/>
      </c>
      <c r="AB25" s="27" t="n"/>
      <c r="AC25" s="17">
        <f>IF(A25="","",SUMIFS('CDA'!$E$4:$E$53,'CDA'!$B$4:$B$53,A25))</f>
        <v/>
      </c>
      <c r="AD25" s="17">
        <f>IF(A25="","",SUMIFS('CDA'!$F$4:$F$53,'CDA'!$B$4:$B$53,A25))</f>
        <v/>
      </c>
      <c r="AE25" s="17">
        <f>IF(A25="","",IF(AC25=0,0,AC25*1.7/12*AP25))</f>
        <v/>
      </c>
      <c r="AF25" s="17">
        <f>IF(A25="","",IF(AD25=0,0,AD25*1.7/12*AQ25))</f>
        <v/>
      </c>
      <c r="AG25" s="17">
        <f>IF(A25="","",SUMIFS('BMP'!$W$4:$W$53,'BMP'!$B$4:$B$53,A25,'BMP'!$D$4:$D$53,"Bioretention")+SUMIFS('BMP'!$W$4:$W$53,'BMP'!$B$4:$B$53,A25,'BMP'!$D$4:$D$53,"Dry Swale"))</f>
        <v/>
      </c>
      <c r="AH25" s="17">
        <f>IF(A25="","",SUMIFS('BMP'!$K$4:$K$53,'BMP'!$B$4:$B$53,A25,'BMP'!$D$4:$D$53,"Permeable Pavement"))</f>
        <v/>
      </c>
      <c r="AI25" s="17">
        <f>IF(A25="","",SUMIFS('BMP'!$AA$4:$AA$53,'BMP'!$B$4:$B$53,A25,'BMP'!$D$4:$D$53,"Wet Swale"))</f>
        <v/>
      </c>
      <c r="AJ25" s="17">
        <f>IF(A25="","",SUMIFS('BMP'!$AB$4:$AB$53,'BMP'!$B$4:$B$53,A25))</f>
        <v/>
      </c>
      <c r="AK25" s="17">
        <f>IF(A25="","",SUMIFS('BMP'!$AC$4:$AC$53,'BMP'!$B$4:$B$53,A25))</f>
        <v/>
      </c>
      <c r="AL25" s="17">
        <f>IF(A25="","",(IF((AE25)&lt;(AG25+AH25+AI25),(AE25),(AG25+AH25+AI25)))+AJ25*5+AK25*10+R25+T25+V25)</f>
        <v/>
      </c>
      <c r="AM25" s="28">
        <f>IF(A25="","",AL25-J25)</f>
        <v/>
      </c>
      <c r="AP25" s="17">
        <f>IF(A25="","",IF(E25=0,"",(B25*0.95+C25*0.25+D25*0)/E25))</f>
        <v/>
      </c>
      <c r="AQ25" s="17">
        <f>IF(A25="","",IF(I25=0,"",(F25*0.95+G25*0.25+H25*0)/I25))</f>
        <v/>
      </c>
    </row>
    <row r="26" ht="16.25" customHeight="1">
      <c r="A26" s="17">
        <f>IF('SDA'!A72="","",'SDA'!A72)</f>
        <v/>
      </c>
      <c r="B26" s="17">
        <f>IF(A26="","",'SDA'!F72)</f>
        <v/>
      </c>
      <c r="C26" s="17">
        <f>IF(A26="","",'SDA'!G72)</f>
        <v/>
      </c>
      <c r="D26" s="17">
        <f>IF(A26="","",'SDA'!H72)</f>
        <v/>
      </c>
      <c r="E26" s="17">
        <f>IF(A26="","",SUM(B26:D26))</f>
        <v/>
      </c>
      <c r="F26" s="17">
        <f>IF(A26="","",SUMIFS('SDA'!$H$4:$H$53,'SDA'!$A$4:$A$53,A26,'SDA'!$C$4:$C$53,"Impervious Vehicular")+SUMIFS('SDA'!$H$4:$H$53,'SDA'!$A$4:$A$53,A26,'SDA'!$C$4:$C$53,"Impervious Non-Vehicular"))</f>
        <v/>
      </c>
      <c r="G26" s="17">
        <f>IF(A26="","",SUMIFS('SDA'!$H$4:$H$53,'SDA'!$A$4:$A$53,A26,'SDA'!$C$4:$C$53,"Compacted (Open Space)"))</f>
        <v/>
      </c>
      <c r="H26" s="17">
        <f>IF(A26="","",SUMIFS('SDA'!$H$4:$H$53,'SDA'!$A$4:$A$53,A26,'SDA'!$C$4:$C$53,"Natural (Woods)"))</f>
        <v/>
      </c>
      <c r="I26" s="17">
        <f>IF(A26="","",SUM(F26:H26))</f>
        <v/>
      </c>
      <c r="J26" s="17">
        <f>IF(A26="","",IF(E26=0,0,AP26*1.2/12*E26))</f>
        <v/>
      </c>
      <c r="K26" s="28">
        <f>IF(A26="","",IF(I26=0,0,AQ26*1.2/12*I26))</f>
        <v/>
      </c>
      <c r="L26" s="17">
        <f>IF(A26="","",IF(SUMIFS('SDA'!$G$4:$G$53,'SDA'!$A$4:$A$53,A26,'SDA'!$D$4:$D$53,"D")&gt;0,"D",IF(SUMIFS('SDA'!$G$4:$G$53,'SDA'!$A$4:$A$53,A26,'SDA'!$D$4:$D$53,"C")&gt;0,"C",IF(SUMIFS('SDA'!$G$4:$G$53,'SDA'!$A$4:$A$53,A26,'SDA'!$D$4:$D$53,"B")&gt;0,"B",IF(SUMIFS('SDA'!$G$4:$G$53,'SDA'!$A$4:$A$53,A26,'SDA'!$D$4:$D$53,"A")&gt;0,"A","")))))</f>
        <v/>
      </c>
      <c r="M26" s="4" t="n"/>
      <c r="N26" s="4" t="n"/>
      <c r="O26" s="17">
        <f>IF(A26="","",IF(L26="A",2.5,IF(L26="B",0.3,IF(L26="C",0.1,IF(L26="D",0.05,"")))))</f>
        <v/>
      </c>
      <c r="P26" s="27" t="n"/>
      <c r="Q26" s="17">
        <f>IF(A26="","",SUMIFS('BMP'!$AD$4:$AD$53,'BMP'!$B$4:$B$53,A26))</f>
        <v/>
      </c>
      <c r="R26" s="17">
        <f>IF(A26="","",Q26*10)</f>
        <v/>
      </c>
      <c r="S26" s="17">
        <f>IF(A26="","",SUMIFS('BMP'!$AE$4:$AE$53,'BMP'!$B$4:$B$53,A26))</f>
        <v/>
      </c>
      <c r="T26" s="17">
        <f>IF(A26="","",S26*20)</f>
        <v/>
      </c>
      <c r="U26" s="17">
        <f>IF(A26="","",SUMIFS('BMP'!$AF$4:$AF$53,'BMP'!$B$4:$B$53,A26)+SUMIFS('BMP'!$AG$4:$AG$53,'BMP'!$B$4:$B$53,A26))</f>
        <v/>
      </c>
      <c r="V26" s="28">
        <f>IF(A26="","",U26*40)</f>
        <v/>
      </c>
      <c r="W26" s="4" t="n"/>
      <c r="X26" s="4" t="n"/>
      <c r="Y26" s="17">
        <f>IF(A26="","",SUMIFS('BMP'!$N$4:$N$53,'BMP'!$B$4:$B$53,A26,'BMP'!$D$4:$D$53,"Bioretention")+SUMIFS('BMP'!$N$4:$N$53,'BMP'!$B$4:$B$53,A26,'BMP'!$D$4:$D$53,"Dry Swale"))</f>
        <v/>
      </c>
      <c r="Z26" s="4" t="n"/>
      <c r="AA26" s="17">
        <f>IF(A26="","",SUMIFS('BMP'!$F$4:$F$53,'BMP'!$B$4:$B$53,A26,'BMP'!$D$4:$D$53,"Permeable Pavement"))</f>
        <v/>
      </c>
      <c r="AB26" s="27" t="n"/>
      <c r="AC26" s="17">
        <f>IF(A26="","",SUMIFS('CDA'!$E$4:$E$53,'CDA'!$B$4:$B$53,A26))</f>
        <v/>
      </c>
      <c r="AD26" s="17">
        <f>IF(A26="","",SUMIFS('CDA'!$F$4:$F$53,'CDA'!$B$4:$B$53,A26))</f>
        <v/>
      </c>
      <c r="AE26" s="17">
        <f>IF(A26="","",IF(AC26=0,0,AC26*1.7/12*AP26))</f>
        <v/>
      </c>
      <c r="AF26" s="17">
        <f>IF(A26="","",IF(AD26=0,0,AD26*1.7/12*AQ26))</f>
        <v/>
      </c>
      <c r="AG26" s="17">
        <f>IF(A26="","",SUMIFS('BMP'!$W$4:$W$53,'BMP'!$B$4:$B$53,A26,'BMP'!$D$4:$D$53,"Bioretention")+SUMIFS('BMP'!$W$4:$W$53,'BMP'!$B$4:$B$53,A26,'BMP'!$D$4:$D$53,"Dry Swale"))</f>
        <v/>
      </c>
      <c r="AH26" s="17">
        <f>IF(A26="","",SUMIFS('BMP'!$K$4:$K$53,'BMP'!$B$4:$B$53,A26,'BMP'!$D$4:$D$53,"Permeable Pavement"))</f>
        <v/>
      </c>
      <c r="AI26" s="17">
        <f>IF(A26="","",SUMIFS('BMP'!$AA$4:$AA$53,'BMP'!$B$4:$B$53,A26,'BMP'!$D$4:$D$53,"Wet Swale"))</f>
        <v/>
      </c>
      <c r="AJ26" s="17">
        <f>IF(A26="","",SUMIFS('BMP'!$AB$4:$AB$53,'BMP'!$B$4:$B$53,A26))</f>
        <v/>
      </c>
      <c r="AK26" s="17">
        <f>IF(A26="","",SUMIFS('BMP'!$AC$4:$AC$53,'BMP'!$B$4:$B$53,A26))</f>
        <v/>
      </c>
      <c r="AL26" s="17">
        <f>IF(A26="","",(IF((AE26)&lt;(AG26+AH26+AI26),(AE26),(AG26+AH26+AI26)))+AJ26*5+AK26*10+R26+T26+V26)</f>
        <v/>
      </c>
      <c r="AM26" s="28">
        <f>IF(A26="","",AL26-J26)</f>
        <v/>
      </c>
      <c r="AP26" s="17">
        <f>IF(A26="","",IF(E26=0,"",(B26*0.95+C26*0.25+D26*0)/E26))</f>
        <v/>
      </c>
      <c r="AQ26" s="17">
        <f>IF(A26="","",IF(I26=0,"",(F26*0.95+G26*0.25+H26*0)/I26))</f>
        <v/>
      </c>
    </row>
    <row r="27" ht="16.25" customHeight="1">
      <c r="A27" s="17">
        <f>IF('SDA'!A73="","",'SDA'!A73)</f>
        <v/>
      </c>
      <c r="B27" s="17">
        <f>IF(A27="","",'SDA'!F73)</f>
        <v/>
      </c>
      <c r="C27" s="17">
        <f>IF(A27="","",'SDA'!G73)</f>
        <v/>
      </c>
      <c r="D27" s="17">
        <f>IF(A27="","",'SDA'!H73)</f>
        <v/>
      </c>
      <c r="E27" s="17">
        <f>IF(A27="","",SUM(B27:D27))</f>
        <v/>
      </c>
      <c r="F27" s="17">
        <f>IF(A27="","",SUMIFS('SDA'!$H$4:$H$53,'SDA'!$A$4:$A$53,A27,'SDA'!$C$4:$C$53,"Impervious Vehicular")+SUMIFS('SDA'!$H$4:$H$53,'SDA'!$A$4:$A$53,A27,'SDA'!$C$4:$C$53,"Impervious Non-Vehicular"))</f>
        <v/>
      </c>
      <c r="G27" s="17">
        <f>IF(A27="","",SUMIFS('SDA'!$H$4:$H$53,'SDA'!$A$4:$A$53,A27,'SDA'!$C$4:$C$53,"Compacted (Open Space)"))</f>
        <v/>
      </c>
      <c r="H27" s="17">
        <f>IF(A27="","",SUMIFS('SDA'!$H$4:$H$53,'SDA'!$A$4:$A$53,A27,'SDA'!$C$4:$C$53,"Natural (Woods)"))</f>
        <v/>
      </c>
      <c r="I27" s="17">
        <f>IF(A27="","",SUM(F27:H27))</f>
        <v/>
      </c>
      <c r="J27" s="17">
        <f>IF(A27="","",IF(E27=0,0,AP27*1.2/12*E27))</f>
        <v/>
      </c>
      <c r="K27" s="28">
        <f>IF(A27="","",IF(I27=0,0,AQ27*1.2/12*I27))</f>
        <v/>
      </c>
      <c r="L27" s="17">
        <f>IF(A27="","",IF(SUMIFS('SDA'!$G$4:$G$53,'SDA'!$A$4:$A$53,A27,'SDA'!$D$4:$D$53,"D")&gt;0,"D",IF(SUMIFS('SDA'!$G$4:$G$53,'SDA'!$A$4:$A$53,A27,'SDA'!$D$4:$D$53,"C")&gt;0,"C",IF(SUMIFS('SDA'!$G$4:$G$53,'SDA'!$A$4:$A$53,A27,'SDA'!$D$4:$D$53,"B")&gt;0,"B",IF(SUMIFS('SDA'!$G$4:$G$53,'SDA'!$A$4:$A$53,A27,'SDA'!$D$4:$D$53,"A")&gt;0,"A","")))))</f>
        <v/>
      </c>
      <c r="M27" s="4" t="n"/>
      <c r="N27" s="4" t="n"/>
      <c r="O27" s="17">
        <f>IF(A27="","",IF(L27="A",2.5,IF(L27="B",0.3,IF(L27="C",0.1,IF(L27="D",0.05,"")))))</f>
        <v/>
      </c>
      <c r="P27" s="27" t="n"/>
      <c r="Q27" s="17">
        <f>IF(A27="","",SUMIFS('BMP'!$AD$4:$AD$53,'BMP'!$B$4:$B$53,A27))</f>
        <v/>
      </c>
      <c r="R27" s="17">
        <f>IF(A27="","",Q27*10)</f>
        <v/>
      </c>
      <c r="S27" s="17">
        <f>IF(A27="","",SUMIFS('BMP'!$AE$4:$AE$53,'BMP'!$B$4:$B$53,A27))</f>
        <v/>
      </c>
      <c r="T27" s="17">
        <f>IF(A27="","",S27*20)</f>
        <v/>
      </c>
      <c r="U27" s="17">
        <f>IF(A27="","",SUMIFS('BMP'!$AF$4:$AF$53,'BMP'!$B$4:$B$53,A27)+SUMIFS('BMP'!$AG$4:$AG$53,'BMP'!$B$4:$B$53,A27))</f>
        <v/>
      </c>
      <c r="V27" s="28">
        <f>IF(A27="","",U27*40)</f>
        <v/>
      </c>
      <c r="W27" s="4" t="n"/>
      <c r="X27" s="4" t="n"/>
      <c r="Y27" s="17">
        <f>IF(A27="","",SUMIFS('BMP'!$N$4:$N$53,'BMP'!$B$4:$B$53,A27,'BMP'!$D$4:$D$53,"Bioretention")+SUMIFS('BMP'!$N$4:$N$53,'BMP'!$B$4:$B$53,A27,'BMP'!$D$4:$D$53,"Dry Swale"))</f>
        <v/>
      </c>
      <c r="Z27" s="4" t="n"/>
      <c r="AA27" s="17">
        <f>IF(A27="","",SUMIFS('BMP'!$F$4:$F$53,'BMP'!$B$4:$B$53,A27,'BMP'!$D$4:$D$53,"Permeable Pavement"))</f>
        <v/>
      </c>
      <c r="AB27" s="27" t="n"/>
      <c r="AC27" s="17">
        <f>IF(A27="","",SUMIFS('CDA'!$E$4:$E$53,'CDA'!$B$4:$B$53,A27))</f>
        <v/>
      </c>
      <c r="AD27" s="17">
        <f>IF(A27="","",SUMIFS('CDA'!$F$4:$F$53,'CDA'!$B$4:$B$53,A27))</f>
        <v/>
      </c>
      <c r="AE27" s="17">
        <f>IF(A27="","",IF(AC27=0,0,AC27*1.7/12*AP27))</f>
        <v/>
      </c>
      <c r="AF27" s="17">
        <f>IF(A27="","",IF(AD27=0,0,AD27*1.7/12*AQ27))</f>
        <v/>
      </c>
      <c r="AG27" s="17">
        <f>IF(A27="","",SUMIFS('BMP'!$W$4:$W$53,'BMP'!$B$4:$B$53,A27,'BMP'!$D$4:$D$53,"Bioretention")+SUMIFS('BMP'!$W$4:$W$53,'BMP'!$B$4:$B$53,A27,'BMP'!$D$4:$D$53,"Dry Swale"))</f>
        <v/>
      </c>
      <c r="AH27" s="17">
        <f>IF(A27="","",SUMIFS('BMP'!$K$4:$K$53,'BMP'!$B$4:$B$53,A27,'BMP'!$D$4:$D$53,"Permeable Pavement"))</f>
        <v/>
      </c>
      <c r="AI27" s="17">
        <f>IF(A27="","",SUMIFS('BMP'!$AA$4:$AA$53,'BMP'!$B$4:$B$53,A27,'BMP'!$D$4:$D$53,"Wet Swale"))</f>
        <v/>
      </c>
      <c r="AJ27" s="17">
        <f>IF(A27="","",SUMIFS('BMP'!$AB$4:$AB$53,'BMP'!$B$4:$B$53,A27))</f>
        <v/>
      </c>
      <c r="AK27" s="17">
        <f>IF(A27="","",SUMIFS('BMP'!$AC$4:$AC$53,'BMP'!$B$4:$B$53,A27))</f>
        <v/>
      </c>
      <c r="AL27" s="17">
        <f>IF(A27="","",(IF((AE27)&lt;(AG27+AH27+AI27),(AE27),(AG27+AH27+AI27)))+AJ27*5+AK27*10+R27+T27+V27)</f>
        <v/>
      </c>
      <c r="AM27" s="28">
        <f>IF(A27="","",AL27-J27)</f>
        <v/>
      </c>
      <c r="AP27" s="17">
        <f>IF(A27="","",IF(E27=0,"",(B27*0.95+C27*0.25+D27*0)/E27))</f>
        <v/>
      </c>
      <c r="AQ27" s="17">
        <f>IF(A27="","",IF(I27=0,"",(F27*0.95+G27*0.25+H27*0)/I27))</f>
        <v/>
      </c>
    </row>
    <row r="28" ht="16.25" customHeight="1">
      <c r="A28" s="17">
        <f>IF('SDA'!A74="","",'SDA'!A74)</f>
        <v/>
      </c>
      <c r="B28" s="17">
        <f>IF(A28="","",'SDA'!F74)</f>
        <v/>
      </c>
      <c r="C28" s="17">
        <f>IF(A28="","",'SDA'!G74)</f>
        <v/>
      </c>
      <c r="D28" s="17">
        <f>IF(A28="","",'SDA'!H74)</f>
        <v/>
      </c>
      <c r="E28" s="17">
        <f>IF(A28="","",SUM(B28:D28))</f>
        <v/>
      </c>
      <c r="F28" s="17">
        <f>IF(A28="","",SUMIFS('SDA'!$H$4:$H$53,'SDA'!$A$4:$A$53,A28,'SDA'!$C$4:$C$53,"Impervious Vehicular")+SUMIFS('SDA'!$H$4:$H$53,'SDA'!$A$4:$A$53,A28,'SDA'!$C$4:$C$53,"Impervious Non-Vehicular"))</f>
        <v/>
      </c>
      <c r="G28" s="17">
        <f>IF(A28="","",SUMIFS('SDA'!$H$4:$H$53,'SDA'!$A$4:$A$53,A28,'SDA'!$C$4:$C$53,"Compacted (Open Space)"))</f>
        <v/>
      </c>
      <c r="H28" s="17">
        <f>IF(A28="","",SUMIFS('SDA'!$H$4:$H$53,'SDA'!$A$4:$A$53,A28,'SDA'!$C$4:$C$53,"Natural (Woods)"))</f>
        <v/>
      </c>
      <c r="I28" s="17">
        <f>IF(A28="","",SUM(F28:H28))</f>
        <v/>
      </c>
      <c r="J28" s="17">
        <f>IF(A28="","",IF(E28=0,0,AP28*1.2/12*E28))</f>
        <v/>
      </c>
      <c r="K28" s="28">
        <f>IF(A28="","",IF(I28=0,0,AQ28*1.2/12*I28))</f>
        <v/>
      </c>
      <c r="L28" s="17">
        <f>IF(A28="","",IF(SUMIFS('SDA'!$G$4:$G$53,'SDA'!$A$4:$A$53,A28,'SDA'!$D$4:$D$53,"D")&gt;0,"D",IF(SUMIFS('SDA'!$G$4:$G$53,'SDA'!$A$4:$A$53,A28,'SDA'!$D$4:$D$53,"C")&gt;0,"C",IF(SUMIFS('SDA'!$G$4:$G$53,'SDA'!$A$4:$A$53,A28,'SDA'!$D$4:$D$53,"B")&gt;0,"B",IF(SUMIFS('SDA'!$G$4:$G$53,'SDA'!$A$4:$A$53,A28,'SDA'!$D$4:$D$53,"A")&gt;0,"A","")))))</f>
        <v/>
      </c>
      <c r="M28" s="4" t="n"/>
      <c r="N28" s="4" t="n"/>
      <c r="O28" s="17">
        <f>IF(A28="","",IF(L28="A",2.5,IF(L28="B",0.3,IF(L28="C",0.1,IF(L28="D",0.05,"")))))</f>
        <v/>
      </c>
      <c r="P28" s="27" t="n"/>
      <c r="Q28" s="17">
        <f>IF(A28="","",SUMIFS('BMP'!$AD$4:$AD$53,'BMP'!$B$4:$B$53,A28))</f>
        <v/>
      </c>
      <c r="R28" s="17">
        <f>IF(A28="","",Q28*10)</f>
        <v/>
      </c>
      <c r="S28" s="17">
        <f>IF(A28="","",SUMIFS('BMP'!$AE$4:$AE$53,'BMP'!$B$4:$B$53,A28))</f>
        <v/>
      </c>
      <c r="T28" s="17">
        <f>IF(A28="","",S28*20)</f>
        <v/>
      </c>
      <c r="U28" s="17">
        <f>IF(A28="","",SUMIFS('BMP'!$AF$4:$AF$53,'BMP'!$B$4:$B$53,A28)+SUMIFS('BMP'!$AG$4:$AG$53,'BMP'!$B$4:$B$53,A28))</f>
        <v/>
      </c>
      <c r="V28" s="28">
        <f>IF(A28="","",U28*40)</f>
        <v/>
      </c>
      <c r="W28" s="4" t="n"/>
      <c r="X28" s="4" t="n"/>
      <c r="Y28" s="17">
        <f>IF(A28="","",SUMIFS('BMP'!$N$4:$N$53,'BMP'!$B$4:$B$53,A28,'BMP'!$D$4:$D$53,"Bioretention")+SUMIFS('BMP'!$N$4:$N$53,'BMP'!$B$4:$B$53,A28,'BMP'!$D$4:$D$53,"Dry Swale"))</f>
        <v/>
      </c>
      <c r="Z28" s="4" t="n"/>
      <c r="AA28" s="17">
        <f>IF(A28="","",SUMIFS('BMP'!$F$4:$F$53,'BMP'!$B$4:$B$53,A28,'BMP'!$D$4:$D$53,"Permeable Pavement"))</f>
        <v/>
      </c>
      <c r="AB28" s="27" t="n"/>
      <c r="AC28" s="17">
        <f>IF(A28="","",SUMIFS('CDA'!$E$4:$E$53,'CDA'!$B$4:$B$53,A28))</f>
        <v/>
      </c>
      <c r="AD28" s="17">
        <f>IF(A28="","",SUMIFS('CDA'!$F$4:$F$53,'CDA'!$B$4:$B$53,A28))</f>
        <v/>
      </c>
      <c r="AE28" s="17">
        <f>IF(A28="","",IF(AC28=0,0,AC28*1.7/12*AP28))</f>
        <v/>
      </c>
      <c r="AF28" s="17">
        <f>IF(A28="","",IF(AD28=0,0,AD28*1.7/12*AQ28))</f>
        <v/>
      </c>
      <c r="AG28" s="17">
        <f>IF(A28="","",SUMIFS('BMP'!$W$4:$W$53,'BMP'!$B$4:$B$53,A28,'BMP'!$D$4:$D$53,"Bioretention")+SUMIFS('BMP'!$W$4:$W$53,'BMP'!$B$4:$B$53,A28,'BMP'!$D$4:$D$53,"Dry Swale"))</f>
        <v/>
      </c>
      <c r="AH28" s="17">
        <f>IF(A28="","",SUMIFS('BMP'!$K$4:$K$53,'BMP'!$B$4:$B$53,A28,'BMP'!$D$4:$D$53,"Permeable Pavement"))</f>
        <v/>
      </c>
      <c r="AI28" s="17">
        <f>IF(A28="","",SUMIFS('BMP'!$AA$4:$AA$53,'BMP'!$B$4:$B$53,A28,'BMP'!$D$4:$D$53,"Wet Swale"))</f>
        <v/>
      </c>
      <c r="AJ28" s="17">
        <f>IF(A28="","",SUMIFS('BMP'!$AB$4:$AB$53,'BMP'!$B$4:$B$53,A28))</f>
        <v/>
      </c>
      <c r="AK28" s="17">
        <f>IF(A28="","",SUMIFS('BMP'!$AC$4:$AC$53,'BMP'!$B$4:$B$53,A28))</f>
        <v/>
      </c>
      <c r="AL28" s="17">
        <f>IF(A28="","",(IF((AE28)&lt;(AG28+AH28+AI28),(AE28),(AG28+AH28+AI28)))+AJ28*5+AK28*10+R28+T28+V28)</f>
        <v/>
      </c>
      <c r="AM28" s="28">
        <f>IF(A28="","",AL28-J28)</f>
        <v/>
      </c>
      <c r="AP28" s="17">
        <f>IF(A28="","",IF(E28=0,"",(B28*0.95+C28*0.25+D28*0)/E28))</f>
        <v/>
      </c>
      <c r="AQ28" s="17">
        <f>IF(A28="","",IF(I28=0,"",(F28*0.95+G28*0.25+H28*0)/I28))</f>
        <v/>
      </c>
    </row>
    <row r="29" ht="16.25" customHeight="1">
      <c r="A29" s="17">
        <f>IF('SDA'!A75="","",'SDA'!A75)</f>
        <v/>
      </c>
      <c r="B29" s="17">
        <f>IF(A29="","",'SDA'!F75)</f>
        <v/>
      </c>
      <c r="C29" s="17">
        <f>IF(A29="","",'SDA'!G75)</f>
        <v/>
      </c>
      <c r="D29" s="17">
        <f>IF(A29="","",'SDA'!H75)</f>
        <v/>
      </c>
      <c r="E29" s="17">
        <f>IF(A29="","",SUM(B29:D29))</f>
        <v/>
      </c>
      <c r="F29" s="17">
        <f>IF(A29="","",SUMIFS('SDA'!$H$4:$H$53,'SDA'!$A$4:$A$53,A29,'SDA'!$C$4:$C$53,"Impervious Vehicular")+SUMIFS('SDA'!$H$4:$H$53,'SDA'!$A$4:$A$53,A29,'SDA'!$C$4:$C$53,"Impervious Non-Vehicular"))</f>
        <v/>
      </c>
      <c r="G29" s="17">
        <f>IF(A29="","",SUMIFS('SDA'!$H$4:$H$53,'SDA'!$A$4:$A$53,A29,'SDA'!$C$4:$C$53,"Compacted (Open Space)"))</f>
        <v/>
      </c>
      <c r="H29" s="17">
        <f>IF(A29="","",SUMIFS('SDA'!$H$4:$H$53,'SDA'!$A$4:$A$53,A29,'SDA'!$C$4:$C$53,"Natural (Woods)"))</f>
        <v/>
      </c>
      <c r="I29" s="17">
        <f>IF(A29="","",SUM(F29:H29))</f>
        <v/>
      </c>
      <c r="J29" s="17">
        <f>IF(A29="","",IF(E29=0,0,AP29*1.2/12*E29))</f>
        <v/>
      </c>
      <c r="K29" s="28">
        <f>IF(A29="","",IF(I29=0,0,AQ29*1.2/12*I29))</f>
        <v/>
      </c>
      <c r="L29" s="17">
        <f>IF(A29="","",IF(SUMIFS('SDA'!$G$4:$G$53,'SDA'!$A$4:$A$53,A29,'SDA'!$D$4:$D$53,"D")&gt;0,"D",IF(SUMIFS('SDA'!$G$4:$G$53,'SDA'!$A$4:$A$53,A29,'SDA'!$D$4:$D$53,"C")&gt;0,"C",IF(SUMIFS('SDA'!$G$4:$G$53,'SDA'!$A$4:$A$53,A29,'SDA'!$D$4:$D$53,"B")&gt;0,"B",IF(SUMIFS('SDA'!$G$4:$G$53,'SDA'!$A$4:$A$53,A29,'SDA'!$D$4:$D$53,"A")&gt;0,"A","")))))</f>
        <v/>
      </c>
      <c r="M29" s="4" t="n"/>
      <c r="N29" s="4" t="n"/>
      <c r="O29" s="17">
        <f>IF(A29="","",IF(L29="A",2.5,IF(L29="B",0.3,IF(L29="C",0.1,IF(L29="D",0.05,"")))))</f>
        <v/>
      </c>
      <c r="P29" s="27" t="n"/>
      <c r="Q29" s="17">
        <f>IF(A29="","",SUMIFS('BMP'!$AD$4:$AD$53,'BMP'!$B$4:$B$53,A29))</f>
        <v/>
      </c>
      <c r="R29" s="17">
        <f>IF(A29="","",Q29*10)</f>
        <v/>
      </c>
      <c r="S29" s="17">
        <f>IF(A29="","",SUMIFS('BMP'!$AE$4:$AE$53,'BMP'!$B$4:$B$53,A29))</f>
        <v/>
      </c>
      <c r="T29" s="17">
        <f>IF(A29="","",S29*20)</f>
        <v/>
      </c>
      <c r="U29" s="17">
        <f>IF(A29="","",SUMIFS('BMP'!$AF$4:$AF$53,'BMP'!$B$4:$B$53,A29)+SUMIFS('BMP'!$AG$4:$AG$53,'BMP'!$B$4:$B$53,A29))</f>
        <v/>
      </c>
      <c r="V29" s="28">
        <f>IF(A29="","",U29*40)</f>
        <v/>
      </c>
      <c r="W29" s="4" t="n"/>
      <c r="X29" s="4" t="n"/>
      <c r="Y29" s="17">
        <f>IF(A29="","",SUMIFS('BMP'!$N$4:$N$53,'BMP'!$B$4:$B$53,A29,'BMP'!$D$4:$D$53,"Bioretention")+SUMIFS('BMP'!$N$4:$N$53,'BMP'!$B$4:$B$53,A29,'BMP'!$D$4:$D$53,"Dry Swale"))</f>
        <v/>
      </c>
      <c r="Z29" s="4" t="n"/>
      <c r="AA29" s="17">
        <f>IF(A29="","",SUMIFS('BMP'!$F$4:$F$53,'BMP'!$B$4:$B$53,A29,'BMP'!$D$4:$D$53,"Permeable Pavement"))</f>
        <v/>
      </c>
      <c r="AB29" s="27" t="n"/>
      <c r="AC29" s="17">
        <f>IF(A29="","",SUMIFS('CDA'!$E$4:$E$53,'CDA'!$B$4:$B$53,A29))</f>
        <v/>
      </c>
      <c r="AD29" s="17">
        <f>IF(A29="","",SUMIFS('CDA'!$F$4:$F$53,'CDA'!$B$4:$B$53,A29))</f>
        <v/>
      </c>
      <c r="AE29" s="17">
        <f>IF(A29="","",IF(AC29=0,0,AC29*1.7/12*AP29))</f>
        <v/>
      </c>
      <c r="AF29" s="17">
        <f>IF(A29="","",IF(AD29=0,0,AD29*1.7/12*AQ29))</f>
        <v/>
      </c>
      <c r="AG29" s="17">
        <f>IF(A29="","",SUMIFS('BMP'!$W$4:$W$53,'BMP'!$B$4:$B$53,A29,'BMP'!$D$4:$D$53,"Bioretention")+SUMIFS('BMP'!$W$4:$W$53,'BMP'!$B$4:$B$53,A29,'BMP'!$D$4:$D$53,"Dry Swale"))</f>
        <v/>
      </c>
      <c r="AH29" s="17">
        <f>IF(A29="","",SUMIFS('BMP'!$K$4:$K$53,'BMP'!$B$4:$B$53,A29,'BMP'!$D$4:$D$53,"Permeable Pavement"))</f>
        <v/>
      </c>
      <c r="AI29" s="17">
        <f>IF(A29="","",SUMIFS('BMP'!$AA$4:$AA$53,'BMP'!$B$4:$B$53,A29,'BMP'!$D$4:$D$53,"Wet Swale"))</f>
        <v/>
      </c>
      <c r="AJ29" s="17">
        <f>IF(A29="","",SUMIFS('BMP'!$AB$4:$AB$53,'BMP'!$B$4:$B$53,A29))</f>
        <v/>
      </c>
      <c r="AK29" s="17">
        <f>IF(A29="","",SUMIFS('BMP'!$AC$4:$AC$53,'BMP'!$B$4:$B$53,A29))</f>
        <v/>
      </c>
      <c r="AL29" s="17">
        <f>IF(A29="","",(IF((AE29)&lt;(AG29+AH29+AI29),(AE29),(AG29+AH29+AI29)))+AJ29*5+AK29*10+R29+T29+V29)</f>
        <v/>
      </c>
      <c r="AM29" s="28">
        <f>IF(A29="","",AL29-J29)</f>
        <v/>
      </c>
      <c r="AP29" s="17">
        <f>IF(A29="","",IF(E29=0,"",(B29*0.95+C29*0.25+D29*0)/E29))</f>
        <v/>
      </c>
      <c r="AQ29" s="17">
        <f>IF(A29="","",IF(I29=0,"",(F29*0.95+G29*0.25+H29*0)/I29))</f>
        <v/>
      </c>
    </row>
    <row r="30" ht="16.25" customHeight="1">
      <c r="A30" s="17">
        <f>IF('SDA'!A76="","",'SDA'!A76)</f>
        <v/>
      </c>
      <c r="B30" s="17">
        <f>IF(A30="","",'SDA'!F76)</f>
        <v/>
      </c>
      <c r="C30" s="17">
        <f>IF(A30="","",'SDA'!G76)</f>
        <v/>
      </c>
      <c r="D30" s="17">
        <f>IF(A30="","",'SDA'!H76)</f>
        <v/>
      </c>
      <c r="E30" s="17">
        <f>IF(A30="","",SUM(B30:D30))</f>
        <v/>
      </c>
      <c r="F30" s="17">
        <f>IF(A30="","",SUMIFS('SDA'!$H$4:$H$53,'SDA'!$A$4:$A$53,A30,'SDA'!$C$4:$C$53,"Impervious Vehicular")+SUMIFS('SDA'!$H$4:$H$53,'SDA'!$A$4:$A$53,A30,'SDA'!$C$4:$C$53,"Impervious Non-Vehicular"))</f>
        <v/>
      </c>
      <c r="G30" s="17">
        <f>IF(A30="","",SUMIFS('SDA'!$H$4:$H$53,'SDA'!$A$4:$A$53,A30,'SDA'!$C$4:$C$53,"Compacted (Open Space)"))</f>
        <v/>
      </c>
      <c r="H30" s="17">
        <f>IF(A30="","",SUMIFS('SDA'!$H$4:$H$53,'SDA'!$A$4:$A$53,A30,'SDA'!$C$4:$C$53,"Natural (Woods)"))</f>
        <v/>
      </c>
      <c r="I30" s="17">
        <f>IF(A30="","",SUM(F30:H30))</f>
        <v/>
      </c>
      <c r="J30" s="17">
        <f>IF(A30="","",IF(E30=0,0,AP30*1.2/12*E30))</f>
        <v/>
      </c>
      <c r="K30" s="28">
        <f>IF(A30="","",IF(I30=0,0,AQ30*1.2/12*I30))</f>
        <v/>
      </c>
      <c r="L30" s="17">
        <f>IF(A30="","",IF(SUMIFS('SDA'!$G$4:$G$53,'SDA'!$A$4:$A$53,A30,'SDA'!$D$4:$D$53,"D")&gt;0,"D",IF(SUMIFS('SDA'!$G$4:$G$53,'SDA'!$A$4:$A$53,A30,'SDA'!$D$4:$D$53,"C")&gt;0,"C",IF(SUMIFS('SDA'!$G$4:$G$53,'SDA'!$A$4:$A$53,A30,'SDA'!$D$4:$D$53,"B")&gt;0,"B",IF(SUMIFS('SDA'!$G$4:$G$53,'SDA'!$A$4:$A$53,A30,'SDA'!$D$4:$D$53,"A")&gt;0,"A","")))))</f>
        <v/>
      </c>
      <c r="M30" s="4" t="n"/>
      <c r="N30" s="4" t="n"/>
      <c r="O30" s="17">
        <f>IF(A30="","",IF(L30="A",2.5,IF(L30="B",0.3,IF(L30="C",0.1,IF(L30="D",0.05,"")))))</f>
        <v/>
      </c>
      <c r="P30" s="27" t="n"/>
      <c r="Q30" s="17">
        <f>IF(A30="","",SUMIFS('BMP'!$AD$4:$AD$53,'BMP'!$B$4:$B$53,A30))</f>
        <v/>
      </c>
      <c r="R30" s="17">
        <f>IF(A30="","",Q30*10)</f>
        <v/>
      </c>
      <c r="S30" s="17">
        <f>IF(A30="","",SUMIFS('BMP'!$AE$4:$AE$53,'BMP'!$B$4:$B$53,A30))</f>
        <v/>
      </c>
      <c r="T30" s="17">
        <f>IF(A30="","",S30*20)</f>
        <v/>
      </c>
      <c r="U30" s="17">
        <f>IF(A30="","",SUMIFS('BMP'!$AF$4:$AF$53,'BMP'!$B$4:$B$53,A30)+SUMIFS('BMP'!$AG$4:$AG$53,'BMP'!$B$4:$B$53,A30))</f>
        <v/>
      </c>
      <c r="V30" s="28">
        <f>IF(A30="","",U30*40)</f>
        <v/>
      </c>
      <c r="W30" s="4" t="n"/>
      <c r="X30" s="4" t="n"/>
      <c r="Y30" s="17">
        <f>IF(A30="","",SUMIFS('BMP'!$N$4:$N$53,'BMP'!$B$4:$B$53,A30,'BMP'!$D$4:$D$53,"Bioretention")+SUMIFS('BMP'!$N$4:$N$53,'BMP'!$B$4:$B$53,A30,'BMP'!$D$4:$D$53,"Dry Swale"))</f>
        <v/>
      </c>
      <c r="Z30" s="4" t="n"/>
      <c r="AA30" s="17">
        <f>IF(A30="","",SUMIFS('BMP'!$F$4:$F$53,'BMP'!$B$4:$B$53,A30,'BMP'!$D$4:$D$53,"Permeable Pavement"))</f>
        <v/>
      </c>
      <c r="AB30" s="27" t="n"/>
      <c r="AC30" s="17">
        <f>IF(A30="","",SUMIFS('CDA'!$E$4:$E$53,'CDA'!$B$4:$B$53,A30))</f>
        <v/>
      </c>
      <c r="AD30" s="17">
        <f>IF(A30="","",SUMIFS('CDA'!$F$4:$F$53,'CDA'!$B$4:$B$53,A30))</f>
        <v/>
      </c>
      <c r="AE30" s="17">
        <f>IF(A30="","",IF(AC30=0,0,AC30*1.7/12*AP30))</f>
        <v/>
      </c>
      <c r="AF30" s="17">
        <f>IF(A30="","",IF(AD30=0,0,AD30*1.7/12*AQ30))</f>
        <v/>
      </c>
      <c r="AG30" s="17">
        <f>IF(A30="","",SUMIFS('BMP'!$W$4:$W$53,'BMP'!$B$4:$B$53,A30,'BMP'!$D$4:$D$53,"Bioretention")+SUMIFS('BMP'!$W$4:$W$53,'BMP'!$B$4:$B$53,A30,'BMP'!$D$4:$D$53,"Dry Swale"))</f>
        <v/>
      </c>
      <c r="AH30" s="17">
        <f>IF(A30="","",SUMIFS('BMP'!$K$4:$K$53,'BMP'!$B$4:$B$53,A30,'BMP'!$D$4:$D$53,"Permeable Pavement"))</f>
        <v/>
      </c>
      <c r="AI30" s="17">
        <f>IF(A30="","",SUMIFS('BMP'!$AA$4:$AA$53,'BMP'!$B$4:$B$53,A30,'BMP'!$D$4:$D$53,"Wet Swale"))</f>
        <v/>
      </c>
      <c r="AJ30" s="17">
        <f>IF(A30="","",SUMIFS('BMP'!$AB$4:$AB$53,'BMP'!$B$4:$B$53,A30))</f>
        <v/>
      </c>
      <c r="AK30" s="17">
        <f>IF(A30="","",SUMIFS('BMP'!$AC$4:$AC$53,'BMP'!$B$4:$B$53,A30))</f>
        <v/>
      </c>
      <c r="AL30" s="17">
        <f>IF(A30="","",(IF((AE30)&lt;(AG30+AH30+AI30),(AE30),(AG30+AH30+AI30)))+AJ30*5+AK30*10+R30+T30+V30)</f>
        <v/>
      </c>
      <c r="AM30" s="28">
        <f>IF(A30="","",AL30-J30)</f>
        <v/>
      </c>
      <c r="AP30" s="17">
        <f>IF(A30="","",IF(E30=0,"",(B30*0.95+C30*0.25+D30*0)/E30))</f>
        <v/>
      </c>
      <c r="AQ30" s="17">
        <f>IF(A30="","",IF(I30=0,"",(F30*0.95+G30*0.25+H30*0)/I30))</f>
        <v/>
      </c>
    </row>
    <row r="31" ht="16.25" customHeight="1">
      <c r="A31" s="17">
        <f>IF('SDA'!A77="","",'SDA'!A77)</f>
        <v/>
      </c>
      <c r="B31" s="17">
        <f>IF(A31="","",'SDA'!F77)</f>
        <v/>
      </c>
      <c r="C31" s="17">
        <f>IF(A31="","",'SDA'!G77)</f>
        <v/>
      </c>
      <c r="D31" s="17">
        <f>IF(A31="","",'SDA'!H77)</f>
        <v/>
      </c>
      <c r="E31" s="17">
        <f>IF(A31="","",SUM(B31:D31))</f>
        <v/>
      </c>
      <c r="F31" s="17">
        <f>IF(A31="","",SUMIFS('SDA'!$H$4:$H$53,'SDA'!$A$4:$A$53,A31,'SDA'!$C$4:$C$53,"Impervious Vehicular")+SUMIFS('SDA'!$H$4:$H$53,'SDA'!$A$4:$A$53,A31,'SDA'!$C$4:$C$53,"Impervious Non-Vehicular"))</f>
        <v/>
      </c>
      <c r="G31" s="17">
        <f>IF(A31="","",SUMIFS('SDA'!$H$4:$H$53,'SDA'!$A$4:$A$53,A31,'SDA'!$C$4:$C$53,"Compacted (Open Space)"))</f>
        <v/>
      </c>
      <c r="H31" s="17">
        <f>IF(A31="","",SUMIFS('SDA'!$H$4:$H$53,'SDA'!$A$4:$A$53,A31,'SDA'!$C$4:$C$53,"Natural (Woods)"))</f>
        <v/>
      </c>
      <c r="I31" s="17">
        <f>IF(A31="","",SUM(F31:H31))</f>
        <v/>
      </c>
      <c r="J31" s="17">
        <f>IF(A31="","",IF(E31=0,0,AP31*1.2/12*E31))</f>
        <v/>
      </c>
      <c r="K31" s="28">
        <f>IF(A31="","",IF(I31=0,0,AQ31*1.2/12*I31))</f>
        <v/>
      </c>
      <c r="L31" s="17">
        <f>IF(A31="","",IF(SUMIFS('SDA'!$G$4:$G$53,'SDA'!$A$4:$A$53,A31,'SDA'!$D$4:$D$53,"D")&gt;0,"D",IF(SUMIFS('SDA'!$G$4:$G$53,'SDA'!$A$4:$A$53,A31,'SDA'!$D$4:$D$53,"C")&gt;0,"C",IF(SUMIFS('SDA'!$G$4:$G$53,'SDA'!$A$4:$A$53,A31,'SDA'!$D$4:$D$53,"B")&gt;0,"B",IF(SUMIFS('SDA'!$G$4:$G$53,'SDA'!$A$4:$A$53,A31,'SDA'!$D$4:$D$53,"A")&gt;0,"A","")))))</f>
        <v/>
      </c>
      <c r="M31" s="4" t="n"/>
      <c r="N31" s="4" t="n"/>
      <c r="O31" s="17">
        <f>IF(A31="","",IF(L31="A",2.5,IF(L31="B",0.3,IF(L31="C",0.1,IF(L31="D",0.05,"")))))</f>
        <v/>
      </c>
      <c r="P31" s="27" t="n"/>
      <c r="Q31" s="17">
        <f>IF(A31="","",SUMIFS('BMP'!$AD$4:$AD$53,'BMP'!$B$4:$B$53,A31))</f>
        <v/>
      </c>
      <c r="R31" s="17">
        <f>IF(A31="","",Q31*10)</f>
        <v/>
      </c>
      <c r="S31" s="17">
        <f>IF(A31="","",SUMIFS('BMP'!$AE$4:$AE$53,'BMP'!$B$4:$B$53,A31))</f>
        <v/>
      </c>
      <c r="T31" s="17">
        <f>IF(A31="","",S31*20)</f>
        <v/>
      </c>
      <c r="U31" s="17">
        <f>IF(A31="","",SUMIFS('BMP'!$AF$4:$AF$53,'BMP'!$B$4:$B$53,A31)+SUMIFS('BMP'!$AG$4:$AG$53,'BMP'!$B$4:$B$53,A31))</f>
        <v/>
      </c>
      <c r="V31" s="28">
        <f>IF(A31="","",U31*40)</f>
        <v/>
      </c>
      <c r="W31" s="4" t="n"/>
      <c r="X31" s="4" t="n"/>
      <c r="Y31" s="17">
        <f>IF(A31="","",SUMIFS('BMP'!$N$4:$N$53,'BMP'!$B$4:$B$53,A31,'BMP'!$D$4:$D$53,"Bioretention")+SUMIFS('BMP'!$N$4:$N$53,'BMP'!$B$4:$B$53,A31,'BMP'!$D$4:$D$53,"Dry Swale"))</f>
        <v/>
      </c>
      <c r="Z31" s="4" t="n"/>
      <c r="AA31" s="17">
        <f>IF(A31="","",SUMIFS('BMP'!$F$4:$F$53,'BMP'!$B$4:$B$53,A31,'BMP'!$D$4:$D$53,"Permeable Pavement"))</f>
        <v/>
      </c>
      <c r="AB31" s="27" t="n"/>
      <c r="AC31" s="17">
        <f>IF(A31="","",SUMIFS('CDA'!$E$4:$E$53,'CDA'!$B$4:$B$53,A31))</f>
        <v/>
      </c>
      <c r="AD31" s="17">
        <f>IF(A31="","",SUMIFS('CDA'!$F$4:$F$53,'CDA'!$B$4:$B$53,A31))</f>
        <v/>
      </c>
      <c r="AE31" s="17">
        <f>IF(A31="","",IF(AC31=0,0,AC31*1.7/12*AP31))</f>
        <v/>
      </c>
      <c r="AF31" s="17">
        <f>IF(A31="","",IF(AD31=0,0,AD31*1.7/12*AQ31))</f>
        <v/>
      </c>
      <c r="AG31" s="17">
        <f>IF(A31="","",SUMIFS('BMP'!$W$4:$W$53,'BMP'!$B$4:$B$53,A31,'BMP'!$D$4:$D$53,"Bioretention")+SUMIFS('BMP'!$W$4:$W$53,'BMP'!$B$4:$B$53,A31,'BMP'!$D$4:$D$53,"Dry Swale"))</f>
        <v/>
      </c>
      <c r="AH31" s="17">
        <f>IF(A31="","",SUMIFS('BMP'!$K$4:$K$53,'BMP'!$B$4:$B$53,A31,'BMP'!$D$4:$D$53,"Permeable Pavement"))</f>
        <v/>
      </c>
      <c r="AI31" s="17">
        <f>IF(A31="","",SUMIFS('BMP'!$AA$4:$AA$53,'BMP'!$B$4:$B$53,A31,'BMP'!$D$4:$D$53,"Wet Swale"))</f>
        <v/>
      </c>
      <c r="AJ31" s="17">
        <f>IF(A31="","",SUMIFS('BMP'!$AB$4:$AB$53,'BMP'!$B$4:$B$53,A31))</f>
        <v/>
      </c>
      <c r="AK31" s="17">
        <f>IF(A31="","",SUMIFS('BMP'!$AC$4:$AC$53,'BMP'!$B$4:$B$53,A31))</f>
        <v/>
      </c>
      <c r="AL31" s="17">
        <f>IF(A31="","",(IF((AE31)&lt;(AG31+AH31+AI31),(AE31),(AG31+AH31+AI31)))+AJ31*5+AK31*10+R31+T31+V31)</f>
        <v/>
      </c>
      <c r="AM31" s="28">
        <f>IF(A31="","",AL31-J31)</f>
        <v/>
      </c>
      <c r="AP31" s="17">
        <f>IF(A31="","",IF(E31=0,"",(B31*0.95+C31*0.25+D31*0)/E31))</f>
        <v/>
      </c>
      <c r="AQ31" s="17">
        <f>IF(A31="","",IF(I31=0,"",(F31*0.95+G31*0.25+H31*0)/I31))</f>
        <v/>
      </c>
    </row>
    <row r="32" ht="16.25" customHeight="1">
      <c r="A32" s="17">
        <f>IF('SDA'!A78="","",'SDA'!A78)</f>
        <v/>
      </c>
      <c r="B32" s="17">
        <f>IF(A32="","",'SDA'!F78)</f>
        <v/>
      </c>
      <c r="C32" s="17">
        <f>IF(A32="","",'SDA'!G78)</f>
        <v/>
      </c>
      <c r="D32" s="17">
        <f>IF(A32="","",'SDA'!H78)</f>
        <v/>
      </c>
      <c r="E32" s="17">
        <f>IF(A32="","",SUM(B32:D32))</f>
        <v/>
      </c>
      <c r="F32" s="17">
        <f>IF(A32="","",SUMIFS('SDA'!$H$4:$H$53,'SDA'!$A$4:$A$53,A32,'SDA'!$C$4:$C$53,"Impervious Vehicular")+SUMIFS('SDA'!$H$4:$H$53,'SDA'!$A$4:$A$53,A32,'SDA'!$C$4:$C$53,"Impervious Non-Vehicular"))</f>
        <v/>
      </c>
      <c r="G32" s="17">
        <f>IF(A32="","",SUMIFS('SDA'!$H$4:$H$53,'SDA'!$A$4:$A$53,A32,'SDA'!$C$4:$C$53,"Compacted (Open Space)"))</f>
        <v/>
      </c>
      <c r="H32" s="17">
        <f>IF(A32="","",SUMIFS('SDA'!$H$4:$H$53,'SDA'!$A$4:$A$53,A32,'SDA'!$C$4:$C$53,"Natural (Woods)"))</f>
        <v/>
      </c>
      <c r="I32" s="17">
        <f>IF(A32="","",SUM(F32:H32))</f>
        <v/>
      </c>
      <c r="J32" s="17">
        <f>IF(A32="","",IF(E32=0,0,AP32*1.2/12*E32))</f>
        <v/>
      </c>
      <c r="K32" s="28">
        <f>IF(A32="","",IF(I32=0,0,AQ32*1.2/12*I32))</f>
        <v/>
      </c>
      <c r="L32" s="17">
        <f>IF(A32="","",IF(SUMIFS('SDA'!$G$4:$G$53,'SDA'!$A$4:$A$53,A32,'SDA'!$D$4:$D$53,"D")&gt;0,"D",IF(SUMIFS('SDA'!$G$4:$G$53,'SDA'!$A$4:$A$53,A32,'SDA'!$D$4:$D$53,"C")&gt;0,"C",IF(SUMIFS('SDA'!$G$4:$G$53,'SDA'!$A$4:$A$53,A32,'SDA'!$D$4:$D$53,"B")&gt;0,"B",IF(SUMIFS('SDA'!$G$4:$G$53,'SDA'!$A$4:$A$53,A32,'SDA'!$D$4:$D$53,"A")&gt;0,"A","")))))</f>
        <v/>
      </c>
      <c r="M32" s="4" t="n"/>
      <c r="N32" s="4" t="n"/>
      <c r="O32" s="17">
        <f>IF(A32="","",IF(L32="A",2.5,IF(L32="B",0.3,IF(L32="C",0.1,IF(L32="D",0.05,"")))))</f>
        <v/>
      </c>
      <c r="P32" s="27" t="n"/>
      <c r="Q32" s="17">
        <f>IF(A32="","",SUMIFS('BMP'!$AD$4:$AD$53,'BMP'!$B$4:$B$53,A32))</f>
        <v/>
      </c>
      <c r="R32" s="17">
        <f>IF(A32="","",Q32*10)</f>
        <v/>
      </c>
      <c r="S32" s="17">
        <f>IF(A32="","",SUMIFS('BMP'!$AE$4:$AE$53,'BMP'!$B$4:$B$53,A32))</f>
        <v/>
      </c>
      <c r="T32" s="17">
        <f>IF(A32="","",S32*20)</f>
        <v/>
      </c>
      <c r="U32" s="17">
        <f>IF(A32="","",SUMIFS('BMP'!$AF$4:$AF$53,'BMP'!$B$4:$B$53,A32)+SUMIFS('BMP'!$AG$4:$AG$53,'BMP'!$B$4:$B$53,A32))</f>
        <v/>
      </c>
      <c r="V32" s="28">
        <f>IF(A32="","",U32*40)</f>
        <v/>
      </c>
      <c r="W32" s="4" t="n"/>
      <c r="X32" s="4" t="n"/>
      <c r="Y32" s="17">
        <f>IF(A32="","",SUMIFS('BMP'!$N$4:$N$53,'BMP'!$B$4:$B$53,A32,'BMP'!$D$4:$D$53,"Bioretention")+SUMIFS('BMP'!$N$4:$N$53,'BMP'!$B$4:$B$53,A32,'BMP'!$D$4:$D$53,"Dry Swale"))</f>
        <v/>
      </c>
      <c r="Z32" s="4" t="n"/>
      <c r="AA32" s="17">
        <f>IF(A32="","",SUMIFS('BMP'!$F$4:$F$53,'BMP'!$B$4:$B$53,A32,'BMP'!$D$4:$D$53,"Permeable Pavement"))</f>
        <v/>
      </c>
      <c r="AB32" s="27" t="n"/>
      <c r="AC32" s="17">
        <f>IF(A32="","",SUMIFS('CDA'!$E$4:$E$53,'CDA'!$B$4:$B$53,A32))</f>
        <v/>
      </c>
      <c r="AD32" s="17">
        <f>IF(A32="","",SUMIFS('CDA'!$F$4:$F$53,'CDA'!$B$4:$B$53,A32))</f>
        <v/>
      </c>
      <c r="AE32" s="17">
        <f>IF(A32="","",IF(AC32=0,0,AC32*1.7/12*AP32))</f>
        <v/>
      </c>
      <c r="AF32" s="17">
        <f>IF(A32="","",IF(AD32=0,0,AD32*1.7/12*AQ32))</f>
        <v/>
      </c>
      <c r="AG32" s="17">
        <f>IF(A32="","",SUMIFS('BMP'!$W$4:$W$53,'BMP'!$B$4:$B$53,A32,'BMP'!$D$4:$D$53,"Bioretention")+SUMIFS('BMP'!$W$4:$W$53,'BMP'!$B$4:$B$53,A32,'BMP'!$D$4:$D$53,"Dry Swale"))</f>
        <v/>
      </c>
      <c r="AH32" s="17">
        <f>IF(A32="","",SUMIFS('BMP'!$K$4:$K$53,'BMP'!$B$4:$B$53,A32,'BMP'!$D$4:$D$53,"Permeable Pavement"))</f>
        <v/>
      </c>
      <c r="AI32" s="17">
        <f>IF(A32="","",SUMIFS('BMP'!$AA$4:$AA$53,'BMP'!$B$4:$B$53,A32,'BMP'!$D$4:$D$53,"Wet Swale"))</f>
        <v/>
      </c>
      <c r="AJ32" s="17">
        <f>IF(A32="","",SUMIFS('BMP'!$AB$4:$AB$53,'BMP'!$B$4:$B$53,A32))</f>
        <v/>
      </c>
      <c r="AK32" s="17">
        <f>IF(A32="","",SUMIFS('BMP'!$AC$4:$AC$53,'BMP'!$B$4:$B$53,A32))</f>
        <v/>
      </c>
      <c r="AL32" s="17">
        <f>IF(A32="","",(IF((AE32)&lt;(AG32+AH32+AI32),(AE32),(AG32+AH32+AI32)))+AJ32*5+AK32*10+R32+T32+V32)</f>
        <v/>
      </c>
      <c r="AM32" s="28">
        <f>IF(A32="","",AL32-J32)</f>
        <v/>
      </c>
      <c r="AP32" s="17">
        <f>IF(A32="","",IF(E32=0,"",(B32*0.95+C32*0.25+D32*0)/E32))</f>
        <v/>
      </c>
      <c r="AQ32" s="17">
        <f>IF(A32="","",IF(I32=0,"",(F32*0.95+G32*0.25+H32*0)/I32))</f>
        <v/>
      </c>
    </row>
    <row r="33" ht="16.25" customHeight="1">
      <c r="A33" s="17">
        <f>IF('SDA'!A79="","",'SDA'!A79)</f>
        <v/>
      </c>
      <c r="B33" s="17">
        <f>IF(A33="","",'SDA'!F79)</f>
        <v/>
      </c>
      <c r="C33" s="17">
        <f>IF(A33="","",'SDA'!G79)</f>
        <v/>
      </c>
      <c r="D33" s="17">
        <f>IF(A33="","",'SDA'!H79)</f>
        <v/>
      </c>
      <c r="E33" s="17">
        <f>IF(A33="","",SUM(B33:D33))</f>
        <v/>
      </c>
      <c r="F33" s="17">
        <f>IF(A33="","",SUMIFS('SDA'!$H$4:$H$53,'SDA'!$A$4:$A$53,A33,'SDA'!$C$4:$C$53,"Impervious Vehicular")+SUMIFS('SDA'!$H$4:$H$53,'SDA'!$A$4:$A$53,A33,'SDA'!$C$4:$C$53,"Impervious Non-Vehicular"))</f>
        <v/>
      </c>
      <c r="G33" s="17">
        <f>IF(A33="","",SUMIFS('SDA'!$H$4:$H$53,'SDA'!$A$4:$A$53,A33,'SDA'!$C$4:$C$53,"Compacted (Open Space)"))</f>
        <v/>
      </c>
      <c r="H33" s="17">
        <f>IF(A33="","",SUMIFS('SDA'!$H$4:$H$53,'SDA'!$A$4:$A$53,A33,'SDA'!$C$4:$C$53,"Natural (Woods)"))</f>
        <v/>
      </c>
      <c r="I33" s="17">
        <f>IF(A33="","",SUM(F33:H33))</f>
        <v/>
      </c>
      <c r="J33" s="17">
        <f>IF(A33="","",IF(E33=0,0,AP33*1.2/12*E33))</f>
        <v/>
      </c>
      <c r="K33" s="28">
        <f>IF(A33="","",IF(I33=0,0,AQ33*1.2/12*I33))</f>
        <v/>
      </c>
      <c r="L33" s="17">
        <f>IF(A33="","",IF(SUMIFS('SDA'!$G$4:$G$53,'SDA'!$A$4:$A$53,A33,'SDA'!$D$4:$D$53,"D")&gt;0,"D",IF(SUMIFS('SDA'!$G$4:$G$53,'SDA'!$A$4:$A$53,A33,'SDA'!$D$4:$D$53,"C")&gt;0,"C",IF(SUMIFS('SDA'!$G$4:$G$53,'SDA'!$A$4:$A$53,A33,'SDA'!$D$4:$D$53,"B")&gt;0,"B",IF(SUMIFS('SDA'!$G$4:$G$53,'SDA'!$A$4:$A$53,A33,'SDA'!$D$4:$D$53,"A")&gt;0,"A","")))))</f>
        <v/>
      </c>
      <c r="M33" s="4" t="n"/>
      <c r="N33" s="4" t="n"/>
      <c r="O33" s="17">
        <f>IF(A33="","",IF(L33="A",2.5,IF(L33="B",0.3,IF(L33="C",0.1,IF(L33="D",0.05,"")))))</f>
        <v/>
      </c>
      <c r="P33" s="27" t="n"/>
      <c r="Q33" s="17">
        <f>IF(A33="","",SUMIFS('BMP'!$AD$4:$AD$53,'BMP'!$B$4:$B$53,A33))</f>
        <v/>
      </c>
      <c r="R33" s="17">
        <f>IF(A33="","",Q33*10)</f>
        <v/>
      </c>
      <c r="S33" s="17">
        <f>IF(A33="","",SUMIFS('BMP'!$AE$4:$AE$53,'BMP'!$B$4:$B$53,A33))</f>
        <v/>
      </c>
      <c r="T33" s="17">
        <f>IF(A33="","",S33*20)</f>
        <v/>
      </c>
      <c r="U33" s="17">
        <f>IF(A33="","",SUMIFS('BMP'!$AF$4:$AF$53,'BMP'!$B$4:$B$53,A33)+SUMIFS('BMP'!$AG$4:$AG$53,'BMP'!$B$4:$B$53,A33))</f>
        <v/>
      </c>
      <c r="V33" s="28">
        <f>IF(A33="","",U33*40)</f>
        <v/>
      </c>
      <c r="W33" s="4" t="n"/>
      <c r="X33" s="4" t="n"/>
      <c r="Y33" s="17">
        <f>IF(A33="","",SUMIFS('BMP'!$N$4:$N$53,'BMP'!$B$4:$B$53,A33,'BMP'!$D$4:$D$53,"Bioretention")+SUMIFS('BMP'!$N$4:$N$53,'BMP'!$B$4:$B$53,A33,'BMP'!$D$4:$D$53,"Dry Swale"))</f>
        <v/>
      </c>
      <c r="Z33" s="4" t="n"/>
      <c r="AA33" s="17">
        <f>IF(A33="","",SUMIFS('BMP'!$F$4:$F$53,'BMP'!$B$4:$B$53,A33,'BMP'!$D$4:$D$53,"Permeable Pavement"))</f>
        <v/>
      </c>
      <c r="AB33" s="27" t="n"/>
      <c r="AC33" s="17">
        <f>IF(A33="","",SUMIFS('CDA'!$E$4:$E$53,'CDA'!$B$4:$B$53,A33))</f>
        <v/>
      </c>
      <c r="AD33" s="17">
        <f>IF(A33="","",SUMIFS('CDA'!$F$4:$F$53,'CDA'!$B$4:$B$53,A33))</f>
        <v/>
      </c>
      <c r="AE33" s="17">
        <f>IF(A33="","",IF(AC33=0,0,AC33*1.7/12*AP33))</f>
        <v/>
      </c>
      <c r="AF33" s="17">
        <f>IF(A33="","",IF(AD33=0,0,AD33*1.7/12*AQ33))</f>
        <v/>
      </c>
      <c r="AG33" s="17">
        <f>IF(A33="","",SUMIFS('BMP'!$W$4:$W$53,'BMP'!$B$4:$B$53,A33,'BMP'!$D$4:$D$53,"Bioretention")+SUMIFS('BMP'!$W$4:$W$53,'BMP'!$B$4:$B$53,A33,'BMP'!$D$4:$D$53,"Dry Swale"))</f>
        <v/>
      </c>
      <c r="AH33" s="17">
        <f>IF(A33="","",SUMIFS('BMP'!$K$4:$K$53,'BMP'!$B$4:$B$53,A33,'BMP'!$D$4:$D$53,"Permeable Pavement"))</f>
        <v/>
      </c>
      <c r="AI33" s="17">
        <f>IF(A33="","",SUMIFS('BMP'!$AA$4:$AA$53,'BMP'!$B$4:$B$53,A33,'BMP'!$D$4:$D$53,"Wet Swale"))</f>
        <v/>
      </c>
      <c r="AJ33" s="17">
        <f>IF(A33="","",SUMIFS('BMP'!$AB$4:$AB$53,'BMP'!$B$4:$B$53,A33))</f>
        <v/>
      </c>
      <c r="AK33" s="17">
        <f>IF(A33="","",SUMIFS('BMP'!$AC$4:$AC$53,'BMP'!$B$4:$B$53,A33))</f>
        <v/>
      </c>
      <c r="AL33" s="17">
        <f>IF(A33="","",(IF((AE33)&lt;(AG33+AH33+AI33),(AE33),(AG33+AH33+AI33)))+AJ33*5+AK33*10+R33+T33+V33)</f>
        <v/>
      </c>
      <c r="AM33" s="28">
        <f>IF(A33="","",AL33-J33)</f>
        <v/>
      </c>
      <c r="AP33" s="17">
        <f>IF(A33="","",IF(E33=0,"",(B33*0.95+C33*0.25+D33*0)/E33))</f>
        <v/>
      </c>
      <c r="AQ33" s="17">
        <f>IF(A33="","",IF(I33=0,"",(F33*0.95+G33*0.25+H33*0)/I33))</f>
        <v/>
      </c>
    </row>
    <row r="34" ht="16.25" customHeight="1">
      <c r="A34" s="17">
        <f>IF('SDA'!A80="","",'SDA'!A80)</f>
        <v/>
      </c>
      <c r="B34" s="17">
        <f>IF(A34="","",'SDA'!F80)</f>
        <v/>
      </c>
      <c r="C34" s="17">
        <f>IF(A34="","",'SDA'!G80)</f>
        <v/>
      </c>
      <c r="D34" s="17">
        <f>IF(A34="","",'SDA'!H80)</f>
        <v/>
      </c>
      <c r="E34" s="17">
        <f>IF(A34="","",SUM(B34:D34))</f>
        <v/>
      </c>
      <c r="F34" s="17">
        <f>IF(A34="","",SUMIFS('SDA'!$H$4:$H$53,'SDA'!$A$4:$A$53,A34,'SDA'!$C$4:$C$53,"Impervious Vehicular")+SUMIFS('SDA'!$H$4:$H$53,'SDA'!$A$4:$A$53,A34,'SDA'!$C$4:$C$53,"Impervious Non-Vehicular"))</f>
        <v/>
      </c>
      <c r="G34" s="17">
        <f>IF(A34="","",SUMIFS('SDA'!$H$4:$H$53,'SDA'!$A$4:$A$53,A34,'SDA'!$C$4:$C$53,"Compacted (Open Space)"))</f>
        <v/>
      </c>
      <c r="H34" s="17">
        <f>IF(A34="","",SUMIFS('SDA'!$H$4:$H$53,'SDA'!$A$4:$A$53,A34,'SDA'!$C$4:$C$53,"Natural (Woods)"))</f>
        <v/>
      </c>
      <c r="I34" s="17">
        <f>IF(A34="","",SUM(F34:H34))</f>
        <v/>
      </c>
      <c r="J34" s="17">
        <f>IF(A34="","",IF(E34=0,0,AP34*1.2/12*E34))</f>
        <v/>
      </c>
      <c r="K34" s="28">
        <f>IF(A34="","",IF(I34=0,0,AQ34*1.2/12*I34))</f>
        <v/>
      </c>
      <c r="L34" s="17">
        <f>IF(A34="","",IF(SUMIFS('SDA'!$G$4:$G$53,'SDA'!$A$4:$A$53,A34,'SDA'!$D$4:$D$53,"D")&gt;0,"D",IF(SUMIFS('SDA'!$G$4:$G$53,'SDA'!$A$4:$A$53,A34,'SDA'!$D$4:$D$53,"C")&gt;0,"C",IF(SUMIFS('SDA'!$G$4:$G$53,'SDA'!$A$4:$A$53,A34,'SDA'!$D$4:$D$53,"B")&gt;0,"B",IF(SUMIFS('SDA'!$G$4:$G$53,'SDA'!$A$4:$A$53,A34,'SDA'!$D$4:$D$53,"A")&gt;0,"A","")))))</f>
        <v/>
      </c>
      <c r="M34" s="4" t="n"/>
      <c r="N34" s="4" t="n"/>
      <c r="O34" s="17">
        <f>IF(A34="","",IF(L34="A",2.5,IF(L34="B",0.3,IF(L34="C",0.1,IF(L34="D",0.05,"")))))</f>
        <v/>
      </c>
      <c r="P34" s="27" t="n"/>
      <c r="Q34" s="17">
        <f>IF(A34="","",SUMIFS('BMP'!$AD$4:$AD$53,'BMP'!$B$4:$B$53,A34))</f>
        <v/>
      </c>
      <c r="R34" s="17">
        <f>IF(A34="","",Q34*10)</f>
        <v/>
      </c>
      <c r="S34" s="17">
        <f>IF(A34="","",SUMIFS('BMP'!$AE$4:$AE$53,'BMP'!$B$4:$B$53,A34))</f>
        <v/>
      </c>
      <c r="T34" s="17">
        <f>IF(A34="","",S34*20)</f>
        <v/>
      </c>
      <c r="U34" s="17">
        <f>IF(A34="","",SUMIFS('BMP'!$AF$4:$AF$53,'BMP'!$B$4:$B$53,A34)+SUMIFS('BMP'!$AG$4:$AG$53,'BMP'!$B$4:$B$53,A34))</f>
        <v/>
      </c>
      <c r="V34" s="28">
        <f>IF(A34="","",U34*40)</f>
        <v/>
      </c>
      <c r="W34" s="4" t="n"/>
      <c r="X34" s="4" t="n"/>
      <c r="Y34" s="17">
        <f>IF(A34="","",SUMIFS('BMP'!$N$4:$N$53,'BMP'!$B$4:$B$53,A34,'BMP'!$D$4:$D$53,"Bioretention")+SUMIFS('BMP'!$N$4:$N$53,'BMP'!$B$4:$B$53,A34,'BMP'!$D$4:$D$53,"Dry Swale"))</f>
        <v/>
      </c>
      <c r="Z34" s="4" t="n"/>
      <c r="AA34" s="17">
        <f>IF(A34="","",SUMIFS('BMP'!$F$4:$F$53,'BMP'!$B$4:$B$53,A34,'BMP'!$D$4:$D$53,"Permeable Pavement"))</f>
        <v/>
      </c>
      <c r="AB34" s="27" t="n"/>
      <c r="AC34" s="17">
        <f>IF(A34="","",SUMIFS('CDA'!$E$4:$E$53,'CDA'!$B$4:$B$53,A34))</f>
        <v/>
      </c>
      <c r="AD34" s="17">
        <f>IF(A34="","",SUMIFS('CDA'!$F$4:$F$53,'CDA'!$B$4:$B$53,A34))</f>
        <v/>
      </c>
      <c r="AE34" s="17">
        <f>IF(A34="","",IF(AC34=0,0,AC34*1.7/12*AP34))</f>
        <v/>
      </c>
      <c r="AF34" s="17">
        <f>IF(A34="","",IF(AD34=0,0,AD34*1.7/12*AQ34))</f>
        <v/>
      </c>
      <c r="AG34" s="17">
        <f>IF(A34="","",SUMIFS('BMP'!$W$4:$W$53,'BMP'!$B$4:$B$53,A34,'BMP'!$D$4:$D$53,"Bioretention")+SUMIFS('BMP'!$W$4:$W$53,'BMP'!$B$4:$B$53,A34,'BMP'!$D$4:$D$53,"Dry Swale"))</f>
        <v/>
      </c>
      <c r="AH34" s="17">
        <f>IF(A34="","",SUMIFS('BMP'!$K$4:$K$53,'BMP'!$B$4:$B$53,A34,'BMP'!$D$4:$D$53,"Permeable Pavement"))</f>
        <v/>
      </c>
      <c r="AI34" s="17">
        <f>IF(A34="","",SUMIFS('BMP'!$AA$4:$AA$53,'BMP'!$B$4:$B$53,A34,'BMP'!$D$4:$D$53,"Wet Swale"))</f>
        <v/>
      </c>
      <c r="AJ34" s="17">
        <f>IF(A34="","",SUMIFS('BMP'!$AB$4:$AB$53,'BMP'!$B$4:$B$53,A34))</f>
        <v/>
      </c>
      <c r="AK34" s="17">
        <f>IF(A34="","",SUMIFS('BMP'!$AC$4:$AC$53,'BMP'!$B$4:$B$53,A34))</f>
        <v/>
      </c>
      <c r="AL34" s="17">
        <f>IF(A34="","",(IF((AE34)&lt;(AG34+AH34+AI34),(AE34),(AG34+AH34+AI34)))+AJ34*5+AK34*10+R34+T34+V34)</f>
        <v/>
      </c>
      <c r="AM34" s="28">
        <f>IF(A34="","",AL34-J34)</f>
        <v/>
      </c>
      <c r="AP34" s="17">
        <f>IF(A34="","",IF(E34=0,"",(B34*0.95+C34*0.25+D34*0)/E34))</f>
        <v/>
      </c>
      <c r="AQ34" s="17">
        <f>IF(A34="","",IF(I34=0,"",(F34*0.95+G34*0.25+H34*0)/I34))</f>
        <v/>
      </c>
    </row>
    <row r="35" ht="16.25" customHeight="1">
      <c r="A35" s="17">
        <f>IF('SDA'!A81="","",'SDA'!A81)</f>
        <v/>
      </c>
      <c r="B35" s="17">
        <f>IF(A35="","",'SDA'!F81)</f>
        <v/>
      </c>
      <c r="C35" s="17">
        <f>IF(A35="","",'SDA'!G81)</f>
        <v/>
      </c>
      <c r="D35" s="17">
        <f>IF(A35="","",'SDA'!H81)</f>
        <v/>
      </c>
      <c r="E35" s="17">
        <f>IF(A35="","",SUM(B35:D35))</f>
        <v/>
      </c>
      <c r="F35" s="17">
        <f>IF(A35="","",SUMIFS('SDA'!$H$4:$H$53,'SDA'!$A$4:$A$53,A35,'SDA'!$C$4:$C$53,"Impervious Vehicular")+SUMIFS('SDA'!$H$4:$H$53,'SDA'!$A$4:$A$53,A35,'SDA'!$C$4:$C$53,"Impervious Non-Vehicular"))</f>
        <v/>
      </c>
      <c r="G35" s="17">
        <f>IF(A35="","",SUMIFS('SDA'!$H$4:$H$53,'SDA'!$A$4:$A$53,A35,'SDA'!$C$4:$C$53,"Compacted (Open Space)"))</f>
        <v/>
      </c>
      <c r="H35" s="17">
        <f>IF(A35="","",SUMIFS('SDA'!$H$4:$H$53,'SDA'!$A$4:$A$53,A35,'SDA'!$C$4:$C$53,"Natural (Woods)"))</f>
        <v/>
      </c>
      <c r="I35" s="17">
        <f>IF(A35="","",SUM(F35:H35))</f>
        <v/>
      </c>
      <c r="J35" s="17">
        <f>IF(A35="","",IF(E35=0,0,AP35*1.2/12*E35))</f>
        <v/>
      </c>
      <c r="K35" s="28">
        <f>IF(A35="","",IF(I35=0,0,AQ35*1.2/12*I35))</f>
        <v/>
      </c>
      <c r="L35" s="17">
        <f>IF(A35="","",IF(SUMIFS('SDA'!$G$4:$G$53,'SDA'!$A$4:$A$53,A35,'SDA'!$D$4:$D$53,"D")&gt;0,"D",IF(SUMIFS('SDA'!$G$4:$G$53,'SDA'!$A$4:$A$53,A35,'SDA'!$D$4:$D$53,"C")&gt;0,"C",IF(SUMIFS('SDA'!$G$4:$G$53,'SDA'!$A$4:$A$53,A35,'SDA'!$D$4:$D$53,"B")&gt;0,"B",IF(SUMIFS('SDA'!$G$4:$G$53,'SDA'!$A$4:$A$53,A35,'SDA'!$D$4:$D$53,"A")&gt;0,"A","")))))</f>
        <v/>
      </c>
      <c r="M35" s="4" t="n"/>
      <c r="N35" s="4" t="n"/>
      <c r="O35" s="17">
        <f>IF(A35="","",IF(L35="A",2.5,IF(L35="B",0.3,IF(L35="C",0.1,IF(L35="D",0.05,"")))))</f>
        <v/>
      </c>
      <c r="P35" s="27" t="n"/>
      <c r="Q35" s="17">
        <f>IF(A35="","",SUMIFS('BMP'!$AD$4:$AD$53,'BMP'!$B$4:$B$53,A35))</f>
        <v/>
      </c>
      <c r="R35" s="17">
        <f>IF(A35="","",Q35*10)</f>
        <v/>
      </c>
      <c r="S35" s="17">
        <f>IF(A35="","",SUMIFS('BMP'!$AE$4:$AE$53,'BMP'!$B$4:$B$53,A35))</f>
        <v/>
      </c>
      <c r="T35" s="17">
        <f>IF(A35="","",S35*20)</f>
        <v/>
      </c>
      <c r="U35" s="17">
        <f>IF(A35="","",SUMIFS('BMP'!$AF$4:$AF$53,'BMP'!$B$4:$B$53,A35)+SUMIFS('BMP'!$AG$4:$AG$53,'BMP'!$B$4:$B$53,A35))</f>
        <v/>
      </c>
      <c r="V35" s="28">
        <f>IF(A35="","",U35*40)</f>
        <v/>
      </c>
      <c r="W35" s="4" t="n"/>
      <c r="X35" s="4" t="n"/>
      <c r="Y35" s="17">
        <f>IF(A35="","",SUMIFS('BMP'!$N$4:$N$53,'BMP'!$B$4:$B$53,A35,'BMP'!$D$4:$D$53,"Bioretention")+SUMIFS('BMP'!$N$4:$N$53,'BMP'!$B$4:$B$53,A35,'BMP'!$D$4:$D$53,"Dry Swale"))</f>
        <v/>
      </c>
      <c r="Z35" s="4" t="n"/>
      <c r="AA35" s="17">
        <f>IF(A35="","",SUMIFS('BMP'!$F$4:$F$53,'BMP'!$B$4:$B$53,A35,'BMP'!$D$4:$D$53,"Permeable Pavement"))</f>
        <v/>
      </c>
      <c r="AB35" s="27" t="n"/>
      <c r="AC35" s="17">
        <f>IF(A35="","",SUMIFS('CDA'!$E$4:$E$53,'CDA'!$B$4:$B$53,A35))</f>
        <v/>
      </c>
      <c r="AD35" s="17">
        <f>IF(A35="","",SUMIFS('CDA'!$F$4:$F$53,'CDA'!$B$4:$B$53,A35))</f>
        <v/>
      </c>
      <c r="AE35" s="17">
        <f>IF(A35="","",IF(AC35=0,0,AC35*1.7/12*AP35))</f>
        <v/>
      </c>
      <c r="AF35" s="17">
        <f>IF(A35="","",IF(AD35=0,0,AD35*1.7/12*AQ35))</f>
        <v/>
      </c>
      <c r="AG35" s="17">
        <f>IF(A35="","",SUMIFS('BMP'!$W$4:$W$53,'BMP'!$B$4:$B$53,A35,'BMP'!$D$4:$D$53,"Bioretention")+SUMIFS('BMP'!$W$4:$W$53,'BMP'!$B$4:$B$53,A35,'BMP'!$D$4:$D$53,"Dry Swale"))</f>
        <v/>
      </c>
      <c r="AH35" s="17">
        <f>IF(A35="","",SUMIFS('BMP'!$K$4:$K$53,'BMP'!$B$4:$B$53,A35,'BMP'!$D$4:$D$53,"Permeable Pavement"))</f>
        <v/>
      </c>
      <c r="AI35" s="17">
        <f>IF(A35="","",SUMIFS('BMP'!$AA$4:$AA$53,'BMP'!$B$4:$B$53,A35,'BMP'!$D$4:$D$53,"Wet Swale"))</f>
        <v/>
      </c>
      <c r="AJ35" s="17">
        <f>IF(A35="","",SUMIFS('BMP'!$AB$4:$AB$53,'BMP'!$B$4:$B$53,A35))</f>
        <v/>
      </c>
      <c r="AK35" s="17">
        <f>IF(A35="","",SUMIFS('BMP'!$AC$4:$AC$53,'BMP'!$B$4:$B$53,A35))</f>
        <v/>
      </c>
      <c r="AL35" s="17">
        <f>IF(A35="","",(IF((AE35)&lt;(AG35+AH35+AI35),(AE35),(AG35+AH35+AI35)))+AJ35*5+AK35*10+R35+T35+V35)</f>
        <v/>
      </c>
      <c r="AM35" s="28">
        <f>IF(A35="","",AL35-J35)</f>
        <v/>
      </c>
      <c r="AP35" s="17">
        <f>IF(A35="","",IF(E35=0,"",(B35*0.95+C35*0.25+D35*0)/E35))</f>
        <v/>
      </c>
      <c r="AQ35" s="17">
        <f>IF(A35="","",IF(I35=0,"",(F35*0.95+G35*0.25+H35*0)/I35))</f>
        <v/>
      </c>
    </row>
    <row r="36" ht="16.25" customHeight="1">
      <c r="A36" s="17">
        <f>IF('SDA'!A82="","",'SDA'!A82)</f>
        <v/>
      </c>
      <c r="B36" s="17">
        <f>IF(A36="","",'SDA'!F82)</f>
        <v/>
      </c>
      <c r="C36" s="17">
        <f>IF(A36="","",'SDA'!G82)</f>
        <v/>
      </c>
      <c r="D36" s="17">
        <f>IF(A36="","",'SDA'!H82)</f>
        <v/>
      </c>
      <c r="E36" s="17">
        <f>IF(A36="","",SUM(B36:D36))</f>
        <v/>
      </c>
      <c r="F36" s="17">
        <f>IF(A36="","",SUMIFS('SDA'!$H$4:$H$53,'SDA'!$A$4:$A$53,A36,'SDA'!$C$4:$C$53,"Impervious Vehicular")+SUMIFS('SDA'!$H$4:$H$53,'SDA'!$A$4:$A$53,A36,'SDA'!$C$4:$C$53,"Impervious Non-Vehicular"))</f>
        <v/>
      </c>
      <c r="G36" s="17">
        <f>IF(A36="","",SUMIFS('SDA'!$H$4:$H$53,'SDA'!$A$4:$A$53,A36,'SDA'!$C$4:$C$53,"Compacted (Open Space)"))</f>
        <v/>
      </c>
      <c r="H36" s="17">
        <f>IF(A36="","",SUMIFS('SDA'!$H$4:$H$53,'SDA'!$A$4:$A$53,A36,'SDA'!$C$4:$C$53,"Natural (Woods)"))</f>
        <v/>
      </c>
      <c r="I36" s="17">
        <f>IF(A36="","",SUM(F36:H36))</f>
        <v/>
      </c>
      <c r="J36" s="17">
        <f>IF(A36="","",IF(E36=0,0,AP36*1.2/12*E36))</f>
        <v/>
      </c>
      <c r="K36" s="28">
        <f>IF(A36="","",IF(I36=0,0,AQ36*1.2/12*I36))</f>
        <v/>
      </c>
      <c r="L36" s="17">
        <f>IF(A36="","",IF(SUMIFS('SDA'!$G$4:$G$53,'SDA'!$A$4:$A$53,A36,'SDA'!$D$4:$D$53,"D")&gt;0,"D",IF(SUMIFS('SDA'!$G$4:$G$53,'SDA'!$A$4:$A$53,A36,'SDA'!$D$4:$D$53,"C")&gt;0,"C",IF(SUMIFS('SDA'!$G$4:$G$53,'SDA'!$A$4:$A$53,A36,'SDA'!$D$4:$D$53,"B")&gt;0,"B",IF(SUMIFS('SDA'!$G$4:$G$53,'SDA'!$A$4:$A$53,A36,'SDA'!$D$4:$D$53,"A")&gt;0,"A","")))))</f>
        <v/>
      </c>
      <c r="M36" s="4" t="n"/>
      <c r="N36" s="4" t="n"/>
      <c r="O36" s="17">
        <f>IF(A36="","",IF(L36="A",2.5,IF(L36="B",0.3,IF(L36="C",0.1,IF(L36="D",0.05,"")))))</f>
        <v/>
      </c>
      <c r="P36" s="27" t="n"/>
      <c r="Q36" s="17">
        <f>IF(A36="","",SUMIFS('BMP'!$AD$4:$AD$53,'BMP'!$B$4:$B$53,A36))</f>
        <v/>
      </c>
      <c r="R36" s="17">
        <f>IF(A36="","",Q36*10)</f>
        <v/>
      </c>
      <c r="S36" s="17">
        <f>IF(A36="","",SUMIFS('BMP'!$AE$4:$AE$53,'BMP'!$B$4:$B$53,A36))</f>
        <v/>
      </c>
      <c r="T36" s="17">
        <f>IF(A36="","",S36*20)</f>
        <v/>
      </c>
      <c r="U36" s="17">
        <f>IF(A36="","",SUMIFS('BMP'!$AF$4:$AF$53,'BMP'!$B$4:$B$53,A36)+SUMIFS('BMP'!$AG$4:$AG$53,'BMP'!$B$4:$B$53,A36))</f>
        <v/>
      </c>
      <c r="V36" s="28">
        <f>IF(A36="","",U36*40)</f>
        <v/>
      </c>
      <c r="W36" s="4" t="n"/>
      <c r="X36" s="4" t="n"/>
      <c r="Y36" s="17">
        <f>IF(A36="","",SUMIFS('BMP'!$N$4:$N$53,'BMP'!$B$4:$B$53,A36,'BMP'!$D$4:$D$53,"Bioretention")+SUMIFS('BMP'!$N$4:$N$53,'BMP'!$B$4:$B$53,A36,'BMP'!$D$4:$D$53,"Dry Swale"))</f>
        <v/>
      </c>
      <c r="Z36" s="4" t="n"/>
      <c r="AA36" s="17">
        <f>IF(A36="","",SUMIFS('BMP'!$F$4:$F$53,'BMP'!$B$4:$B$53,A36,'BMP'!$D$4:$D$53,"Permeable Pavement"))</f>
        <v/>
      </c>
      <c r="AB36" s="27" t="n"/>
      <c r="AC36" s="17">
        <f>IF(A36="","",SUMIFS('CDA'!$E$4:$E$53,'CDA'!$B$4:$B$53,A36))</f>
        <v/>
      </c>
      <c r="AD36" s="17">
        <f>IF(A36="","",SUMIFS('CDA'!$F$4:$F$53,'CDA'!$B$4:$B$53,A36))</f>
        <v/>
      </c>
      <c r="AE36" s="17">
        <f>IF(A36="","",IF(AC36=0,0,AC36*1.7/12*AP36))</f>
        <v/>
      </c>
      <c r="AF36" s="17">
        <f>IF(A36="","",IF(AD36=0,0,AD36*1.7/12*AQ36))</f>
        <v/>
      </c>
      <c r="AG36" s="17">
        <f>IF(A36="","",SUMIFS('BMP'!$W$4:$W$53,'BMP'!$B$4:$B$53,A36,'BMP'!$D$4:$D$53,"Bioretention")+SUMIFS('BMP'!$W$4:$W$53,'BMP'!$B$4:$B$53,A36,'BMP'!$D$4:$D$53,"Dry Swale"))</f>
        <v/>
      </c>
      <c r="AH36" s="17">
        <f>IF(A36="","",SUMIFS('BMP'!$K$4:$K$53,'BMP'!$B$4:$B$53,A36,'BMP'!$D$4:$D$53,"Permeable Pavement"))</f>
        <v/>
      </c>
      <c r="AI36" s="17">
        <f>IF(A36="","",SUMIFS('BMP'!$AA$4:$AA$53,'BMP'!$B$4:$B$53,A36,'BMP'!$D$4:$D$53,"Wet Swale"))</f>
        <v/>
      </c>
      <c r="AJ36" s="17">
        <f>IF(A36="","",SUMIFS('BMP'!$AB$4:$AB$53,'BMP'!$B$4:$B$53,A36))</f>
        <v/>
      </c>
      <c r="AK36" s="17">
        <f>IF(A36="","",SUMIFS('BMP'!$AC$4:$AC$53,'BMP'!$B$4:$B$53,A36))</f>
        <v/>
      </c>
      <c r="AL36" s="17">
        <f>IF(A36="","",(IF((AE36)&lt;(AG36+AH36+AI36),(AE36),(AG36+AH36+AI36)))+AJ36*5+AK36*10+R36+T36+V36)</f>
        <v/>
      </c>
      <c r="AM36" s="28">
        <f>IF(A36="","",AL36-J36)</f>
        <v/>
      </c>
      <c r="AP36" s="17">
        <f>IF(A36="","",IF(E36=0,"",(B36*0.95+C36*0.25+D36*0)/E36))</f>
        <v/>
      </c>
      <c r="AQ36" s="17">
        <f>IF(A36="","",IF(I36=0,"",(F36*0.95+G36*0.25+H36*0)/I36))</f>
        <v/>
      </c>
    </row>
    <row r="37" ht="16.25" customHeight="1">
      <c r="A37" s="17">
        <f>IF('SDA'!A83="","",'SDA'!A83)</f>
        <v/>
      </c>
      <c r="B37" s="17">
        <f>IF(A37="","",'SDA'!F83)</f>
        <v/>
      </c>
      <c r="C37" s="17">
        <f>IF(A37="","",'SDA'!G83)</f>
        <v/>
      </c>
      <c r="D37" s="17">
        <f>IF(A37="","",'SDA'!H83)</f>
        <v/>
      </c>
      <c r="E37" s="17">
        <f>IF(A37="","",SUM(B37:D37))</f>
        <v/>
      </c>
      <c r="F37" s="17">
        <f>IF(A37="","",SUMIFS('SDA'!$H$4:$H$53,'SDA'!$A$4:$A$53,A37,'SDA'!$C$4:$C$53,"Impervious Vehicular")+SUMIFS('SDA'!$H$4:$H$53,'SDA'!$A$4:$A$53,A37,'SDA'!$C$4:$C$53,"Impervious Non-Vehicular"))</f>
        <v/>
      </c>
      <c r="G37" s="17">
        <f>IF(A37="","",SUMIFS('SDA'!$H$4:$H$53,'SDA'!$A$4:$A$53,A37,'SDA'!$C$4:$C$53,"Compacted (Open Space)"))</f>
        <v/>
      </c>
      <c r="H37" s="17">
        <f>IF(A37="","",SUMIFS('SDA'!$H$4:$H$53,'SDA'!$A$4:$A$53,A37,'SDA'!$C$4:$C$53,"Natural (Woods)"))</f>
        <v/>
      </c>
      <c r="I37" s="17">
        <f>IF(A37="","",SUM(F37:H37))</f>
        <v/>
      </c>
      <c r="J37" s="17">
        <f>IF(A37="","",IF(E37=0,0,AP37*1.2/12*E37))</f>
        <v/>
      </c>
      <c r="K37" s="28">
        <f>IF(A37="","",IF(I37=0,0,AQ37*1.2/12*I37))</f>
        <v/>
      </c>
      <c r="L37" s="17">
        <f>IF(A37="","",IF(SUMIFS('SDA'!$G$4:$G$53,'SDA'!$A$4:$A$53,A37,'SDA'!$D$4:$D$53,"D")&gt;0,"D",IF(SUMIFS('SDA'!$G$4:$G$53,'SDA'!$A$4:$A$53,A37,'SDA'!$D$4:$D$53,"C")&gt;0,"C",IF(SUMIFS('SDA'!$G$4:$G$53,'SDA'!$A$4:$A$53,A37,'SDA'!$D$4:$D$53,"B")&gt;0,"B",IF(SUMIFS('SDA'!$G$4:$G$53,'SDA'!$A$4:$A$53,A37,'SDA'!$D$4:$D$53,"A")&gt;0,"A","")))))</f>
        <v/>
      </c>
      <c r="M37" s="4" t="n"/>
      <c r="N37" s="4" t="n"/>
      <c r="O37" s="17">
        <f>IF(A37="","",IF(L37="A",2.5,IF(L37="B",0.3,IF(L37="C",0.1,IF(L37="D",0.05,"")))))</f>
        <v/>
      </c>
      <c r="P37" s="27" t="n"/>
      <c r="Q37" s="17">
        <f>IF(A37="","",SUMIFS('BMP'!$AD$4:$AD$53,'BMP'!$B$4:$B$53,A37))</f>
        <v/>
      </c>
      <c r="R37" s="17">
        <f>IF(A37="","",Q37*10)</f>
        <v/>
      </c>
      <c r="S37" s="17">
        <f>IF(A37="","",SUMIFS('BMP'!$AE$4:$AE$53,'BMP'!$B$4:$B$53,A37))</f>
        <v/>
      </c>
      <c r="T37" s="17">
        <f>IF(A37="","",S37*20)</f>
        <v/>
      </c>
      <c r="U37" s="17">
        <f>IF(A37="","",SUMIFS('BMP'!$AF$4:$AF$53,'BMP'!$B$4:$B$53,A37)+SUMIFS('BMP'!$AG$4:$AG$53,'BMP'!$B$4:$B$53,A37))</f>
        <v/>
      </c>
      <c r="V37" s="28">
        <f>IF(A37="","",U37*40)</f>
        <v/>
      </c>
      <c r="W37" s="4" t="n"/>
      <c r="X37" s="4" t="n"/>
      <c r="Y37" s="17">
        <f>IF(A37="","",SUMIFS('BMP'!$N$4:$N$53,'BMP'!$B$4:$B$53,A37,'BMP'!$D$4:$D$53,"Bioretention")+SUMIFS('BMP'!$N$4:$N$53,'BMP'!$B$4:$B$53,A37,'BMP'!$D$4:$D$53,"Dry Swale"))</f>
        <v/>
      </c>
      <c r="Z37" s="4" t="n"/>
      <c r="AA37" s="17">
        <f>IF(A37="","",SUMIFS('BMP'!$F$4:$F$53,'BMP'!$B$4:$B$53,A37,'BMP'!$D$4:$D$53,"Permeable Pavement"))</f>
        <v/>
      </c>
      <c r="AB37" s="27" t="n"/>
      <c r="AC37" s="17">
        <f>IF(A37="","",SUMIFS('CDA'!$E$4:$E$53,'CDA'!$B$4:$B$53,A37))</f>
        <v/>
      </c>
      <c r="AD37" s="17">
        <f>IF(A37="","",SUMIFS('CDA'!$F$4:$F$53,'CDA'!$B$4:$B$53,A37))</f>
        <v/>
      </c>
      <c r="AE37" s="17">
        <f>IF(A37="","",IF(AC37=0,0,AC37*1.7/12*AP37))</f>
        <v/>
      </c>
      <c r="AF37" s="17">
        <f>IF(A37="","",IF(AD37=0,0,AD37*1.7/12*AQ37))</f>
        <v/>
      </c>
      <c r="AG37" s="17">
        <f>IF(A37="","",SUMIFS('BMP'!$W$4:$W$53,'BMP'!$B$4:$B$53,A37,'BMP'!$D$4:$D$53,"Bioretention")+SUMIFS('BMP'!$W$4:$W$53,'BMP'!$B$4:$B$53,A37,'BMP'!$D$4:$D$53,"Dry Swale"))</f>
        <v/>
      </c>
      <c r="AH37" s="17">
        <f>IF(A37="","",SUMIFS('BMP'!$K$4:$K$53,'BMP'!$B$4:$B$53,A37,'BMP'!$D$4:$D$53,"Permeable Pavement"))</f>
        <v/>
      </c>
      <c r="AI37" s="17">
        <f>IF(A37="","",SUMIFS('BMP'!$AA$4:$AA$53,'BMP'!$B$4:$B$53,A37,'BMP'!$D$4:$D$53,"Wet Swale"))</f>
        <v/>
      </c>
      <c r="AJ37" s="17">
        <f>IF(A37="","",SUMIFS('BMP'!$AB$4:$AB$53,'BMP'!$B$4:$B$53,A37))</f>
        <v/>
      </c>
      <c r="AK37" s="17">
        <f>IF(A37="","",SUMIFS('BMP'!$AC$4:$AC$53,'BMP'!$B$4:$B$53,A37))</f>
        <v/>
      </c>
      <c r="AL37" s="17">
        <f>IF(A37="","",(IF((AE37)&lt;(AG37+AH37+AI37),(AE37),(AG37+AH37+AI37)))+AJ37*5+AK37*10+R37+T37+V37)</f>
        <v/>
      </c>
      <c r="AM37" s="28">
        <f>IF(A37="","",AL37-J37)</f>
        <v/>
      </c>
      <c r="AP37" s="17">
        <f>IF(A37="","",IF(E37=0,"",(B37*0.95+C37*0.25+D37*0)/E37))</f>
        <v/>
      </c>
      <c r="AQ37" s="17">
        <f>IF(A37="","",IF(I37=0,"",(F37*0.95+G37*0.25+H37*0)/I37))</f>
        <v/>
      </c>
    </row>
    <row r="38" ht="16.25" customHeight="1">
      <c r="A38" s="17">
        <f>IF('SDA'!A84="","",'SDA'!A84)</f>
        <v/>
      </c>
      <c r="B38" s="17">
        <f>IF(A38="","",'SDA'!F84)</f>
        <v/>
      </c>
      <c r="C38" s="17">
        <f>IF(A38="","",'SDA'!G84)</f>
        <v/>
      </c>
      <c r="D38" s="17">
        <f>IF(A38="","",'SDA'!H84)</f>
        <v/>
      </c>
      <c r="E38" s="17">
        <f>IF(A38="","",SUM(B38:D38))</f>
        <v/>
      </c>
      <c r="F38" s="17">
        <f>IF(A38="","",SUMIFS('SDA'!$H$4:$H$53,'SDA'!$A$4:$A$53,A38,'SDA'!$C$4:$C$53,"Impervious Vehicular")+SUMIFS('SDA'!$H$4:$H$53,'SDA'!$A$4:$A$53,A38,'SDA'!$C$4:$C$53,"Impervious Non-Vehicular"))</f>
        <v/>
      </c>
      <c r="G38" s="17">
        <f>IF(A38="","",SUMIFS('SDA'!$H$4:$H$53,'SDA'!$A$4:$A$53,A38,'SDA'!$C$4:$C$53,"Compacted (Open Space)"))</f>
        <v/>
      </c>
      <c r="H38" s="17">
        <f>IF(A38="","",SUMIFS('SDA'!$H$4:$H$53,'SDA'!$A$4:$A$53,A38,'SDA'!$C$4:$C$53,"Natural (Woods)"))</f>
        <v/>
      </c>
      <c r="I38" s="17">
        <f>IF(A38="","",SUM(F38:H38))</f>
        <v/>
      </c>
      <c r="J38" s="17">
        <f>IF(A38="","",IF(E38=0,0,AP38*1.2/12*E38))</f>
        <v/>
      </c>
      <c r="K38" s="28">
        <f>IF(A38="","",IF(I38=0,0,AQ38*1.2/12*I38))</f>
        <v/>
      </c>
      <c r="L38" s="17">
        <f>IF(A38="","",IF(SUMIFS('SDA'!$G$4:$G$53,'SDA'!$A$4:$A$53,A38,'SDA'!$D$4:$D$53,"D")&gt;0,"D",IF(SUMIFS('SDA'!$G$4:$G$53,'SDA'!$A$4:$A$53,A38,'SDA'!$D$4:$D$53,"C")&gt;0,"C",IF(SUMIFS('SDA'!$G$4:$G$53,'SDA'!$A$4:$A$53,A38,'SDA'!$D$4:$D$53,"B")&gt;0,"B",IF(SUMIFS('SDA'!$G$4:$G$53,'SDA'!$A$4:$A$53,A38,'SDA'!$D$4:$D$53,"A")&gt;0,"A","")))))</f>
        <v/>
      </c>
      <c r="M38" s="4" t="n"/>
      <c r="N38" s="4" t="n"/>
      <c r="O38" s="17">
        <f>IF(A38="","",IF(L38="A",2.5,IF(L38="B",0.3,IF(L38="C",0.1,IF(L38="D",0.05,"")))))</f>
        <v/>
      </c>
      <c r="P38" s="27" t="n"/>
      <c r="Q38" s="17">
        <f>IF(A38="","",SUMIFS('BMP'!$AD$4:$AD$53,'BMP'!$B$4:$B$53,A38))</f>
        <v/>
      </c>
      <c r="R38" s="17">
        <f>IF(A38="","",Q38*10)</f>
        <v/>
      </c>
      <c r="S38" s="17">
        <f>IF(A38="","",SUMIFS('BMP'!$AE$4:$AE$53,'BMP'!$B$4:$B$53,A38))</f>
        <v/>
      </c>
      <c r="T38" s="17">
        <f>IF(A38="","",S38*20)</f>
        <v/>
      </c>
      <c r="U38" s="17">
        <f>IF(A38="","",SUMIFS('BMP'!$AF$4:$AF$53,'BMP'!$B$4:$B$53,A38)+SUMIFS('BMP'!$AG$4:$AG$53,'BMP'!$B$4:$B$53,A38))</f>
        <v/>
      </c>
      <c r="V38" s="28">
        <f>IF(A38="","",U38*40)</f>
        <v/>
      </c>
      <c r="W38" s="4" t="n"/>
      <c r="X38" s="4" t="n"/>
      <c r="Y38" s="17">
        <f>IF(A38="","",SUMIFS('BMP'!$N$4:$N$53,'BMP'!$B$4:$B$53,A38,'BMP'!$D$4:$D$53,"Bioretention")+SUMIFS('BMP'!$N$4:$N$53,'BMP'!$B$4:$B$53,A38,'BMP'!$D$4:$D$53,"Dry Swale"))</f>
        <v/>
      </c>
      <c r="Z38" s="4" t="n"/>
      <c r="AA38" s="17">
        <f>IF(A38="","",SUMIFS('BMP'!$F$4:$F$53,'BMP'!$B$4:$B$53,A38,'BMP'!$D$4:$D$53,"Permeable Pavement"))</f>
        <v/>
      </c>
      <c r="AB38" s="27" t="n"/>
      <c r="AC38" s="17">
        <f>IF(A38="","",SUMIFS('CDA'!$E$4:$E$53,'CDA'!$B$4:$B$53,A38))</f>
        <v/>
      </c>
      <c r="AD38" s="17">
        <f>IF(A38="","",SUMIFS('CDA'!$F$4:$F$53,'CDA'!$B$4:$B$53,A38))</f>
        <v/>
      </c>
      <c r="AE38" s="17">
        <f>IF(A38="","",IF(AC38=0,0,AC38*1.7/12*AP38))</f>
        <v/>
      </c>
      <c r="AF38" s="17">
        <f>IF(A38="","",IF(AD38=0,0,AD38*1.7/12*AQ38))</f>
        <v/>
      </c>
      <c r="AG38" s="17">
        <f>IF(A38="","",SUMIFS('BMP'!$W$4:$W$53,'BMP'!$B$4:$B$53,A38,'BMP'!$D$4:$D$53,"Bioretention")+SUMIFS('BMP'!$W$4:$W$53,'BMP'!$B$4:$B$53,A38,'BMP'!$D$4:$D$53,"Dry Swale"))</f>
        <v/>
      </c>
      <c r="AH38" s="17">
        <f>IF(A38="","",SUMIFS('BMP'!$K$4:$K$53,'BMP'!$B$4:$B$53,A38,'BMP'!$D$4:$D$53,"Permeable Pavement"))</f>
        <v/>
      </c>
      <c r="AI38" s="17">
        <f>IF(A38="","",SUMIFS('BMP'!$AA$4:$AA$53,'BMP'!$B$4:$B$53,A38,'BMP'!$D$4:$D$53,"Wet Swale"))</f>
        <v/>
      </c>
      <c r="AJ38" s="17">
        <f>IF(A38="","",SUMIFS('BMP'!$AB$4:$AB$53,'BMP'!$B$4:$B$53,A38))</f>
        <v/>
      </c>
      <c r="AK38" s="17">
        <f>IF(A38="","",SUMIFS('BMP'!$AC$4:$AC$53,'BMP'!$B$4:$B$53,A38))</f>
        <v/>
      </c>
      <c r="AL38" s="17">
        <f>IF(A38="","",(IF((AE38)&lt;(AG38+AH38+AI38),(AE38),(AG38+AH38+AI38)))+AJ38*5+AK38*10+R38+T38+V38)</f>
        <v/>
      </c>
      <c r="AM38" s="28">
        <f>IF(A38="","",AL38-J38)</f>
        <v/>
      </c>
      <c r="AP38" s="17">
        <f>IF(A38="","",IF(E38=0,"",(B38*0.95+C38*0.25+D38*0)/E38))</f>
        <v/>
      </c>
      <c r="AQ38" s="17">
        <f>IF(A38="","",IF(I38=0,"",(F38*0.95+G38*0.25+H38*0)/I38))</f>
        <v/>
      </c>
    </row>
    <row r="39" ht="16.25" customHeight="1">
      <c r="A39" s="17">
        <f>IF('SDA'!A85="","",'SDA'!A85)</f>
        <v/>
      </c>
      <c r="B39" s="17">
        <f>IF(A39="","",'SDA'!F85)</f>
        <v/>
      </c>
      <c r="C39" s="17">
        <f>IF(A39="","",'SDA'!G85)</f>
        <v/>
      </c>
      <c r="D39" s="17">
        <f>IF(A39="","",'SDA'!H85)</f>
        <v/>
      </c>
      <c r="E39" s="17">
        <f>IF(A39="","",SUM(B39:D39))</f>
        <v/>
      </c>
      <c r="F39" s="17">
        <f>IF(A39="","",SUMIFS('SDA'!$H$4:$H$53,'SDA'!$A$4:$A$53,A39,'SDA'!$C$4:$C$53,"Impervious Vehicular")+SUMIFS('SDA'!$H$4:$H$53,'SDA'!$A$4:$A$53,A39,'SDA'!$C$4:$C$53,"Impervious Non-Vehicular"))</f>
        <v/>
      </c>
      <c r="G39" s="17">
        <f>IF(A39="","",SUMIFS('SDA'!$H$4:$H$53,'SDA'!$A$4:$A$53,A39,'SDA'!$C$4:$C$53,"Compacted (Open Space)"))</f>
        <v/>
      </c>
      <c r="H39" s="17">
        <f>IF(A39="","",SUMIFS('SDA'!$H$4:$H$53,'SDA'!$A$4:$A$53,A39,'SDA'!$C$4:$C$53,"Natural (Woods)"))</f>
        <v/>
      </c>
      <c r="I39" s="17">
        <f>IF(A39="","",SUM(F39:H39))</f>
        <v/>
      </c>
      <c r="J39" s="17">
        <f>IF(A39="","",IF(E39=0,0,AP39*1.2/12*E39))</f>
        <v/>
      </c>
      <c r="K39" s="28">
        <f>IF(A39="","",IF(I39=0,0,AQ39*1.2/12*I39))</f>
        <v/>
      </c>
      <c r="L39" s="17">
        <f>IF(A39="","",IF(SUMIFS('SDA'!$G$4:$G$53,'SDA'!$A$4:$A$53,A39,'SDA'!$D$4:$D$53,"D")&gt;0,"D",IF(SUMIFS('SDA'!$G$4:$G$53,'SDA'!$A$4:$A$53,A39,'SDA'!$D$4:$D$53,"C")&gt;0,"C",IF(SUMIFS('SDA'!$G$4:$G$53,'SDA'!$A$4:$A$53,A39,'SDA'!$D$4:$D$53,"B")&gt;0,"B",IF(SUMIFS('SDA'!$G$4:$G$53,'SDA'!$A$4:$A$53,A39,'SDA'!$D$4:$D$53,"A")&gt;0,"A","")))))</f>
        <v/>
      </c>
      <c r="M39" s="4" t="n"/>
      <c r="N39" s="4" t="n"/>
      <c r="O39" s="17">
        <f>IF(A39="","",IF(L39="A",2.5,IF(L39="B",0.3,IF(L39="C",0.1,IF(L39="D",0.05,"")))))</f>
        <v/>
      </c>
      <c r="P39" s="27" t="n"/>
      <c r="Q39" s="17">
        <f>IF(A39="","",SUMIFS('BMP'!$AD$4:$AD$53,'BMP'!$B$4:$B$53,A39))</f>
        <v/>
      </c>
      <c r="R39" s="17">
        <f>IF(A39="","",Q39*10)</f>
        <v/>
      </c>
      <c r="S39" s="17">
        <f>IF(A39="","",SUMIFS('BMP'!$AE$4:$AE$53,'BMP'!$B$4:$B$53,A39))</f>
        <v/>
      </c>
      <c r="T39" s="17">
        <f>IF(A39="","",S39*20)</f>
        <v/>
      </c>
      <c r="U39" s="17">
        <f>IF(A39="","",SUMIFS('BMP'!$AF$4:$AF$53,'BMP'!$B$4:$B$53,A39)+SUMIFS('BMP'!$AG$4:$AG$53,'BMP'!$B$4:$B$53,A39))</f>
        <v/>
      </c>
      <c r="V39" s="28">
        <f>IF(A39="","",U39*40)</f>
        <v/>
      </c>
      <c r="W39" s="4" t="n"/>
      <c r="X39" s="4" t="n"/>
      <c r="Y39" s="17">
        <f>IF(A39="","",SUMIFS('BMP'!$N$4:$N$53,'BMP'!$B$4:$B$53,A39,'BMP'!$D$4:$D$53,"Bioretention")+SUMIFS('BMP'!$N$4:$N$53,'BMP'!$B$4:$B$53,A39,'BMP'!$D$4:$D$53,"Dry Swale"))</f>
        <v/>
      </c>
      <c r="Z39" s="4" t="n"/>
      <c r="AA39" s="17">
        <f>IF(A39="","",SUMIFS('BMP'!$F$4:$F$53,'BMP'!$B$4:$B$53,A39,'BMP'!$D$4:$D$53,"Permeable Pavement"))</f>
        <v/>
      </c>
      <c r="AB39" s="27" t="n"/>
      <c r="AC39" s="17">
        <f>IF(A39="","",SUMIFS('CDA'!$E$4:$E$53,'CDA'!$B$4:$B$53,A39))</f>
        <v/>
      </c>
      <c r="AD39" s="17">
        <f>IF(A39="","",SUMIFS('CDA'!$F$4:$F$53,'CDA'!$B$4:$B$53,A39))</f>
        <v/>
      </c>
      <c r="AE39" s="17">
        <f>IF(A39="","",IF(AC39=0,0,AC39*1.7/12*AP39))</f>
        <v/>
      </c>
      <c r="AF39" s="17">
        <f>IF(A39="","",IF(AD39=0,0,AD39*1.7/12*AQ39))</f>
        <v/>
      </c>
      <c r="AG39" s="17">
        <f>IF(A39="","",SUMIFS('BMP'!$W$4:$W$53,'BMP'!$B$4:$B$53,A39,'BMP'!$D$4:$D$53,"Bioretention")+SUMIFS('BMP'!$W$4:$W$53,'BMP'!$B$4:$B$53,A39,'BMP'!$D$4:$D$53,"Dry Swale"))</f>
        <v/>
      </c>
      <c r="AH39" s="17">
        <f>IF(A39="","",SUMIFS('BMP'!$K$4:$K$53,'BMP'!$B$4:$B$53,A39,'BMP'!$D$4:$D$53,"Permeable Pavement"))</f>
        <v/>
      </c>
      <c r="AI39" s="17">
        <f>IF(A39="","",SUMIFS('BMP'!$AA$4:$AA$53,'BMP'!$B$4:$B$53,A39,'BMP'!$D$4:$D$53,"Wet Swale"))</f>
        <v/>
      </c>
      <c r="AJ39" s="17">
        <f>IF(A39="","",SUMIFS('BMP'!$AB$4:$AB$53,'BMP'!$B$4:$B$53,A39))</f>
        <v/>
      </c>
      <c r="AK39" s="17">
        <f>IF(A39="","",SUMIFS('BMP'!$AC$4:$AC$53,'BMP'!$B$4:$B$53,A39))</f>
        <v/>
      </c>
      <c r="AL39" s="17">
        <f>IF(A39="","",(IF((AE39)&lt;(AG39+AH39+AI39),(AE39),(AG39+AH39+AI39)))+AJ39*5+AK39*10+R39+T39+V39)</f>
        <v/>
      </c>
      <c r="AM39" s="28">
        <f>IF(A39="","",AL39-J39)</f>
        <v/>
      </c>
      <c r="AP39" s="17">
        <f>IF(A39="","",IF(E39=0,"",(B39*0.95+C39*0.25+D39*0)/E39))</f>
        <v/>
      </c>
      <c r="AQ39" s="17">
        <f>IF(A39="","",IF(I39=0,"",(F39*0.95+G39*0.25+H39*0)/I39))</f>
        <v/>
      </c>
    </row>
    <row r="40" ht="16.25" customHeight="1">
      <c r="A40" s="17">
        <f>IF('SDA'!A86="","",'SDA'!A86)</f>
        <v/>
      </c>
      <c r="B40" s="17">
        <f>IF(A40="","",'SDA'!F86)</f>
        <v/>
      </c>
      <c r="C40" s="17">
        <f>IF(A40="","",'SDA'!G86)</f>
        <v/>
      </c>
      <c r="D40" s="17">
        <f>IF(A40="","",'SDA'!H86)</f>
        <v/>
      </c>
      <c r="E40" s="17">
        <f>IF(A40="","",SUM(B40:D40))</f>
        <v/>
      </c>
      <c r="F40" s="17">
        <f>IF(A40="","",SUMIFS('SDA'!$H$4:$H$53,'SDA'!$A$4:$A$53,A40,'SDA'!$C$4:$C$53,"Impervious Vehicular")+SUMIFS('SDA'!$H$4:$H$53,'SDA'!$A$4:$A$53,A40,'SDA'!$C$4:$C$53,"Impervious Non-Vehicular"))</f>
        <v/>
      </c>
      <c r="G40" s="17">
        <f>IF(A40="","",SUMIFS('SDA'!$H$4:$H$53,'SDA'!$A$4:$A$53,A40,'SDA'!$C$4:$C$53,"Compacted (Open Space)"))</f>
        <v/>
      </c>
      <c r="H40" s="17">
        <f>IF(A40="","",SUMIFS('SDA'!$H$4:$H$53,'SDA'!$A$4:$A$53,A40,'SDA'!$C$4:$C$53,"Natural (Woods)"))</f>
        <v/>
      </c>
      <c r="I40" s="17">
        <f>IF(A40="","",SUM(F40:H40))</f>
        <v/>
      </c>
      <c r="J40" s="17">
        <f>IF(A40="","",IF(E40=0,0,AP40*1.2/12*E40))</f>
        <v/>
      </c>
      <c r="K40" s="28">
        <f>IF(A40="","",IF(I40=0,0,AQ40*1.2/12*I40))</f>
        <v/>
      </c>
      <c r="L40" s="17">
        <f>IF(A40="","",IF(SUMIFS('SDA'!$G$4:$G$53,'SDA'!$A$4:$A$53,A40,'SDA'!$D$4:$D$53,"D")&gt;0,"D",IF(SUMIFS('SDA'!$G$4:$G$53,'SDA'!$A$4:$A$53,A40,'SDA'!$D$4:$D$53,"C")&gt;0,"C",IF(SUMIFS('SDA'!$G$4:$G$53,'SDA'!$A$4:$A$53,A40,'SDA'!$D$4:$D$53,"B")&gt;0,"B",IF(SUMIFS('SDA'!$G$4:$G$53,'SDA'!$A$4:$A$53,A40,'SDA'!$D$4:$D$53,"A")&gt;0,"A","")))))</f>
        <v/>
      </c>
      <c r="M40" s="4" t="n"/>
      <c r="N40" s="4" t="n"/>
      <c r="O40" s="17">
        <f>IF(A40="","",IF(L40="A",2.5,IF(L40="B",0.3,IF(L40="C",0.1,IF(L40="D",0.05,"")))))</f>
        <v/>
      </c>
      <c r="P40" s="27" t="n"/>
      <c r="Q40" s="17">
        <f>IF(A40="","",SUMIFS('BMP'!$AD$4:$AD$53,'BMP'!$B$4:$B$53,A40))</f>
        <v/>
      </c>
      <c r="R40" s="17">
        <f>IF(A40="","",Q40*10)</f>
        <v/>
      </c>
      <c r="S40" s="17">
        <f>IF(A40="","",SUMIFS('BMP'!$AE$4:$AE$53,'BMP'!$B$4:$B$53,A40))</f>
        <v/>
      </c>
      <c r="T40" s="17">
        <f>IF(A40="","",S40*20)</f>
        <v/>
      </c>
      <c r="U40" s="17">
        <f>IF(A40="","",SUMIFS('BMP'!$AF$4:$AF$53,'BMP'!$B$4:$B$53,A40)+SUMIFS('BMP'!$AG$4:$AG$53,'BMP'!$B$4:$B$53,A40))</f>
        <v/>
      </c>
      <c r="V40" s="28">
        <f>IF(A40="","",U40*40)</f>
        <v/>
      </c>
      <c r="W40" s="4" t="n"/>
      <c r="X40" s="4" t="n"/>
      <c r="Y40" s="17">
        <f>IF(A40="","",SUMIFS('BMP'!$N$4:$N$53,'BMP'!$B$4:$B$53,A40,'BMP'!$D$4:$D$53,"Bioretention")+SUMIFS('BMP'!$N$4:$N$53,'BMP'!$B$4:$B$53,A40,'BMP'!$D$4:$D$53,"Dry Swale"))</f>
        <v/>
      </c>
      <c r="Z40" s="4" t="n"/>
      <c r="AA40" s="17">
        <f>IF(A40="","",SUMIFS('BMP'!$F$4:$F$53,'BMP'!$B$4:$B$53,A40,'BMP'!$D$4:$D$53,"Permeable Pavement"))</f>
        <v/>
      </c>
      <c r="AB40" s="27" t="n"/>
      <c r="AC40" s="17">
        <f>IF(A40="","",SUMIFS('CDA'!$E$4:$E$53,'CDA'!$B$4:$B$53,A40))</f>
        <v/>
      </c>
      <c r="AD40" s="17">
        <f>IF(A40="","",SUMIFS('CDA'!$F$4:$F$53,'CDA'!$B$4:$B$53,A40))</f>
        <v/>
      </c>
      <c r="AE40" s="17">
        <f>IF(A40="","",IF(AC40=0,0,AC40*1.7/12*AP40))</f>
        <v/>
      </c>
      <c r="AF40" s="17">
        <f>IF(A40="","",IF(AD40=0,0,AD40*1.7/12*AQ40))</f>
        <v/>
      </c>
      <c r="AG40" s="17">
        <f>IF(A40="","",SUMIFS('BMP'!$W$4:$W$53,'BMP'!$B$4:$B$53,A40,'BMP'!$D$4:$D$53,"Bioretention")+SUMIFS('BMP'!$W$4:$W$53,'BMP'!$B$4:$B$53,A40,'BMP'!$D$4:$D$53,"Dry Swale"))</f>
        <v/>
      </c>
      <c r="AH40" s="17">
        <f>IF(A40="","",SUMIFS('BMP'!$K$4:$K$53,'BMP'!$B$4:$B$53,A40,'BMP'!$D$4:$D$53,"Permeable Pavement"))</f>
        <v/>
      </c>
      <c r="AI40" s="17">
        <f>IF(A40="","",SUMIFS('BMP'!$AA$4:$AA$53,'BMP'!$B$4:$B$53,A40,'BMP'!$D$4:$D$53,"Wet Swale"))</f>
        <v/>
      </c>
      <c r="AJ40" s="17">
        <f>IF(A40="","",SUMIFS('BMP'!$AB$4:$AB$53,'BMP'!$B$4:$B$53,A40))</f>
        <v/>
      </c>
      <c r="AK40" s="17">
        <f>IF(A40="","",SUMIFS('BMP'!$AC$4:$AC$53,'BMP'!$B$4:$B$53,A40))</f>
        <v/>
      </c>
      <c r="AL40" s="17">
        <f>IF(A40="","",(IF((AE40)&lt;(AG40+AH40+AI40),(AE40),(AG40+AH40+AI40)))+AJ40*5+AK40*10+R40+T40+V40)</f>
        <v/>
      </c>
      <c r="AM40" s="28">
        <f>IF(A40="","",AL40-J40)</f>
        <v/>
      </c>
      <c r="AP40" s="17">
        <f>IF(A40="","",IF(E40=0,"",(B40*0.95+C40*0.25+D40*0)/E40))</f>
        <v/>
      </c>
      <c r="AQ40" s="17">
        <f>IF(A40="","",IF(I40=0,"",(F40*0.95+G40*0.25+H40*0)/I40))</f>
        <v/>
      </c>
    </row>
    <row r="41" ht="16.25" customHeight="1">
      <c r="A41" s="17">
        <f>IF('SDA'!A87="","",'SDA'!A87)</f>
        <v/>
      </c>
      <c r="B41" s="17">
        <f>IF(A41="","",'SDA'!F87)</f>
        <v/>
      </c>
      <c r="C41" s="17">
        <f>IF(A41="","",'SDA'!G87)</f>
        <v/>
      </c>
      <c r="D41" s="17">
        <f>IF(A41="","",'SDA'!H87)</f>
        <v/>
      </c>
      <c r="E41" s="17">
        <f>IF(A41="","",SUM(B41:D41))</f>
        <v/>
      </c>
      <c r="F41" s="17">
        <f>IF(A41="","",SUMIFS('SDA'!$H$4:$H$53,'SDA'!$A$4:$A$53,A41,'SDA'!$C$4:$C$53,"Impervious Vehicular")+SUMIFS('SDA'!$H$4:$H$53,'SDA'!$A$4:$A$53,A41,'SDA'!$C$4:$C$53,"Impervious Non-Vehicular"))</f>
        <v/>
      </c>
      <c r="G41" s="17">
        <f>IF(A41="","",SUMIFS('SDA'!$H$4:$H$53,'SDA'!$A$4:$A$53,A41,'SDA'!$C$4:$C$53,"Compacted (Open Space)"))</f>
        <v/>
      </c>
      <c r="H41" s="17">
        <f>IF(A41="","",SUMIFS('SDA'!$H$4:$H$53,'SDA'!$A$4:$A$53,A41,'SDA'!$C$4:$C$53,"Natural (Woods)"))</f>
        <v/>
      </c>
      <c r="I41" s="17">
        <f>IF(A41="","",SUM(F41:H41))</f>
        <v/>
      </c>
      <c r="J41" s="17">
        <f>IF(A41="","",IF(E41=0,0,AP41*1.2/12*E41))</f>
        <v/>
      </c>
      <c r="K41" s="28">
        <f>IF(A41="","",IF(I41=0,0,AQ41*1.2/12*I41))</f>
        <v/>
      </c>
      <c r="L41" s="17">
        <f>IF(A41="","",IF(SUMIFS('SDA'!$G$4:$G$53,'SDA'!$A$4:$A$53,A41,'SDA'!$D$4:$D$53,"D")&gt;0,"D",IF(SUMIFS('SDA'!$G$4:$G$53,'SDA'!$A$4:$A$53,A41,'SDA'!$D$4:$D$53,"C")&gt;0,"C",IF(SUMIFS('SDA'!$G$4:$G$53,'SDA'!$A$4:$A$53,A41,'SDA'!$D$4:$D$53,"B")&gt;0,"B",IF(SUMIFS('SDA'!$G$4:$G$53,'SDA'!$A$4:$A$53,A41,'SDA'!$D$4:$D$53,"A")&gt;0,"A","")))))</f>
        <v/>
      </c>
      <c r="M41" s="4" t="n"/>
      <c r="N41" s="4" t="n"/>
      <c r="O41" s="17">
        <f>IF(A41="","",IF(L41="A",2.5,IF(L41="B",0.3,IF(L41="C",0.1,IF(L41="D",0.05,"")))))</f>
        <v/>
      </c>
      <c r="P41" s="27" t="n"/>
      <c r="Q41" s="17">
        <f>IF(A41="","",SUMIFS('BMP'!$AD$4:$AD$53,'BMP'!$B$4:$B$53,A41))</f>
        <v/>
      </c>
      <c r="R41" s="17">
        <f>IF(A41="","",Q41*10)</f>
        <v/>
      </c>
      <c r="S41" s="17">
        <f>IF(A41="","",SUMIFS('BMP'!$AE$4:$AE$53,'BMP'!$B$4:$B$53,A41))</f>
        <v/>
      </c>
      <c r="T41" s="17">
        <f>IF(A41="","",S41*20)</f>
        <v/>
      </c>
      <c r="U41" s="17">
        <f>IF(A41="","",SUMIFS('BMP'!$AF$4:$AF$53,'BMP'!$B$4:$B$53,A41)+SUMIFS('BMP'!$AG$4:$AG$53,'BMP'!$B$4:$B$53,A41))</f>
        <v/>
      </c>
      <c r="V41" s="28">
        <f>IF(A41="","",U41*40)</f>
        <v/>
      </c>
      <c r="W41" s="4" t="n"/>
      <c r="X41" s="4" t="n"/>
      <c r="Y41" s="17">
        <f>IF(A41="","",SUMIFS('BMP'!$N$4:$N$53,'BMP'!$B$4:$B$53,A41,'BMP'!$D$4:$D$53,"Bioretention")+SUMIFS('BMP'!$N$4:$N$53,'BMP'!$B$4:$B$53,A41,'BMP'!$D$4:$D$53,"Dry Swale"))</f>
        <v/>
      </c>
      <c r="Z41" s="4" t="n"/>
      <c r="AA41" s="17">
        <f>IF(A41="","",SUMIFS('BMP'!$F$4:$F$53,'BMP'!$B$4:$B$53,A41,'BMP'!$D$4:$D$53,"Permeable Pavement"))</f>
        <v/>
      </c>
      <c r="AB41" s="27" t="n"/>
      <c r="AC41" s="17">
        <f>IF(A41="","",SUMIFS('CDA'!$E$4:$E$53,'CDA'!$B$4:$B$53,A41))</f>
        <v/>
      </c>
      <c r="AD41" s="17">
        <f>IF(A41="","",SUMIFS('CDA'!$F$4:$F$53,'CDA'!$B$4:$B$53,A41))</f>
        <v/>
      </c>
      <c r="AE41" s="17">
        <f>IF(A41="","",IF(AC41=0,0,AC41*1.7/12*AP41))</f>
        <v/>
      </c>
      <c r="AF41" s="17">
        <f>IF(A41="","",IF(AD41=0,0,AD41*1.7/12*AQ41))</f>
        <v/>
      </c>
      <c r="AG41" s="17">
        <f>IF(A41="","",SUMIFS('BMP'!$W$4:$W$53,'BMP'!$B$4:$B$53,A41,'BMP'!$D$4:$D$53,"Bioretention")+SUMIFS('BMP'!$W$4:$W$53,'BMP'!$B$4:$B$53,A41,'BMP'!$D$4:$D$53,"Dry Swale"))</f>
        <v/>
      </c>
      <c r="AH41" s="17">
        <f>IF(A41="","",SUMIFS('BMP'!$K$4:$K$53,'BMP'!$B$4:$B$53,A41,'BMP'!$D$4:$D$53,"Permeable Pavement"))</f>
        <v/>
      </c>
      <c r="AI41" s="17">
        <f>IF(A41="","",SUMIFS('BMP'!$AA$4:$AA$53,'BMP'!$B$4:$B$53,A41,'BMP'!$D$4:$D$53,"Wet Swale"))</f>
        <v/>
      </c>
      <c r="AJ41" s="17">
        <f>IF(A41="","",SUMIFS('BMP'!$AB$4:$AB$53,'BMP'!$B$4:$B$53,A41))</f>
        <v/>
      </c>
      <c r="AK41" s="17">
        <f>IF(A41="","",SUMIFS('BMP'!$AC$4:$AC$53,'BMP'!$B$4:$B$53,A41))</f>
        <v/>
      </c>
      <c r="AL41" s="17">
        <f>IF(A41="","",(IF((AE41)&lt;(AG41+AH41+AI41),(AE41),(AG41+AH41+AI41)))+AJ41*5+AK41*10+R41+T41+V41)</f>
        <v/>
      </c>
      <c r="AM41" s="28">
        <f>IF(A41="","",AL41-J41)</f>
        <v/>
      </c>
      <c r="AP41" s="17">
        <f>IF(A41="","",IF(E41=0,"",(B41*0.95+C41*0.25+D41*0)/E41))</f>
        <v/>
      </c>
      <c r="AQ41" s="17">
        <f>IF(A41="","",IF(I41=0,"",(F41*0.95+G41*0.25+H41*0)/I41))</f>
        <v/>
      </c>
    </row>
    <row r="42" ht="16.25" customHeight="1">
      <c r="A42" s="17">
        <f>IF('SDA'!A88="","",'SDA'!A88)</f>
        <v/>
      </c>
      <c r="B42" s="17">
        <f>IF(A42="","",'SDA'!F88)</f>
        <v/>
      </c>
      <c r="C42" s="17">
        <f>IF(A42="","",'SDA'!G88)</f>
        <v/>
      </c>
      <c r="D42" s="17">
        <f>IF(A42="","",'SDA'!H88)</f>
        <v/>
      </c>
      <c r="E42" s="17">
        <f>IF(A42="","",SUM(B42:D42))</f>
        <v/>
      </c>
      <c r="F42" s="17">
        <f>IF(A42="","",SUMIFS('SDA'!$H$4:$H$53,'SDA'!$A$4:$A$53,A42,'SDA'!$C$4:$C$53,"Impervious Vehicular")+SUMIFS('SDA'!$H$4:$H$53,'SDA'!$A$4:$A$53,A42,'SDA'!$C$4:$C$53,"Impervious Non-Vehicular"))</f>
        <v/>
      </c>
      <c r="G42" s="17">
        <f>IF(A42="","",SUMIFS('SDA'!$H$4:$H$53,'SDA'!$A$4:$A$53,A42,'SDA'!$C$4:$C$53,"Compacted (Open Space)"))</f>
        <v/>
      </c>
      <c r="H42" s="17">
        <f>IF(A42="","",SUMIFS('SDA'!$H$4:$H$53,'SDA'!$A$4:$A$53,A42,'SDA'!$C$4:$C$53,"Natural (Woods)"))</f>
        <v/>
      </c>
      <c r="I42" s="17">
        <f>IF(A42="","",SUM(F42:H42))</f>
        <v/>
      </c>
      <c r="J42" s="17">
        <f>IF(A42="","",IF(E42=0,0,AP42*1.2/12*E42))</f>
        <v/>
      </c>
      <c r="K42" s="28">
        <f>IF(A42="","",IF(I42=0,0,AQ42*1.2/12*I42))</f>
        <v/>
      </c>
      <c r="L42" s="17">
        <f>IF(A42="","",IF(SUMIFS('SDA'!$G$4:$G$53,'SDA'!$A$4:$A$53,A42,'SDA'!$D$4:$D$53,"D")&gt;0,"D",IF(SUMIFS('SDA'!$G$4:$G$53,'SDA'!$A$4:$A$53,A42,'SDA'!$D$4:$D$53,"C")&gt;0,"C",IF(SUMIFS('SDA'!$G$4:$G$53,'SDA'!$A$4:$A$53,A42,'SDA'!$D$4:$D$53,"B")&gt;0,"B",IF(SUMIFS('SDA'!$G$4:$G$53,'SDA'!$A$4:$A$53,A42,'SDA'!$D$4:$D$53,"A")&gt;0,"A","")))))</f>
        <v/>
      </c>
      <c r="M42" s="4" t="n"/>
      <c r="N42" s="4" t="n"/>
      <c r="O42" s="17">
        <f>IF(A42="","",IF(L42="A",2.5,IF(L42="B",0.3,IF(L42="C",0.1,IF(L42="D",0.05,"")))))</f>
        <v/>
      </c>
      <c r="P42" s="27" t="n"/>
      <c r="Q42" s="17">
        <f>IF(A42="","",SUMIFS('BMP'!$AD$4:$AD$53,'BMP'!$B$4:$B$53,A42))</f>
        <v/>
      </c>
      <c r="R42" s="17">
        <f>IF(A42="","",Q42*10)</f>
        <v/>
      </c>
      <c r="S42" s="17">
        <f>IF(A42="","",SUMIFS('BMP'!$AE$4:$AE$53,'BMP'!$B$4:$B$53,A42))</f>
        <v/>
      </c>
      <c r="T42" s="17">
        <f>IF(A42="","",S42*20)</f>
        <v/>
      </c>
      <c r="U42" s="17">
        <f>IF(A42="","",SUMIFS('BMP'!$AF$4:$AF$53,'BMP'!$B$4:$B$53,A42)+SUMIFS('BMP'!$AG$4:$AG$53,'BMP'!$B$4:$B$53,A42))</f>
        <v/>
      </c>
      <c r="V42" s="28">
        <f>IF(A42="","",U42*40)</f>
        <v/>
      </c>
      <c r="W42" s="4" t="n"/>
      <c r="X42" s="4" t="n"/>
      <c r="Y42" s="17">
        <f>IF(A42="","",SUMIFS('BMP'!$N$4:$N$53,'BMP'!$B$4:$B$53,A42,'BMP'!$D$4:$D$53,"Bioretention")+SUMIFS('BMP'!$N$4:$N$53,'BMP'!$B$4:$B$53,A42,'BMP'!$D$4:$D$53,"Dry Swale"))</f>
        <v/>
      </c>
      <c r="Z42" s="4" t="n"/>
      <c r="AA42" s="17">
        <f>IF(A42="","",SUMIFS('BMP'!$F$4:$F$53,'BMP'!$B$4:$B$53,A42,'BMP'!$D$4:$D$53,"Permeable Pavement"))</f>
        <v/>
      </c>
      <c r="AB42" s="27" t="n"/>
      <c r="AC42" s="17">
        <f>IF(A42="","",SUMIFS('CDA'!$E$4:$E$53,'CDA'!$B$4:$B$53,A42))</f>
        <v/>
      </c>
      <c r="AD42" s="17">
        <f>IF(A42="","",SUMIFS('CDA'!$F$4:$F$53,'CDA'!$B$4:$B$53,A42))</f>
        <v/>
      </c>
      <c r="AE42" s="17">
        <f>IF(A42="","",IF(AC42=0,0,AC42*1.7/12*AP42))</f>
        <v/>
      </c>
      <c r="AF42" s="17">
        <f>IF(A42="","",IF(AD42=0,0,AD42*1.7/12*AQ42))</f>
        <v/>
      </c>
      <c r="AG42" s="17">
        <f>IF(A42="","",SUMIFS('BMP'!$W$4:$W$53,'BMP'!$B$4:$B$53,A42,'BMP'!$D$4:$D$53,"Bioretention")+SUMIFS('BMP'!$W$4:$W$53,'BMP'!$B$4:$B$53,A42,'BMP'!$D$4:$D$53,"Dry Swale"))</f>
        <v/>
      </c>
      <c r="AH42" s="17">
        <f>IF(A42="","",SUMIFS('BMP'!$K$4:$K$53,'BMP'!$B$4:$B$53,A42,'BMP'!$D$4:$D$53,"Permeable Pavement"))</f>
        <v/>
      </c>
      <c r="AI42" s="17">
        <f>IF(A42="","",SUMIFS('BMP'!$AA$4:$AA$53,'BMP'!$B$4:$B$53,A42,'BMP'!$D$4:$D$53,"Wet Swale"))</f>
        <v/>
      </c>
      <c r="AJ42" s="17">
        <f>IF(A42="","",SUMIFS('BMP'!$AB$4:$AB$53,'BMP'!$B$4:$B$53,A42))</f>
        <v/>
      </c>
      <c r="AK42" s="17">
        <f>IF(A42="","",SUMIFS('BMP'!$AC$4:$AC$53,'BMP'!$B$4:$B$53,A42))</f>
        <v/>
      </c>
      <c r="AL42" s="17">
        <f>IF(A42="","",(IF((AE42)&lt;(AG42+AH42+AI42),(AE42),(AG42+AH42+AI42)))+AJ42*5+AK42*10+R42+T42+V42)</f>
        <v/>
      </c>
      <c r="AM42" s="28">
        <f>IF(A42="","",AL42-J42)</f>
        <v/>
      </c>
      <c r="AP42" s="17">
        <f>IF(A42="","",IF(E42=0,"",(B42*0.95+C42*0.25+D42*0)/E42))</f>
        <v/>
      </c>
      <c r="AQ42" s="17">
        <f>IF(A42="","",IF(I42=0,"",(F42*0.95+G42*0.25+H42*0)/I42))</f>
        <v/>
      </c>
    </row>
    <row r="43" ht="16.25" customHeight="1">
      <c r="A43" s="17">
        <f>IF('SDA'!A89="","",'SDA'!A89)</f>
        <v/>
      </c>
      <c r="B43" s="17">
        <f>IF(A43="","",'SDA'!F89)</f>
        <v/>
      </c>
      <c r="C43" s="17">
        <f>IF(A43="","",'SDA'!G89)</f>
        <v/>
      </c>
      <c r="D43" s="17">
        <f>IF(A43="","",'SDA'!H89)</f>
        <v/>
      </c>
      <c r="E43" s="17">
        <f>IF(A43="","",SUM(B43:D43))</f>
        <v/>
      </c>
      <c r="F43" s="17">
        <f>IF(A43="","",SUMIFS('SDA'!$H$4:$H$53,'SDA'!$A$4:$A$53,A43,'SDA'!$C$4:$C$53,"Impervious Vehicular")+SUMIFS('SDA'!$H$4:$H$53,'SDA'!$A$4:$A$53,A43,'SDA'!$C$4:$C$53,"Impervious Non-Vehicular"))</f>
        <v/>
      </c>
      <c r="G43" s="17">
        <f>IF(A43="","",SUMIFS('SDA'!$H$4:$H$53,'SDA'!$A$4:$A$53,A43,'SDA'!$C$4:$C$53,"Compacted (Open Space)"))</f>
        <v/>
      </c>
      <c r="H43" s="17">
        <f>IF(A43="","",SUMIFS('SDA'!$H$4:$H$53,'SDA'!$A$4:$A$53,A43,'SDA'!$C$4:$C$53,"Natural (Woods)"))</f>
        <v/>
      </c>
      <c r="I43" s="17">
        <f>IF(A43="","",SUM(F43:H43))</f>
        <v/>
      </c>
      <c r="J43" s="17">
        <f>IF(A43="","",IF(E43=0,0,AP43*1.2/12*E43))</f>
        <v/>
      </c>
      <c r="K43" s="28">
        <f>IF(A43="","",IF(I43=0,0,AQ43*1.2/12*I43))</f>
        <v/>
      </c>
      <c r="L43" s="17">
        <f>IF(A43="","",IF(SUMIFS('SDA'!$G$4:$G$53,'SDA'!$A$4:$A$53,A43,'SDA'!$D$4:$D$53,"D")&gt;0,"D",IF(SUMIFS('SDA'!$G$4:$G$53,'SDA'!$A$4:$A$53,A43,'SDA'!$D$4:$D$53,"C")&gt;0,"C",IF(SUMIFS('SDA'!$G$4:$G$53,'SDA'!$A$4:$A$53,A43,'SDA'!$D$4:$D$53,"B")&gt;0,"B",IF(SUMIFS('SDA'!$G$4:$G$53,'SDA'!$A$4:$A$53,A43,'SDA'!$D$4:$D$53,"A")&gt;0,"A","")))))</f>
        <v/>
      </c>
      <c r="M43" s="4" t="n"/>
      <c r="N43" s="4" t="n"/>
      <c r="O43" s="17">
        <f>IF(A43="","",IF(L43="A",2.5,IF(L43="B",0.3,IF(L43="C",0.1,IF(L43="D",0.05,"")))))</f>
        <v/>
      </c>
      <c r="P43" s="27" t="n"/>
      <c r="Q43" s="17">
        <f>IF(A43="","",SUMIFS('BMP'!$AD$4:$AD$53,'BMP'!$B$4:$B$53,A43))</f>
        <v/>
      </c>
      <c r="R43" s="17">
        <f>IF(A43="","",Q43*10)</f>
        <v/>
      </c>
      <c r="S43" s="17">
        <f>IF(A43="","",SUMIFS('BMP'!$AE$4:$AE$53,'BMP'!$B$4:$B$53,A43))</f>
        <v/>
      </c>
      <c r="T43" s="17">
        <f>IF(A43="","",S43*20)</f>
        <v/>
      </c>
      <c r="U43" s="17">
        <f>IF(A43="","",SUMIFS('BMP'!$AF$4:$AF$53,'BMP'!$B$4:$B$53,A43)+SUMIFS('BMP'!$AG$4:$AG$53,'BMP'!$B$4:$B$53,A43))</f>
        <v/>
      </c>
      <c r="V43" s="28">
        <f>IF(A43="","",U43*40)</f>
        <v/>
      </c>
      <c r="W43" s="4" t="n"/>
      <c r="X43" s="4" t="n"/>
      <c r="Y43" s="17">
        <f>IF(A43="","",SUMIFS('BMP'!$N$4:$N$53,'BMP'!$B$4:$B$53,A43,'BMP'!$D$4:$D$53,"Bioretention")+SUMIFS('BMP'!$N$4:$N$53,'BMP'!$B$4:$B$53,A43,'BMP'!$D$4:$D$53,"Dry Swale"))</f>
        <v/>
      </c>
      <c r="Z43" s="4" t="n"/>
      <c r="AA43" s="17">
        <f>IF(A43="","",SUMIFS('BMP'!$F$4:$F$53,'BMP'!$B$4:$B$53,A43,'BMP'!$D$4:$D$53,"Permeable Pavement"))</f>
        <v/>
      </c>
      <c r="AB43" s="27" t="n"/>
      <c r="AC43" s="17">
        <f>IF(A43="","",SUMIFS('CDA'!$E$4:$E$53,'CDA'!$B$4:$B$53,A43))</f>
        <v/>
      </c>
      <c r="AD43" s="17">
        <f>IF(A43="","",SUMIFS('CDA'!$F$4:$F$53,'CDA'!$B$4:$B$53,A43))</f>
        <v/>
      </c>
      <c r="AE43" s="17">
        <f>IF(A43="","",IF(AC43=0,0,AC43*1.7/12*AP43))</f>
        <v/>
      </c>
      <c r="AF43" s="17">
        <f>IF(A43="","",IF(AD43=0,0,AD43*1.7/12*AQ43))</f>
        <v/>
      </c>
      <c r="AG43" s="17">
        <f>IF(A43="","",SUMIFS('BMP'!$W$4:$W$53,'BMP'!$B$4:$B$53,A43,'BMP'!$D$4:$D$53,"Bioretention")+SUMIFS('BMP'!$W$4:$W$53,'BMP'!$B$4:$B$53,A43,'BMP'!$D$4:$D$53,"Dry Swale"))</f>
        <v/>
      </c>
      <c r="AH43" s="17">
        <f>IF(A43="","",SUMIFS('BMP'!$K$4:$K$53,'BMP'!$B$4:$B$53,A43,'BMP'!$D$4:$D$53,"Permeable Pavement"))</f>
        <v/>
      </c>
      <c r="AI43" s="17">
        <f>IF(A43="","",SUMIFS('BMP'!$AA$4:$AA$53,'BMP'!$B$4:$B$53,A43,'BMP'!$D$4:$D$53,"Wet Swale"))</f>
        <v/>
      </c>
      <c r="AJ43" s="17">
        <f>IF(A43="","",SUMIFS('BMP'!$AB$4:$AB$53,'BMP'!$B$4:$B$53,A43))</f>
        <v/>
      </c>
      <c r="AK43" s="17">
        <f>IF(A43="","",SUMIFS('BMP'!$AC$4:$AC$53,'BMP'!$B$4:$B$53,A43))</f>
        <v/>
      </c>
      <c r="AL43" s="17">
        <f>IF(A43="","",(IF((AE43)&lt;(AG43+AH43+AI43),(AE43),(AG43+AH43+AI43)))+AJ43*5+AK43*10+R43+T43+V43)</f>
        <v/>
      </c>
      <c r="AM43" s="28">
        <f>IF(A43="","",AL43-J43)</f>
        <v/>
      </c>
      <c r="AP43" s="17">
        <f>IF(A43="","",IF(E43=0,"",(B43*0.95+C43*0.25+D43*0)/E43))</f>
        <v/>
      </c>
      <c r="AQ43" s="17">
        <f>IF(A43="","",IF(I43=0,"",(F43*0.95+G43*0.25+H43*0)/I43))</f>
        <v/>
      </c>
    </row>
    <row r="44" ht="16.25" customHeight="1">
      <c r="A44" s="17">
        <f>IF('SDA'!A90="","",'SDA'!A90)</f>
        <v/>
      </c>
      <c r="B44" s="17">
        <f>IF(A44="","",'SDA'!F90)</f>
        <v/>
      </c>
      <c r="C44" s="17">
        <f>IF(A44="","",'SDA'!G90)</f>
        <v/>
      </c>
      <c r="D44" s="17">
        <f>IF(A44="","",'SDA'!H90)</f>
        <v/>
      </c>
      <c r="E44" s="17">
        <f>IF(A44="","",SUM(B44:D44))</f>
        <v/>
      </c>
      <c r="F44" s="17">
        <f>IF(A44="","",SUMIFS('SDA'!$H$4:$H$53,'SDA'!$A$4:$A$53,A44,'SDA'!$C$4:$C$53,"Impervious Vehicular")+SUMIFS('SDA'!$H$4:$H$53,'SDA'!$A$4:$A$53,A44,'SDA'!$C$4:$C$53,"Impervious Non-Vehicular"))</f>
        <v/>
      </c>
      <c r="G44" s="17">
        <f>IF(A44="","",SUMIFS('SDA'!$H$4:$H$53,'SDA'!$A$4:$A$53,A44,'SDA'!$C$4:$C$53,"Compacted (Open Space)"))</f>
        <v/>
      </c>
      <c r="H44" s="17">
        <f>IF(A44="","",SUMIFS('SDA'!$H$4:$H$53,'SDA'!$A$4:$A$53,A44,'SDA'!$C$4:$C$53,"Natural (Woods)"))</f>
        <v/>
      </c>
      <c r="I44" s="17">
        <f>IF(A44="","",SUM(F44:H44))</f>
        <v/>
      </c>
      <c r="J44" s="17">
        <f>IF(A44="","",IF(E44=0,0,AP44*1.2/12*E44))</f>
        <v/>
      </c>
      <c r="K44" s="28">
        <f>IF(A44="","",IF(I44=0,0,AQ44*1.2/12*I44))</f>
        <v/>
      </c>
      <c r="L44" s="17">
        <f>IF(A44="","",IF(SUMIFS('SDA'!$G$4:$G$53,'SDA'!$A$4:$A$53,A44,'SDA'!$D$4:$D$53,"D")&gt;0,"D",IF(SUMIFS('SDA'!$G$4:$G$53,'SDA'!$A$4:$A$53,A44,'SDA'!$D$4:$D$53,"C")&gt;0,"C",IF(SUMIFS('SDA'!$G$4:$G$53,'SDA'!$A$4:$A$53,A44,'SDA'!$D$4:$D$53,"B")&gt;0,"B",IF(SUMIFS('SDA'!$G$4:$G$53,'SDA'!$A$4:$A$53,A44,'SDA'!$D$4:$D$53,"A")&gt;0,"A","")))))</f>
        <v/>
      </c>
      <c r="M44" s="4" t="n"/>
      <c r="N44" s="4" t="n"/>
      <c r="O44" s="17">
        <f>IF(A44="","",IF(L44="A",2.5,IF(L44="B",0.3,IF(L44="C",0.1,IF(L44="D",0.05,"")))))</f>
        <v/>
      </c>
      <c r="P44" s="27" t="n"/>
      <c r="Q44" s="17">
        <f>IF(A44="","",SUMIFS('BMP'!$AD$4:$AD$53,'BMP'!$B$4:$B$53,A44))</f>
        <v/>
      </c>
      <c r="R44" s="17">
        <f>IF(A44="","",Q44*10)</f>
        <v/>
      </c>
      <c r="S44" s="17">
        <f>IF(A44="","",SUMIFS('BMP'!$AE$4:$AE$53,'BMP'!$B$4:$B$53,A44))</f>
        <v/>
      </c>
      <c r="T44" s="17">
        <f>IF(A44="","",S44*20)</f>
        <v/>
      </c>
      <c r="U44" s="17">
        <f>IF(A44="","",SUMIFS('BMP'!$AF$4:$AF$53,'BMP'!$B$4:$B$53,A44)+SUMIFS('BMP'!$AG$4:$AG$53,'BMP'!$B$4:$B$53,A44))</f>
        <v/>
      </c>
      <c r="V44" s="28">
        <f>IF(A44="","",U44*40)</f>
        <v/>
      </c>
      <c r="W44" s="4" t="n"/>
      <c r="X44" s="4" t="n"/>
      <c r="Y44" s="17">
        <f>IF(A44="","",SUMIFS('BMP'!$N$4:$N$53,'BMP'!$B$4:$B$53,A44,'BMP'!$D$4:$D$53,"Bioretention")+SUMIFS('BMP'!$N$4:$N$53,'BMP'!$B$4:$B$53,A44,'BMP'!$D$4:$D$53,"Dry Swale"))</f>
        <v/>
      </c>
      <c r="Z44" s="4" t="n"/>
      <c r="AA44" s="17">
        <f>IF(A44="","",SUMIFS('BMP'!$F$4:$F$53,'BMP'!$B$4:$B$53,A44,'BMP'!$D$4:$D$53,"Permeable Pavement"))</f>
        <v/>
      </c>
      <c r="AB44" s="27" t="n"/>
      <c r="AC44" s="17">
        <f>IF(A44="","",SUMIFS('CDA'!$E$4:$E$53,'CDA'!$B$4:$B$53,A44))</f>
        <v/>
      </c>
      <c r="AD44" s="17">
        <f>IF(A44="","",SUMIFS('CDA'!$F$4:$F$53,'CDA'!$B$4:$B$53,A44))</f>
        <v/>
      </c>
      <c r="AE44" s="17">
        <f>IF(A44="","",IF(AC44=0,0,AC44*1.7/12*AP44))</f>
        <v/>
      </c>
      <c r="AF44" s="17">
        <f>IF(A44="","",IF(AD44=0,0,AD44*1.7/12*AQ44))</f>
        <v/>
      </c>
      <c r="AG44" s="17">
        <f>IF(A44="","",SUMIFS('BMP'!$W$4:$W$53,'BMP'!$B$4:$B$53,A44,'BMP'!$D$4:$D$53,"Bioretention")+SUMIFS('BMP'!$W$4:$W$53,'BMP'!$B$4:$B$53,A44,'BMP'!$D$4:$D$53,"Dry Swale"))</f>
        <v/>
      </c>
      <c r="AH44" s="17">
        <f>IF(A44="","",SUMIFS('BMP'!$K$4:$K$53,'BMP'!$B$4:$B$53,A44,'BMP'!$D$4:$D$53,"Permeable Pavement"))</f>
        <v/>
      </c>
      <c r="AI44" s="17">
        <f>IF(A44="","",SUMIFS('BMP'!$AA$4:$AA$53,'BMP'!$B$4:$B$53,A44,'BMP'!$D$4:$D$53,"Wet Swale"))</f>
        <v/>
      </c>
      <c r="AJ44" s="17">
        <f>IF(A44="","",SUMIFS('BMP'!$AB$4:$AB$53,'BMP'!$B$4:$B$53,A44))</f>
        <v/>
      </c>
      <c r="AK44" s="17">
        <f>IF(A44="","",SUMIFS('BMP'!$AC$4:$AC$53,'BMP'!$B$4:$B$53,A44))</f>
        <v/>
      </c>
      <c r="AL44" s="17">
        <f>IF(A44="","",(IF((AE44)&lt;(AG44+AH44+AI44),(AE44),(AG44+AH44+AI44)))+AJ44*5+AK44*10+R44+T44+V44)</f>
        <v/>
      </c>
      <c r="AM44" s="28">
        <f>IF(A44="","",AL44-J44)</f>
        <v/>
      </c>
      <c r="AP44" s="17">
        <f>IF(A44="","",IF(E44=0,"",(B44*0.95+C44*0.25+D44*0)/E44))</f>
        <v/>
      </c>
      <c r="AQ44" s="17">
        <f>IF(A44="","",IF(I44=0,"",(F44*0.95+G44*0.25+H44*0)/I44))</f>
        <v/>
      </c>
    </row>
    <row r="45" ht="16.25" customHeight="1">
      <c r="D45" s="3" t="inlineStr">
        <is>
          <t>DATOTAL</t>
        </is>
      </c>
      <c r="E45" s="48">
        <f>SUM(E12:E44)</f>
        <v/>
      </c>
      <c r="I45" s="48">
        <f>SUM(I12:I44)</f>
        <v/>
      </c>
      <c r="J45" s="48">
        <f>SUM(J12:J44)</f>
        <v/>
      </c>
      <c r="K45" s="49">
        <f>SUM(K12:K44)</f>
        <v/>
      </c>
      <c r="P45" s="32" t="n"/>
      <c r="Q45" s="48">
        <f>SUM(Q12:Q44)</f>
        <v/>
      </c>
      <c r="R45" s="48">
        <f>SUM(R12:R44)</f>
        <v/>
      </c>
      <c r="S45" s="48">
        <f>SUM(S12:S44)</f>
        <v/>
      </c>
      <c r="T45" s="48">
        <f>SUM(T12:T44)</f>
        <v/>
      </c>
      <c r="U45" s="48">
        <f>SUM(U12:U44)</f>
        <v/>
      </c>
      <c r="V45" s="49">
        <f>SUM(V12:V44)</f>
        <v/>
      </c>
      <c r="AB45" s="32" t="n"/>
      <c r="AL45" s="48">
        <f>SUM(AL12:AL44)</f>
        <v/>
      </c>
      <c r="AM45" s="49">
        <f>SUM(AM12:AM44)</f>
        <v/>
      </c>
    </row>
  </sheetData>
  <mergeCells count="35">
    <mergeCell ref="B2:G2"/>
    <mergeCell ref="L7:P7"/>
    <mergeCell ref="AC7:AM7"/>
    <mergeCell ref="P9:P10"/>
    <mergeCell ref="AG9:AG10"/>
    <mergeCell ref="AI9:AI10"/>
    <mergeCell ref="AK9:AK10"/>
    <mergeCell ref="AM9:AM10"/>
    <mergeCell ref="Y9:Z9"/>
    <mergeCell ref="AP9:AQ9"/>
    <mergeCell ref="J9:K9"/>
    <mergeCell ref="W7:AB7"/>
    <mergeCell ref="AA9:AB9"/>
    <mergeCell ref="L3:V3"/>
    <mergeCell ref="AH9:AH10"/>
    <mergeCell ref="B7:K7"/>
    <mergeCell ref="D1:G1"/>
    <mergeCell ref="L9:L10"/>
    <mergeCell ref="L4:V4"/>
    <mergeCell ref="N9:N10"/>
    <mergeCell ref="T1:U1"/>
    <mergeCell ref="Q7:V7"/>
    <mergeCell ref="Q9:V10"/>
    <mergeCell ref="Y1:AB1"/>
    <mergeCell ref="I1:J1"/>
    <mergeCell ref="W9:X9"/>
    <mergeCell ref="B9:I9"/>
    <mergeCell ref="AC9:AD9"/>
    <mergeCell ref="AE9:AF9"/>
    <mergeCell ref="AF1:AG1"/>
    <mergeCell ref="A9:A10"/>
    <mergeCell ref="M9:M10"/>
    <mergeCell ref="AJ9:AJ10"/>
    <mergeCell ref="O9:O10"/>
    <mergeCell ref="AL9:AL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showGridLines="0" workbookViewId="0">
      <selection activeCell="A1" sqref="A1"/>
    </sheetView>
  </sheetViews>
  <sheetFormatPr baseColWidth="8" defaultRowHeight="15"/>
  <cols>
    <col width="26" customWidth="1" min="1" max="1"/>
    <col width="8" customWidth="1" min="2" max="2"/>
    <col width="12" customWidth="1" min="3" max="3"/>
    <col width="15" customWidth="1" min="4" max="4"/>
    <col width="15" customWidth="1" min="5" max="5"/>
    <col width="15" customWidth="1" min="6" max="6"/>
    <col width="15" customWidth="1" min="7" max="7"/>
  </cols>
  <sheetData>
    <row r="1" ht="24" customHeight="1">
      <c r="A1" s="50" t="inlineStr">
        <is>
          <t>EISA Section 438 — Direct Determination (Horton infiltration)</t>
        </is>
      </c>
      <c r="B1" s="51" t="n"/>
      <c r="C1" s="51" t="n"/>
      <c r="D1" s="51" t="n"/>
      <c r="E1" s="51" t="n"/>
      <c r="F1" s="51" t="n"/>
      <c r="G1" s="52" t="n"/>
    </row>
    <row r="3">
      <c r="A3" s="53" t="inlineStr">
        <is>
          <t>Project References</t>
        </is>
      </c>
      <c r="B3" s="54" t="n"/>
      <c r="C3" s="54" t="n"/>
      <c r="D3" s="54" t="n"/>
      <c r="E3" s="54" t="n"/>
      <c r="F3" s="54" t="n"/>
      <c r="G3" s="55" t="n"/>
    </row>
    <row r="4">
      <c r="A4" s="10" t="inlineStr">
        <is>
          <t>Project Name</t>
        </is>
      </c>
      <c r="B4" s="17">
        <f>PROJECT_Name</f>
        <v/>
      </c>
    </row>
    <row r="5">
      <c r="A5" s="10" t="inlineStr">
        <is>
          <t>95th % Storm (in)</t>
        </is>
      </c>
      <c r="B5" s="17">
        <f>PROJECT_Rainfall</f>
        <v/>
      </c>
    </row>
    <row r="6">
      <c r="A6" s="10" t="inlineStr">
        <is>
          <t>Total LOD (SF)</t>
        </is>
      </c>
      <c r="B6" s="17">
        <f>PROJECT_TotalLOD</f>
        <v/>
      </c>
    </row>
    <row r="8">
      <c r="A8" s="53" t="inlineStr">
        <is>
          <t>Horton Parameters (from PARAMS)</t>
        </is>
      </c>
      <c r="B8" s="54" t="n"/>
      <c r="C8" s="54" t="n"/>
      <c r="D8" s="54" t="n"/>
      <c r="E8" s="54" t="n"/>
      <c r="F8" s="54" t="n"/>
      <c r="G8" s="55" t="n"/>
    </row>
    <row r="9">
      <c r="A9" s="10" t="inlineStr">
        <is>
          <t>f_max (in/hr)</t>
        </is>
      </c>
      <c r="B9" s="17">
        <f>INDEX(PARAMS_Horton,1,2)</f>
        <v/>
      </c>
      <c r="C9" s="17">
        <f>INDEX(PARAMS_Horton,1,3)</f>
        <v/>
      </c>
    </row>
    <row r="10">
      <c r="A10" s="10" t="inlineStr">
        <is>
          <t>f_min (in/hr)</t>
        </is>
      </c>
      <c r="B10" s="17">
        <f>INDEX(PARAMS_Horton,2,2)</f>
        <v/>
      </c>
      <c r="C10" s="17">
        <f>INDEX(PARAMS_Horton,2,3)</f>
        <v/>
      </c>
    </row>
    <row r="11">
      <c r="A11" s="10" t="inlineStr">
        <is>
          <t>k (1/hr)</t>
        </is>
      </c>
      <c r="B11" s="17">
        <f>INDEX(PARAMS_Horton,3,2)</f>
        <v/>
      </c>
      <c r="C11" s="17">
        <f>INDEX(PARAMS_Horton,3,3)</f>
        <v/>
      </c>
    </row>
    <row r="12">
      <c r="A12" s="10" t="inlineStr">
        <is>
          <t>Δt (hr)</t>
        </is>
      </c>
      <c r="B12" s="17">
        <f>INDEX(PARAMS_Horton,4,2)</f>
        <v/>
      </c>
      <c r="C12" s="17">
        <f>INDEX(PARAMS_Horton,4,3)</f>
        <v/>
      </c>
    </row>
    <row r="13">
      <c r="A13" s="10" t="inlineStr">
        <is>
          <t>Horton Infil Loss 24hr (in)</t>
        </is>
      </c>
      <c r="B13" s="17">
        <f>PARAMS_HortonLossB</f>
        <v/>
      </c>
      <c r="C13" s="17">
        <f>PARAMS_HortonLossC</f>
        <v/>
      </c>
    </row>
    <row r="15">
      <c r="A15" s="16" t="inlineStr">
        <is>
          <t>Pre-Construction Runoff (from SDA pre totals)</t>
        </is>
      </c>
      <c r="B15" s="56" t="n"/>
      <c r="C15" s="56" t="n"/>
      <c r="D15" s="56" t="n"/>
      <c r="E15" s="56" t="n"/>
      <c r="F15" s="56" t="n"/>
      <c r="G15" s="57" t="n"/>
    </row>
    <row r="16">
      <c r="A16" s="46" t="inlineStr">
        <is>
          <t>Surface</t>
        </is>
      </c>
      <c r="B16" s="46" t="inlineStr">
        <is>
          <t>HSG</t>
        </is>
      </c>
      <c r="C16" s="46" t="inlineStr">
        <is>
          <t>Area (SF)</t>
        </is>
      </c>
      <c r="D16" s="46" t="inlineStr">
        <is>
          <t>Runoff HSG B (in)</t>
        </is>
      </c>
      <c r="E16" s="46" t="inlineStr">
        <is>
          <t>Runoff HSG C (in)</t>
        </is>
      </c>
      <c r="F16" s="46" t="inlineStr">
        <is>
          <t>Vol HSG B (CF)</t>
        </is>
      </c>
      <c r="G16" s="46" t="inlineStr">
        <is>
          <t>Vol HSG C (CF)</t>
        </is>
      </c>
    </row>
    <row r="17">
      <c r="A17" s="10" t="inlineStr">
        <is>
          <t>Impervious Vehicular</t>
        </is>
      </c>
      <c r="B17" s="10" t="inlineStr">
        <is>
          <t>—</t>
        </is>
      </c>
      <c r="C17" s="17">
        <f>SUMIFS('SDA'!$E$4:$E$53,'SDA'!$C$4:$C$53,"Impervious Vehicular")</f>
        <v/>
      </c>
      <c r="D17" s="17">
        <f>PROJECT_Rainfall-0.1</f>
        <v/>
      </c>
      <c r="E17" s="17">
        <f>PROJECT_Rainfall-0.1</f>
        <v/>
      </c>
      <c r="F17" s="17">
        <f>IFERROR(C17*D17/12,0)</f>
        <v/>
      </c>
      <c r="G17" s="17">
        <f>IFERROR(C17*E17/12,0)</f>
        <v/>
      </c>
    </row>
    <row r="18">
      <c r="A18" s="10" t="inlineStr">
        <is>
          <t>Impervious Non-Vehicular</t>
        </is>
      </c>
      <c r="B18" s="10" t="inlineStr">
        <is>
          <t>—</t>
        </is>
      </c>
      <c r="C18" s="17">
        <f>SUMIFS('SDA'!$E$4:$E$53,'SDA'!$C$4:$C$53,"Impervious Non-Vehicular")</f>
        <v/>
      </c>
      <c r="D18" s="17">
        <f>PROJECT_Rainfall-0.1</f>
        <v/>
      </c>
      <c r="E18" s="17">
        <f>PROJECT_Rainfall-0.1</f>
        <v/>
      </c>
      <c r="F18" s="17">
        <f>IFERROR(C18*D18/12,0)</f>
        <v/>
      </c>
      <c r="G18" s="17">
        <f>IFERROR(C18*E18/12,0)</f>
        <v/>
      </c>
    </row>
    <row r="19">
      <c r="A19" s="10" t="inlineStr">
        <is>
          <t>BMP</t>
        </is>
      </c>
      <c r="B19" s="10" t="inlineStr">
        <is>
          <t>—</t>
        </is>
      </c>
      <c r="C19" s="17">
        <f>SUMIFS('SDA'!$E$4:$E$53,'SDA'!$C$4:$C$53,"BMP")</f>
        <v/>
      </c>
      <c r="D19" s="17">
        <f>PROJECT_Rainfall-0.1</f>
        <v/>
      </c>
      <c r="E19" s="17">
        <f>PROJECT_Rainfall-0.1</f>
        <v/>
      </c>
      <c r="F19" s="17">
        <f>IFERROR(C19*D19/12,0)</f>
        <v/>
      </c>
      <c r="G19" s="17">
        <f>IFERROR(C19*E19/12,0)</f>
        <v/>
      </c>
    </row>
    <row r="20">
      <c r="A20" s="10" t="inlineStr">
        <is>
          <t>Natural (Woods)</t>
        </is>
      </c>
      <c r="B20" s="10" t="inlineStr">
        <is>
          <t>A</t>
        </is>
      </c>
      <c r="C20" s="17">
        <f>SUMIFS('SDA'!$E$4:$E$53,'SDA'!$C$4:$C$53,"Natural (Woods)",'SDA'!$D$4:$D$53,"A")</f>
        <v/>
      </c>
      <c r="D20" s="17">
        <f>0</f>
        <v/>
      </c>
      <c r="E20" s="17">
        <f>0</f>
        <v/>
      </c>
      <c r="F20" s="17">
        <f>IFERROR(C20*D20/12,0)</f>
        <v/>
      </c>
      <c r="G20" s="17">
        <f>IFERROR(C20*E20/12,0)</f>
        <v/>
      </c>
    </row>
    <row r="21">
      <c r="A21" s="10" t="inlineStr">
        <is>
          <t>Natural (Woods)</t>
        </is>
      </c>
      <c r="B21" s="10" t="inlineStr">
        <is>
          <t>B</t>
        </is>
      </c>
      <c r="C21" s="17">
        <f>SUMIFS('SDA'!$E$4:$E$53,'SDA'!$C$4:$C$53,"Natural (Woods)",'SDA'!$D$4:$D$53,"B")</f>
        <v/>
      </c>
      <c r="D21" s="17">
        <f>MAX(0,PROJECT_Rainfall-0.2-PARAMS_HortonLossB)</f>
        <v/>
      </c>
      <c r="E21" s="17">
        <f>MAX(0,PROJECT_Rainfall-0.2-PARAMS_HortonLossC)</f>
        <v/>
      </c>
      <c r="F21" s="17">
        <f>IFERROR(C21*D21/12,0)</f>
        <v/>
      </c>
      <c r="G21" s="17">
        <f>IFERROR(C21*E21/12,0)</f>
        <v/>
      </c>
    </row>
    <row r="22">
      <c r="A22" s="10" t="inlineStr">
        <is>
          <t>Natural (Woods)</t>
        </is>
      </c>
      <c r="B22" s="10" t="inlineStr">
        <is>
          <t>C</t>
        </is>
      </c>
      <c r="C22" s="17">
        <f>SUMIFS('SDA'!$E$4:$E$53,'SDA'!$C$4:$C$53,"Natural (Woods)",'SDA'!$D$4:$D$53,"C")</f>
        <v/>
      </c>
      <c r="D22" s="17">
        <f>MAX(0,PROJECT_Rainfall-0.2-PARAMS_HortonLossB)</f>
        <v/>
      </c>
      <c r="E22" s="17">
        <f>MAX(0,PROJECT_Rainfall-0.2-PARAMS_HortonLossC)</f>
        <v/>
      </c>
      <c r="F22" s="17">
        <f>IFERROR(C22*D22/12,0)</f>
        <v/>
      </c>
      <c r="G22" s="17">
        <f>IFERROR(C22*E22/12,0)</f>
        <v/>
      </c>
    </row>
    <row r="23">
      <c r="A23" s="10" t="inlineStr">
        <is>
          <t>Natural (Woods)</t>
        </is>
      </c>
      <c r="B23" s="10" t="inlineStr">
        <is>
          <t>D</t>
        </is>
      </c>
      <c r="C23" s="17">
        <f>SUMIFS('SDA'!$E$4:$E$53,'SDA'!$C$4:$C$53,"Natural (Woods)",'SDA'!$D$4:$D$53,"D")</f>
        <v/>
      </c>
      <c r="D23" s="17">
        <f>MAX(0,PROJECT_Rainfall-0.2)</f>
        <v/>
      </c>
      <c r="E23" s="17">
        <f>MAX(0,PROJECT_Rainfall-0.2)</f>
        <v/>
      </c>
      <c r="F23" s="17">
        <f>IFERROR(C23*D23/12,0)</f>
        <v/>
      </c>
      <c r="G23" s="17">
        <f>IFERROR(C23*E23/12,0)</f>
        <v/>
      </c>
    </row>
    <row r="24">
      <c r="A24" s="10" t="inlineStr">
        <is>
          <t>Compacted (Open Space)</t>
        </is>
      </c>
      <c r="B24" s="10" t="inlineStr">
        <is>
          <t>A</t>
        </is>
      </c>
      <c r="C24" s="17">
        <f>SUMIFS('SDA'!$E$4:$E$53,'SDA'!$C$4:$C$53,"Compacted (Open Space)",'SDA'!$D$4:$D$53,"A")</f>
        <v/>
      </c>
      <c r="D24" s="17">
        <f>0</f>
        <v/>
      </c>
      <c r="E24" s="17">
        <f>0</f>
        <v/>
      </c>
      <c r="F24" s="17">
        <f>IFERROR(C24*D24/12,0)</f>
        <v/>
      </c>
      <c r="G24" s="17">
        <f>IFERROR(C24*E24/12,0)</f>
        <v/>
      </c>
    </row>
    <row r="25">
      <c r="A25" s="10" t="inlineStr">
        <is>
          <t>Compacted (Open Space)</t>
        </is>
      </c>
      <c r="B25" s="10" t="inlineStr">
        <is>
          <t>B</t>
        </is>
      </c>
      <c r="C25" s="17">
        <f>SUMIFS('SDA'!$E$4:$E$53,'SDA'!$C$4:$C$53,"Compacted (Open Space)",'SDA'!$D$4:$D$53,"B")</f>
        <v/>
      </c>
      <c r="D25" s="17">
        <f>MAX(0,PROJECT_Rainfall-0.2-PARAMS_HortonLossB)</f>
        <v/>
      </c>
      <c r="E25" s="17">
        <f>MAX(0,PROJECT_Rainfall-0.2-PARAMS_HortonLossC)</f>
        <v/>
      </c>
      <c r="F25" s="17">
        <f>IFERROR(C25*D25/12,0)</f>
        <v/>
      </c>
      <c r="G25" s="17">
        <f>IFERROR(C25*E25/12,0)</f>
        <v/>
      </c>
    </row>
    <row r="26">
      <c r="A26" s="10" t="inlineStr">
        <is>
          <t>Compacted (Open Space)</t>
        </is>
      </c>
      <c r="B26" s="10" t="inlineStr">
        <is>
          <t>C</t>
        </is>
      </c>
      <c r="C26" s="17">
        <f>SUMIFS('SDA'!$E$4:$E$53,'SDA'!$C$4:$C$53,"Compacted (Open Space)",'SDA'!$D$4:$D$53,"C")</f>
        <v/>
      </c>
      <c r="D26" s="17">
        <f>MAX(0,PROJECT_Rainfall-0.2-PARAMS_HortonLossB)</f>
        <v/>
      </c>
      <c r="E26" s="17">
        <f>MAX(0,PROJECT_Rainfall-0.2-PARAMS_HortonLossC)</f>
        <v/>
      </c>
      <c r="F26" s="17">
        <f>IFERROR(C26*D26/12,0)</f>
        <v/>
      </c>
      <c r="G26" s="17">
        <f>IFERROR(C26*E26/12,0)</f>
        <v/>
      </c>
    </row>
    <row r="27">
      <c r="A27" s="10" t="inlineStr">
        <is>
          <t>Compacted (Open Space)</t>
        </is>
      </c>
      <c r="B27" s="10" t="inlineStr">
        <is>
          <t>D</t>
        </is>
      </c>
      <c r="C27" s="17">
        <f>SUMIFS('SDA'!$E$4:$E$53,'SDA'!$C$4:$C$53,"Compacted (Open Space)",'SDA'!$D$4:$D$53,"D")</f>
        <v/>
      </c>
      <c r="D27" s="17">
        <f>MAX(0,PROJECT_Rainfall-0.2)</f>
        <v/>
      </c>
      <c r="E27" s="17">
        <f>MAX(0,PROJECT_Rainfall-0.2)</f>
        <v/>
      </c>
      <c r="F27" s="17">
        <f>IFERROR(C27*D27/12,0)</f>
        <v/>
      </c>
      <c r="G27" s="17">
        <f>IFERROR(C27*E27/12,0)</f>
        <v/>
      </c>
    </row>
    <row r="28">
      <c r="A28" s="16" t="inlineStr">
        <is>
          <t>TOTAL</t>
        </is>
      </c>
      <c r="B28" s="56" t="n"/>
      <c r="C28" s="56" t="n"/>
      <c r="D28" s="56" t="n"/>
      <c r="E28" s="57" t="n"/>
      <c r="F28" s="17">
        <f>SUM(F17:F27)</f>
        <v/>
      </c>
      <c r="G28" s="17">
        <f>SUM(G17:G27)</f>
        <v/>
      </c>
    </row>
    <row r="30">
      <c r="A30" s="16" t="inlineStr">
        <is>
          <t>Post-Construction Runoff (from SDA post totals)</t>
        </is>
      </c>
      <c r="B30" s="56" t="n"/>
      <c r="C30" s="56" t="n"/>
      <c r="D30" s="56" t="n"/>
      <c r="E30" s="56" t="n"/>
      <c r="F30" s="56" t="n"/>
      <c r="G30" s="57" t="n"/>
    </row>
    <row r="31">
      <c r="A31" s="46" t="inlineStr">
        <is>
          <t>Surface</t>
        </is>
      </c>
      <c r="B31" s="46" t="inlineStr">
        <is>
          <t>HSG</t>
        </is>
      </c>
      <c r="C31" s="46" t="inlineStr">
        <is>
          <t>Area (SF)</t>
        </is>
      </c>
      <c r="D31" s="46" t="inlineStr">
        <is>
          <t>Runoff HSG B (in)</t>
        </is>
      </c>
      <c r="E31" s="46" t="inlineStr">
        <is>
          <t>Runoff HSG C (in)</t>
        </is>
      </c>
      <c r="F31" s="46" t="inlineStr">
        <is>
          <t>Vol HSG B (CF)</t>
        </is>
      </c>
      <c r="G31" s="46" t="inlineStr">
        <is>
          <t>Vol HSG C (CF)</t>
        </is>
      </c>
    </row>
    <row r="32">
      <c r="A32" s="10" t="inlineStr">
        <is>
          <t>Impervious Vehicular</t>
        </is>
      </c>
      <c r="B32" s="10" t="inlineStr">
        <is>
          <t>—</t>
        </is>
      </c>
      <c r="C32" s="17">
        <f>SUMIFS('SDA'!$G$4:$G$53,'SDA'!$C$4:$C$53,"Impervious Vehicular")</f>
        <v/>
      </c>
      <c r="D32" s="17">
        <f>PROJECT_Rainfall-0.1</f>
        <v/>
      </c>
      <c r="E32" s="17">
        <f>PROJECT_Rainfall-0.1</f>
        <v/>
      </c>
      <c r="F32" s="17">
        <f>IFERROR(C32*D32/12,0)</f>
        <v/>
      </c>
      <c r="G32" s="17">
        <f>IFERROR(C32*E32/12,0)</f>
        <v/>
      </c>
    </row>
    <row r="33">
      <c r="A33" s="10" t="inlineStr">
        <is>
          <t>Impervious Non-Vehicular</t>
        </is>
      </c>
      <c r="B33" s="10" t="inlineStr">
        <is>
          <t>—</t>
        </is>
      </c>
      <c r="C33" s="17">
        <f>SUMIFS('SDA'!$G$4:$G$53,'SDA'!$C$4:$C$53,"Impervious Non-Vehicular")</f>
        <v/>
      </c>
      <c r="D33" s="17">
        <f>PROJECT_Rainfall-0.1</f>
        <v/>
      </c>
      <c r="E33" s="17">
        <f>PROJECT_Rainfall-0.1</f>
        <v/>
      </c>
      <c r="F33" s="17">
        <f>IFERROR(C33*D33/12,0)</f>
        <v/>
      </c>
      <c r="G33" s="17">
        <f>IFERROR(C33*E33/12,0)</f>
        <v/>
      </c>
    </row>
    <row r="34">
      <c r="A34" s="10" t="inlineStr">
        <is>
          <t>BMP</t>
        </is>
      </c>
      <c r="B34" s="10" t="inlineStr">
        <is>
          <t>—</t>
        </is>
      </c>
      <c r="C34" s="17">
        <f>SUMIFS('SDA'!$G$4:$G$53,'SDA'!$C$4:$C$53,"BMP")</f>
        <v/>
      </c>
      <c r="D34" s="17">
        <f>PROJECT_Rainfall-0.1</f>
        <v/>
      </c>
      <c r="E34" s="17">
        <f>PROJECT_Rainfall-0.1</f>
        <v/>
      </c>
      <c r="F34" s="17">
        <f>IFERROR(C34*D34/12,0)</f>
        <v/>
      </c>
      <c r="G34" s="17">
        <f>IFERROR(C34*E34/12,0)</f>
        <v/>
      </c>
    </row>
    <row r="35">
      <c r="A35" s="10" t="inlineStr">
        <is>
          <t>Natural (Woods)</t>
        </is>
      </c>
      <c r="B35" s="10" t="inlineStr">
        <is>
          <t>A</t>
        </is>
      </c>
      <c r="C35" s="17">
        <f>SUMIFS('SDA'!$G$4:$G$53,'SDA'!$C$4:$C$53,"Natural (Woods)",'SDA'!$D$4:$D$53,"A")</f>
        <v/>
      </c>
      <c r="D35" s="17">
        <f>0</f>
        <v/>
      </c>
      <c r="E35" s="17">
        <f>0</f>
        <v/>
      </c>
      <c r="F35" s="17">
        <f>IFERROR(C35*D35/12,0)</f>
        <v/>
      </c>
      <c r="G35" s="17">
        <f>IFERROR(C35*E35/12,0)</f>
        <v/>
      </c>
    </row>
    <row r="36">
      <c r="A36" s="10" t="inlineStr">
        <is>
          <t>Natural (Woods)</t>
        </is>
      </c>
      <c r="B36" s="10" t="inlineStr">
        <is>
          <t>B</t>
        </is>
      </c>
      <c r="C36" s="17">
        <f>SUMIFS('SDA'!$G$4:$G$53,'SDA'!$C$4:$C$53,"Natural (Woods)",'SDA'!$D$4:$D$53,"B")</f>
        <v/>
      </c>
      <c r="D36" s="17">
        <f>MAX(0,PROJECT_Rainfall-0.2-PARAMS_HortonLossB)</f>
        <v/>
      </c>
      <c r="E36" s="17">
        <f>MAX(0,PROJECT_Rainfall-0.2-PARAMS_HortonLossC)</f>
        <v/>
      </c>
      <c r="F36" s="17">
        <f>IFERROR(C36*D36/12,0)</f>
        <v/>
      </c>
      <c r="G36" s="17">
        <f>IFERROR(C36*E36/12,0)</f>
        <v/>
      </c>
    </row>
    <row r="37">
      <c r="A37" s="10" t="inlineStr">
        <is>
          <t>Natural (Woods)</t>
        </is>
      </c>
      <c r="B37" s="10" t="inlineStr">
        <is>
          <t>C</t>
        </is>
      </c>
      <c r="C37" s="17">
        <f>SUMIFS('SDA'!$G$4:$G$53,'SDA'!$C$4:$C$53,"Natural (Woods)",'SDA'!$D$4:$D$53,"C")</f>
        <v/>
      </c>
      <c r="D37" s="17">
        <f>MAX(0,PROJECT_Rainfall-0.2-PARAMS_HortonLossB)</f>
        <v/>
      </c>
      <c r="E37" s="17">
        <f>MAX(0,PROJECT_Rainfall-0.2-PARAMS_HortonLossC)</f>
        <v/>
      </c>
      <c r="F37" s="17">
        <f>IFERROR(C37*D37/12,0)</f>
        <v/>
      </c>
      <c r="G37" s="17">
        <f>IFERROR(C37*E37/12,0)</f>
        <v/>
      </c>
    </row>
    <row r="38">
      <c r="A38" s="10" t="inlineStr">
        <is>
          <t>Natural (Woods)</t>
        </is>
      </c>
      <c r="B38" s="10" t="inlineStr">
        <is>
          <t>D</t>
        </is>
      </c>
      <c r="C38" s="17">
        <f>SUMIFS('SDA'!$G$4:$G$53,'SDA'!$C$4:$C$53,"Natural (Woods)",'SDA'!$D$4:$D$53,"D")</f>
        <v/>
      </c>
      <c r="D38" s="17">
        <f>MAX(0,PROJECT_Rainfall-0.2)</f>
        <v/>
      </c>
      <c r="E38" s="17">
        <f>MAX(0,PROJECT_Rainfall-0.2)</f>
        <v/>
      </c>
      <c r="F38" s="17">
        <f>IFERROR(C38*D38/12,0)</f>
        <v/>
      </c>
      <c r="G38" s="17">
        <f>IFERROR(C38*E38/12,0)</f>
        <v/>
      </c>
    </row>
    <row r="39">
      <c r="A39" s="10" t="inlineStr">
        <is>
          <t>Compacted (Open Space)</t>
        </is>
      </c>
      <c r="B39" s="10" t="inlineStr">
        <is>
          <t>A</t>
        </is>
      </c>
      <c r="C39" s="17">
        <f>SUMIFS('SDA'!$G$4:$G$53,'SDA'!$C$4:$C$53,"Compacted (Open Space)",'SDA'!$D$4:$D$53,"A")</f>
        <v/>
      </c>
      <c r="D39" s="17">
        <f>0</f>
        <v/>
      </c>
      <c r="E39" s="17">
        <f>0</f>
        <v/>
      </c>
      <c r="F39" s="17">
        <f>IFERROR(C39*D39/12,0)</f>
        <v/>
      </c>
      <c r="G39" s="17">
        <f>IFERROR(C39*E39/12,0)</f>
        <v/>
      </c>
    </row>
    <row r="40">
      <c r="A40" s="10" t="inlineStr">
        <is>
          <t>Compacted (Open Space)</t>
        </is>
      </c>
      <c r="B40" s="10" t="inlineStr">
        <is>
          <t>B</t>
        </is>
      </c>
      <c r="C40" s="17">
        <f>SUMIFS('SDA'!$G$4:$G$53,'SDA'!$C$4:$C$53,"Compacted (Open Space)",'SDA'!$D$4:$D$53,"B")</f>
        <v/>
      </c>
      <c r="D40" s="17">
        <f>MAX(0,PROJECT_Rainfall-0.2-PARAMS_HortonLossB)</f>
        <v/>
      </c>
      <c r="E40" s="17">
        <f>MAX(0,PROJECT_Rainfall-0.2-PARAMS_HortonLossC)</f>
        <v/>
      </c>
      <c r="F40" s="17">
        <f>IFERROR(C40*D40/12,0)</f>
        <v/>
      </c>
      <c r="G40" s="17">
        <f>IFERROR(C40*E40/12,0)</f>
        <v/>
      </c>
    </row>
    <row r="41">
      <c r="A41" s="10" t="inlineStr">
        <is>
          <t>Compacted (Open Space)</t>
        </is>
      </c>
      <c r="B41" s="10" t="inlineStr">
        <is>
          <t>C</t>
        </is>
      </c>
      <c r="C41" s="17">
        <f>SUMIFS('SDA'!$G$4:$G$53,'SDA'!$C$4:$C$53,"Compacted (Open Space)",'SDA'!$D$4:$D$53,"C")</f>
        <v/>
      </c>
      <c r="D41" s="17">
        <f>MAX(0,PROJECT_Rainfall-0.2-PARAMS_HortonLossB)</f>
        <v/>
      </c>
      <c r="E41" s="17">
        <f>MAX(0,PROJECT_Rainfall-0.2-PARAMS_HortonLossC)</f>
        <v/>
      </c>
      <c r="F41" s="17">
        <f>IFERROR(C41*D41/12,0)</f>
        <v/>
      </c>
      <c r="G41" s="17">
        <f>IFERROR(C41*E41/12,0)</f>
        <v/>
      </c>
    </row>
    <row r="42">
      <c r="A42" s="10" t="inlineStr">
        <is>
          <t>Compacted (Open Space)</t>
        </is>
      </c>
      <c r="B42" s="10" t="inlineStr">
        <is>
          <t>D</t>
        </is>
      </c>
      <c r="C42" s="17">
        <f>SUMIFS('SDA'!$G$4:$G$53,'SDA'!$C$4:$C$53,"Compacted (Open Space)",'SDA'!$D$4:$D$53,"D")</f>
        <v/>
      </c>
      <c r="D42" s="17">
        <f>MAX(0,PROJECT_Rainfall-0.2)</f>
        <v/>
      </c>
      <c r="E42" s="17">
        <f>MAX(0,PROJECT_Rainfall-0.2)</f>
        <v/>
      </c>
      <c r="F42" s="17">
        <f>IFERROR(C42*D42/12,0)</f>
        <v/>
      </c>
      <c r="G42" s="17">
        <f>IFERROR(C42*E42/12,0)</f>
        <v/>
      </c>
    </row>
    <row r="43">
      <c r="A43" s="16" t="inlineStr">
        <is>
          <t>TOTAL</t>
        </is>
      </c>
      <c r="B43" s="56" t="n"/>
      <c r="C43" s="56" t="n"/>
      <c r="D43" s="56" t="n"/>
      <c r="E43" s="57" t="n"/>
      <c r="F43" s="17">
        <f>SUM(F32:F42)</f>
        <v/>
      </c>
      <c r="G43" s="17">
        <f>SUM(G32:G42)</f>
        <v/>
      </c>
    </row>
    <row r="45">
      <c r="A45" s="50" t="inlineStr">
        <is>
          <t>Compliance Check</t>
        </is>
      </c>
      <c r="B45" s="51" t="n"/>
      <c r="C45" s="52" t="n"/>
    </row>
    <row r="46">
      <c r="A46" s="58" t="inlineStr">
        <is>
          <t>Metric</t>
        </is>
      </c>
      <c r="B46" s="58" t="inlineStr">
        <is>
          <t>HSG B</t>
        </is>
      </c>
      <c r="C46" s="58" t="inlineStr">
        <is>
          <t>HSG C</t>
        </is>
      </c>
    </row>
    <row r="47">
      <c r="A47" s="10" t="inlineStr">
        <is>
          <t>Pre-Dev Runoff Volume (CF)</t>
        </is>
      </c>
      <c r="B47" s="17">
        <f>F28</f>
        <v/>
      </c>
      <c r="C47" s="17">
        <f>G28</f>
        <v/>
      </c>
    </row>
    <row r="48">
      <c r="A48" s="10" t="inlineStr">
        <is>
          <t>Proposed Runoff Volume (CF)</t>
        </is>
      </c>
      <c r="B48" s="17">
        <f>F43</f>
        <v/>
      </c>
      <c r="C48" s="17">
        <f>G43</f>
        <v/>
      </c>
    </row>
    <row r="49">
      <c r="A49" s="10" t="inlineStr">
        <is>
          <t>Volume Infiltrated in BMPs (CF)</t>
        </is>
      </c>
      <c r="B49" s="17">
        <f>SUM('BMP'!$AM$4:$AM$53)</f>
        <v/>
      </c>
      <c r="C49" s="17">
        <f>SUM('BMP'!$AM$4:$AM$53)</f>
        <v/>
      </c>
    </row>
    <row r="50">
      <c r="A50" s="3" t="inlineStr">
        <is>
          <t>Net Runoff Volume (CF)</t>
        </is>
      </c>
      <c r="B50" s="17">
        <f>B48-B49</f>
        <v/>
      </c>
      <c r="C50" s="17">
        <f>C48-C49</f>
        <v/>
      </c>
    </row>
    <row r="51">
      <c r="A51" s="3" t="inlineStr">
        <is>
          <t>Net ≤ Pre-Dev? (Pass/Fail)</t>
        </is>
      </c>
      <c r="B51" s="17">
        <f>IF(B50&lt;=B47,"✓ PASS","✗ FAIL")</f>
        <v/>
      </c>
      <c r="C51" s="17">
        <f>IF(C50&lt;=C47,"✓ PASS","✗ FAIL")</f>
        <v/>
      </c>
    </row>
  </sheetData>
  <mergeCells count="8">
    <mergeCell ref="A1:G1"/>
    <mergeCell ref="A43:E43"/>
    <mergeCell ref="A45:C45"/>
    <mergeCell ref="A8:G8"/>
    <mergeCell ref="A3:G3"/>
    <mergeCell ref="A28:E28"/>
    <mergeCell ref="A30:G30"/>
    <mergeCell ref="A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showGridLines="0" workbookViewId="0">
      <selection activeCell="A1" sqref="A1"/>
    </sheetView>
  </sheetViews>
  <sheetFormatPr baseColWidth="8" defaultRowHeight="15"/>
  <cols>
    <col width="26" customWidth="1" min="1" max="1"/>
    <col width="8" customWidth="1" min="2" max="2"/>
    <col width="10" customWidth="1" min="3" max="3"/>
    <col width="13" customWidth="1" min="4" max="4"/>
    <col width="11" customWidth="1" min="5" max="5"/>
    <col width="13" customWidth="1" min="6" max="6"/>
  </cols>
  <sheetData>
    <row r="1" ht="24" customHeight="1">
      <c r="A1" s="50" t="inlineStr">
        <is>
          <t>EISA Section 438 — TR-55 CN Method (Method A primary)</t>
        </is>
      </c>
      <c r="B1" s="51" t="n"/>
      <c r="C1" s="51" t="n"/>
      <c r="D1" s="51" t="n"/>
      <c r="E1" s="51" t="n"/>
      <c r="F1" s="52" t="n"/>
    </row>
    <row r="3">
      <c r="A3" s="53" t="inlineStr">
        <is>
          <t>Project References</t>
        </is>
      </c>
      <c r="B3" s="54" t="n"/>
      <c r="C3" s="54" t="n"/>
      <c r="D3" s="54" t="n"/>
      <c r="E3" s="54" t="n"/>
      <c r="F3" s="55" t="n"/>
    </row>
    <row r="4">
      <c r="A4" s="10" t="inlineStr">
        <is>
          <t>Project Name</t>
        </is>
      </c>
      <c r="B4" s="17">
        <f>PROJECT_Name</f>
        <v/>
      </c>
    </row>
    <row r="5">
      <c r="A5" s="10" t="inlineStr">
        <is>
          <t>95th % Storm (in)</t>
        </is>
      </c>
      <c r="B5" s="17">
        <f>PROJECT_Rainfall</f>
        <v/>
      </c>
    </row>
    <row r="6">
      <c r="A6" s="10" t="inlineStr">
        <is>
          <t>Total LOD (SF)</t>
        </is>
      </c>
      <c r="B6" s="17">
        <f>PROJECT_TotalLOD</f>
        <v/>
      </c>
    </row>
    <row r="8">
      <c r="A8" s="53" t="inlineStr">
        <is>
          <t>Pre-Construction Runoff (Method A)</t>
        </is>
      </c>
      <c r="B8" s="54" t="n"/>
      <c r="C8" s="54" t="n"/>
      <c r="D8" s="54" t="n"/>
      <c r="E8" s="54" t="n"/>
      <c r="F8" s="55" t="n"/>
    </row>
    <row r="9">
      <c r="A9" s="58" t="inlineStr">
        <is>
          <t>Surface</t>
        </is>
      </c>
      <c r="B9" s="58" t="inlineStr">
        <is>
          <t>HSG</t>
        </is>
      </c>
      <c r="C9" s="58" t="inlineStr">
        <is>
          <t>CN</t>
        </is>
      </c>
      <c r="D9" s="58" t="inlineStr">
        <is>
          <t>Area (SF)</t>
        </is>
      </c>
      <c r="E9" s="58" t="inlineStr">
        <is>
          <t>Q (in)</t>
        </is>
      </c>
      <c r="F9" s="58" t="inlineStr">
        <is>
          <t>Vol (CF)</t>
        </is>
      </c>
    </row>
    <row r="10">
      <c r="A10" s="10" t="inlineStr">
        <is>
          <t>Impervious Vehicular</t>
        </is>
      </c>
      <c r="B10" s="10" t="inlineStr">
        <is>
          <t>—</t>
        </is>
      </c>
      <c r="C10" s="3" t="n">
        <v>98</v>
      </c>
      <c r="D10" s="17">
        <f>SUMIFS('SDA'!$E$4:$E$53,'SDA'!$C$4:$C$53,"Impervious Vehicular")</f>
        <v/>
      </c>
      <c r="E10" s="17">
        <f>IFERROR(IF(PROJECT_Rainfall&gt;0.2*(1000/C10-10),(PROJECT_Rainfall-0.2*(1000/C10-10))^2/(PROJECT_Rainfall-0.2*(1000/C10-10)+(1000/C10-10)),0),0)</f>
        <v/>
      </c>
      <c r="F10" s="17">
        <f>IFERROR(D10*E10/12,0)</f>
        <v/>
      </c>
    </row>
    <row r="11">
      <c r="A11" s="10" t="inlineStr">
        <is>
          <t>Impervious Non-Vehicular</t>
        </is>
      </c>
      <c r="B11" s="10" t="inlineStr">
        <is>
          <t>—</t>
        </is>
      </c>
      <c r="C11" s="3" t="n">
        <v>98</v>
      </c>
      <c r="D11" s="17">
        <f>SUMIFS('SDA'!$E$4:$E$53,'SDA'!$C$4:$C$53,"Impervious Non-Vehicular")</f>
        <v/>
      </c>
      <c r="E11" s="17">
        <f>IFERROR(IF(PROJECT_Rainfall&gt;0.2*(1000/C11-10),(PROJECT_Rainfall-0.2*(1000/C11-10))^2/(PROJECT_Rainfall-0.2*(1000/C11-10)+(1000/C11-10)),0),0)</f>
        <v/>
      </c>
      <c r="F11" s="17">
        <f>IFERROR(D11*E11/12,0)</f>
        <v/>
      </c>
    </row>
    <row r="12">
      <c r="A12" s="10" t="inlineStr">
        <is>
          <t>BMP</t>
        </is>
      </c>
      <c r="B12" s="10" t="inlineStr">
        <is>
          <t>—</t>
        </is>
      </c>
      <c r="C12" s="17">
        <f>INDEX(PARAMS_CN,2,2)</f>
        <v/>
      </c>
      <c r="D12" s="17">
        <f>SUMIFS('SDA'!$E$4:$E$53,'SDA'!$C$4:$C$53,"BMP")</f>
        <v/>
      </c>
      <c r="E12" s="17">
        <f>IFERROR(IF(PROJECT_Rainfall&gt;0.2*(1000/C12-10),(PROJECT_Rainfall-0.2*(1000/C12-10))^2/(PROJECT_Rainfall-0.2*(1000/C12-10)+(1000/C12-10)),0),0)</f>
        <v/>
      </c>
      <c r="F12" s="17">
        <f>IFERROR(D12*E12/12,0)</f>
        <v/>
      </c>
    </row>
    <row r="13">
      <c r="A13" s="10" t="inlineStr">
        <is>
          <t>Natural (Woods)</t>
        </is>
      </c>
      <c r="B13" s="10" t="inlineStr">
        <is>
          <t>A</t>
        </is>
      </c>
      <c r="C13" s="17">
        <f>INDEX(PARAMS_CN,3,2)</f>
        <v/>
      </c>
      <c r="D13" s="17">
        <f>SUMIFS('SDA'!$E$4:$E$53,'SDA'!$C$4:$C$53,"Natural (Woods)",'SDA'!$D$4:$D$53,"A")</f>
        <v/>
      </c>
      <c r="E13" s="17">
        <f>IFERROR(IF(PROJECT_Rainfall&gt;0.2*(1000/C13-10),(PROJECT_Rainfall-0.2*(1000/C13-10))^2/(PROJECT_Rainfall-0.2*(1000/C13-10)+(1000/C13-10)),0),0)</f>
        <v/>
      </c>
      <c r="F13" s="17">
        <f>IFERROR(D13*E13/12,0)</f>
        <v/>
      </c>
    </row>
    <row r="14">
      <c r="A14" s="10" t="inlineStr">
        <is>
          <t>Natural (Woods)</t>
        </is>
      </c>
      <c r="B14" s="10" t="inlineStr">
        <is>
          <t>B</t>
        </is>
      </c>
      <c r="C14" s="17">
        <f>INDEX(PARAMS_CN,3,3)</f>
        <v/>
      </c>
      <c r="D14" s="17">
        <f>SUMIFS('SDA'!$E$4:$E$53,'SDA'!$C$4:$C$53,"Natural (Woods)",'SDA'!$D$4:$D$53,"B")</f>
        <v/>
      </c>
      <c r="E14" s="17">
        <f>IFERROR(IF(PROJECT_Rainfall&gt;0.2*(1000/C14-10),(PROJECT_Rainfall-0.2*(1000/C14-10))^2/(PROJECT_Rainfall-0.2*(1000/C14-10)+(1000/C14-10)),0),0)</f>
        <v/>
      </c>
      <c r="F14" s="17">
        <f>IFERROR(D14*E14/12,0)</f>
        <v/>
      </c>
    </row>
    <row r="15">
      <c r="A15" s="10" t="inlineStr">
        <is>
          <t>Natural (Woods)</t>
        </is>
      </c>
      <c r="B15" s="10" t="inlineStr">
        <is>
          <t>C</t>
        </is>
      </c>
      <c r="C15" s="17">
        <f>INDEX(PARAMS_CN,3,4)</f>
        <v/>
      </c>
      <c r="D15" s="17">
        <f>SUMIFS('SDA'!$E$4:$E$53,'SDA'!$C$4:$C$53,"Natural (Woods)",'SDA'!$D$4:$D$53,"C")</f>
        <v/>
      </c>
      <c r="E15" s="17">
        <f>IFERROR(IF(PROJECT_Rainfall&gt;0.2*(1000/C15-10),(PROJECT_Rainfall-0.2*(1000/C15-10))^2/(PROJECT_Rainfall-0.2*(1000/C15-10)+(1000/C15-10)),0),0)</f>
        <v/>
      </c>
      <c r="F15" s="17">
        <f>IFERROR(D15*E15/12,0)</f>
        <v/>
      </c>
    </row>
    <row r="16">
      <c r="A16" s="10" t="inlineStr">
        <is>
          <t>Natural (Woods)</t>
        </is>
      </c>
      <c r="B16" s="10" t="inlineStr">
        <is>
          <t>D</t>
        </is>
      </c>
      <c r="C16" s="17">
        <f>INDEX(PARAMS_CN,3,5)</f>
        <v/>
      </c>
      <c r="D16" s="17">
        <f>SUMIFS('SDA'!$E$4:$E$53,'SDA'!$C$4:$C$53,"Natural (Woods)",'SDA'!$D$4:$D$53,"D")</f>
        <v/>
      </c>
      <c r="E16" s="17">
        <f>IFERROR(IF(PROJECT_Rainfall&gt;0.2*(1000/C16-10),(PROJECT_Rainfall-0.2*(1000/C16-10))^2/(PROJECT_Rainfall-0.2*(1000/C16-10)+(1000/C16-10)),0),0)</f>
        <v/>
      </c>
      <c r="F16" s="17">
        <f>IFERROR(D16*E16/12,0)</f>
        <v/>
      </c>
    </row>
    <row r="17">
      <c r="A17" s="10" t="inlineStr">
        <is>
          <t>Compacted (Open Space)</t>
        </is>
      </c>
      <c r="B17" s="10" t="inlineStr">
        <is>
          <t>A</t>
        </is>
      </c>
      <c r="C17" s="17">
        <f>INDEX(PARAMS_CN,4,2)</f>
        <v/>
      </c>
      <c r="D17" s="17">
        <f>SUMIFS('SDA'!$E$4:$E$53,'SDA'!$C$4:$C$53,"Compacted (Open Space)",'SDA'!$D$4:$D$53,"A")</f>
        <v/>
      </c>
      <c r="E17" s="17">
        <f>IFERROR(IF(PROJECT_Rainfall&gt;0.2*(1000/C17-10),(PROJECT_Rainfall-0.2*(1000/C17-10))^2/(PROJECT_Rainfall-0.2*(1000/C17-10)+(1000/C17-10)),0),0)</f>
        <v/>
      </c>
      <c r="F17" s="17">
        <f>IFERROR(D17*E17/12,0)</f>
        <v/>
      </c>
    </row>
    <row r="18">
      <c r="A18" s="10" t="inlineStr">
        <is>
          <t>Compacted (Open Space)</t>
        </is>
      </c>
      <c r="B18" s="10" t="inlineStr">
        <is>
          <t>B</t>
        </is>
      </c>
      <c r="C18" s="17">
        <f>INDEX(PARAMS_CN,4,3)</f>
        <v/>
      </c>
      <c r="D18" s="17">
        <f>SUMIFS('SDA'!$E$4:$E$53,'SDA'!$C$4:$C$53,"Compacted (Open Space)",'SDA'!$D$4:$D$53,"B")</f>
        <v/>
      </c>
      <c r="E18" s="17">
        <f>IFERROR(IF(PROJECT_Rainfall&gt;0.2*(1000/C18-10),(PROJECT_Rainfall-0.2*(1000/C18-10))^2/(PROJECT_Rainfall-0.2*(1000/C18-10)+(1000/C18-10)),0),0)</f>
        <v/>
      </c>
      <c r="F18" s="17">
        <f>IFERROR(D18*E18/12,0)</f>
        <v/>
      </c>
    </row>
    <row r="19">
      <c r="A19" s="10" t="inlineStr">
        <is>
          <t>Compacted (Open Space)</t>
        </is>
      </c>
      <c r="B19" s="10" t="inlineStr">
        <is>
          <t>C</t>
        </is>
      </c>
      <c r="C19" s="17">
        <f>INDEX(PARAMS_CN,4,4)</f>
        <v/>
      </c>
      <c r="D19" s="17">
        <f>SUMIFS('SDA'!$E$4:$E$53,'SDA'!$C$4:$C$53,"Compacted (Open Space)",'SDA'!$D$4:$D$53,"C")</f>
        <v/>
      </c>
      <c r="E19" s="17">
        <f>IFERROR(IF(PROJECT_Rainfall&gt;0.2*(1000/C19-10),(PROJECT_Rainfall-0.2*(1000/C19-10))^2/(PROJECT_Rainfall-0.2*(1000/C19-10)+(1000/C19-10)),0),0)</f>
        <v/>
      </c>
      <c r="F19" s="17">
        <f>IFERROR(D19*E19/12,0)</f>
        <v/>
      </c>
    </row>
    <row r="20">
      <c r="A20" s="10" t="inlineStr">
        <is>
          <t>Compacted (Open Space)</t>
        </is>
      </c>
      <c r="B20" s="10" t="inlineStr">
        <is>
          <t>D</t>
        </is>
      </c>
      <c r="C20" s="17">
        <f>INDEX(PARAMS_CN,4,5)</f>
        <v/>
      </c>
      <c r="D20" s="17">
        <f>SUMIFS('SDA'!$E$4:$E$53,'SDA'!$C$4:$C$53,"Compacted (Open Space)",'SDA'!$D$4:$D$53,"D")</f>
        <v/>
      </c>
      <c r="E20" s="17">
        <f>IFERROR(IF(PROJECT_Rainfall&gt;0.2*(1000/C20-10),(PROJECT_Rainfall-0.2*(1000/C20-10))^2/(PROJECT_Rainfall-0.2*(1000/C20-10)+(1000/C20-10)),0),0)</f>
        <v/>
      </c>
      <c r="F20" s="17">
        <f>IFERROR(D20*E20/12,0)</f>
        <v/>
      </c>
    </row>
    <row r="21">
      <c r="A21" s="53" t="inlineStr">
        <is>
          <t>TOTAL</t>
        </is>
      </c>
      <c r="B21" s="54" t="n"/>
      <c r="C21" s="54" t="n"/>
      <c r="D21" s="54" t="n"/>
      <c r="E21" s="55" t="n"/>
      <c r="F21" s="17">
        <f>SUM(F10:F20)</f>
        <v/>
      </c>
    </row>
    <row r="23">
      <c r="A23" s="53" t="inlineStr">
        <is>
          <t>Post-Construction Runoff (Method A)</t>
        </is>
      </c>
      <c r="B23" s="54" t="n"/>
      <c r="C23" s="54" t="n"/>
      <c r="D23" s="54" t="n"/>
      <c r="E23" s="54" t="n"/>
      <c r="F23" s="55" t="n"/>
    </row>
    <row r="24">
      <c r="A24" s="58" t="inlineStr">
        <is>
          <t>Surface</t>
        </is>
      </c>
      <c r="B24" s="58" t="inlineStr">
        <is>
          <t>HSG</t>
        </is>
      </c>
      <c r="C24" s="58" t="inlineStr">
        <is>
          <t>CN</t>
        </is>
      </c>
      <c r="D24" s="58" t="inlineStr">
        <is>
          <t>Area (SF)</t>
        </is>
      </c>
      <c r="E24" s="58" t="inlineStr">
        <is>
          <t>Q (in)</t>
        </is>
      </c>
      <c r="F24" s="58" t="inlineStr">
        <is>
          <t>Vol (CF)</t>
        </is>
      </c>
    </row>
    <row r="25">
      <c r="A25" s="10" t="inlineStr">
        <is>
          <t>Impervious Vehicular</t>
        </is>
      </c>
      <c r="B25" s="10" t="inlineStr">
        <is>
          <t>—</t>
        </is>
      </c>
      <c r="C25" s="3" t="n">
        <v>98</v>
      </c>
      <c r="D25" s="17">
        <f>SUMIFS('SDA'!$G$4:$G$53,'SDA'!$C$4:$C$53,"Impervious Vehicular")</f>
        <v/>
      </c>
      <c r="E25" s="17">
        <f>IFERROR(IF(PROJECT_Rainfall&gt;0.2*(1000/C25-10),(PROJECT_Rainfall-0.2*(1000/C25-10))^2/(PROJECT_Rainfall-0.2*(1000/C25-10)+(1000/C25-10)),0),0)</f>
        <v/>
      </c>
      <c r="F25" s="17">
        <f>IFERROR(D25*E25/12,0)</f>
        <v/>
      </c>
    </row>
    <row r="26">
      <c r="A26" s="10" t="inlineStr">
        <is>
          <t>Impervious Non-Vehicular</t>
        </is>
      </c>
      <c r="B26" s="10" t="inlineStr">
        <is>
          <t>—</t>
        </is>
      </c>
      <c r="C26" s="3" t="n">
        <v>98</v>
      </c>
      <c r="D26" s="17">
        <f>SUMIFS('SDA'!$G$4:$G$53,'SDA'!$C$4:$C$53,"Impervious Non-Vehicular")</f>
        <v/>
      </c>
      <c r="E26" s="17">
        <f>IFERROR(IF(PROJECT_Rainfall&gt;0.2*(1000/C26-10),(PROJECT_Rainfall-0.2*(1000/C26-10))^2/(PROJECT_Rainfall-0.2*(1000/C26-10)+(1000/C26-10)),0),0)</f>
        <v/>
      </c>
      <c r="F26" s="17">
        <f>IFERROR(D26*E26/12,0)</f>
        <v/>
      </c>
    </row>
    <row r="27">
      <c r="A27" s="10" t="inlineStr">
        <is>
          <t>BMP</t>
        </is>
      </c>
      <c r="B27" s="10" t="inlineStr">
        <is>
          <t>—</t>
        </is>
      </c>
      <c r="C27" s="17">
        <f>INDEX(PARAMS_CN,2,2)</f>
        <v/>
      </c>
      <c r="D27" s="17">
        <f>SUMIFS('SDA'!$G$4:$G$53,'SDA'!$C$4:$C$53,"BMP")</f>
        <v/>
      </c>
      <c r="E27" s="17">
        <f>IFERROR(IF(PROJECT_Rainfall&gt;0.2*(1000/C27-10),(PROJECT_Rainfall-0.2*(1000/C27-10))^2/(PROJECT_Rainfall-0.2*(1000/C27-10)+(1000/C27-10)),0),0)</f>
        <v/>
      </c>
      <c r="F27" s="17">
        <f>IFERROR(D27*E27/12,0)</f>
        <v/>
      </c>
    </row>
    <row r="28">
      <c r="A28" s="10" t="inlineStr">
        <is>
          <t>Natural (Woods)</t>
        </is>
      </c>
      <c r="B28" s="10" t="inlineStr">
        <is>
          <t>A</t>
        </is>
      </c>
      <c r="C28" s="17">
        <f>INDEX(PARAMS_CN,3,2)</f>
        <v/>
      </c>
      <c r="D28" s="17">
        <f>SUMIFS('SDA'!$G$4:$G$53,'SDA'!$C$4:$C$53,"Natural (Woods)",'SDA'!$D$4:$D$53,"A")</f>
        <v/>
      </c>
      <c r="E28" s="17">
        <f>IFERROR(IF(PROJECT_Rainfall&gt;0.2*(1000/C28-10),(PROJECT_Rainfall-0.2*(1000/C28-10))^2/(PROJECT_Rainfall-0.2*(1000/C28-10)+(1000/C28-10)),0),0)</f>
        <v/>
      </c>
      <c r="F28" s="17">
        <f>IFERROR(D28*E28/12,0)</f>
        <v/>
      </c>
    </row>
    <row r="29">
      <c r="A29" s="10" t="inlineStr">
        <is>
          <t>Natural (Woods)</t>
        </is>
      </c>
      <c r="B29" s="10" t="inlineStr">
        <is>
          <t>B</t>
        </is>
      </c>
      <c r="C29" s="17">
        <f>INDEX(PARAMS_CN,3,3)</f>
        <v/>
      </c>
      <c r="D29" s="17">
        <f>SUMIFS('SDA'!$G$4:$G$53,'SDA'!$C$4:$C$53,"Natural (Woods)",'SDA'!$D$4:$D$53,"B")</f>
        <v/>
      </c>
      <c r="E29" s="17">
        <f>IFERROR(IF(PROJECT_Rainfall&gt;0.2*(1000/C29-10),(PROJECT_Rainfall-0.2*(1000/C29-10))^2/(PROJECT_Rainfall-0.2*(1000/C29-10)+(1000/C29-10)),0),0)</f>
        <v/>
      </c>
      <c r="F29" s="17">
        <f>IFERROR(D29*E29/12,0)</f>
        <v/>
      </c>
    </row>
    <row r="30">
      <c r="A30" s="10" t="inlineStr">
        <is>
          <t>Natural (Woods)</t>
        </is>
      </c>
      <c r="B30" s="10" t="inlineStr">
        <is>
          <t>C</t>
        </is>
      </c>
      <c r="C30" s="17">
        <f>INDEX(PARAMS_CN,3,4)</f>
        <v/>
      </c>
      <c r="D30" s="17">
        <f>SUMIFS('SDA'!$G$4:$G$53,'SDA'!$C$4:$C$53,"Natural (Woods)",'SDA'!$D$4:$D$53,"C")</f>
        <v/>
      </c>
      <c r="E30" s="17">
        <f>IFERROR(IF(PROJECT_Rainfall&gt;0.2*(1000/C30-10),(PROJECT_Rainfall-0.2*(1000/C30-10))^2/(PROJECT_Rainfall-0.2*(1000/C30-10)+(1000/C30-10)),0),0)</f>
        <v/>
      </c>
      <c r="F30" s="17">
        <f>IFERROR(D30*E30/12,0)</f>
        <v/>
      </c>
    </row>
    <row r="31">
      <c r="A31" s="10" t="inlineStr">
        <is>
          <t>Natural (Woods)</t>
        </is>
      </c>
      <c r="B31" s="10" t="inlineStr">
        <is>
          <t>D</t>
        </is>
      </c>
      <c r="C31" s="17">
        <f>INDEX(PARAMS_CN,3,5)</f>
        <v/>
      </c>
      <c r="D31" s="17">
        <f>SUMIFS('SDA'!$G$4:$G$53,'SDA'!$C$4:$C$53,"Natural (Woods)",'SDA'!$D$4:$D$53,"D")</f>
        <v/>
      </c>
      <c r="E31" s="17">
        <f>IFERROR(IF(PROJECT_Rainfall&gt;0.2*(1000/C31-10),(PROJECT_Rainfall-0.2*(1000/C31-10))^2/(PROJECT_Rainfall-0.2*(1000/C31-10)+(1000/C31-10)),0),0)</f>
        <v/>
      </c>
      <c r="F31" s="17">
        <f>IFERROR(D31*E31/12,0)</f>
        <v/>
      </c>
    </row>
    <row r="32">
      <c r="A32" s="10" t="inlineStr">
        <is>
          <t>Compacted (Open Space)</t>
        </is>
      </c>
      <c r="B32" s="10" t="inlineStr">
        <is>
          <t>A</t>
        </is>
      </c>
      <c r="C32" s="17">
        <f>INDEX(PARAMS_CN,4,2)</f>
        <v/>
      </c>
      <c r="D32" s="17">
        <f>SUMIFS('SDA'!$G$4:$G$53,'SDA'!$C$4:$C$53,"Compacted (Open Space)",'SDA'!$D$4:$D$53,"A")</f>
        <v/>
      </c>
      <c r="E32" s="17">
        <f>IFERROR(IF(PROJECT_Rainfall&gt;0.2*(1000/C32-10),(PROJECT_Rainfall-0.2*(1000/C32-10))^2/(PROJECT_Rainfall-0.2*(1000/C32-10)+(1000/C32-10)),0),0)</f>
        <v/>
      </c>
      <c r="F32" s="17">
        <f>IFERROR(D32*E32/12,0)</f>
        <v/>
      </c>
    </row>
    <row r="33">
      <c r="A33" s="10" t="inlineStr">
        <is>
          <t>Compacted (Open Space)</t>
        </is>
      </c>
      <c r="B33" s="10" t="inlineStr">
        <is>
          <t>B</t>
        </is>
      </c>
      <c r="C33" s="17">
        <f>INDEX(PARAMS_CN,4,3)</f>
        <v/>
      </c>
      <c r="D33" s="17">
        <f>SUMIFS('SDA'!$G$4:$G$53,'SDA'!$C$4:$C$53,"Compacted (Open Space)",'SDA'!$D$4:$D$53,"B")</f>
        <v/>
      </c>
      <c r="E33" s="17">
        <f>IFERROR(IF(PROJECT_Rainfall&gt;0.2*(1000/C33-10),(PROJECT_Rainfall-0.2*(1000/C33-10))^2/(PROJECT_Rainfall-0.2*(1000/C33-10)+(1000/C33-10)),0),0)</f>
        <v/>
      </c>
      <c r="F33" s="17">
        <f>IFERROR(D33*E33/12,0)</f>
        <v/>
      </c>
    </row>
    <row r="34">
      <c r="A34" s="10" t="inlineStr">
        <is>
          <t>Compacted (Open Space)</t>
        </is>
      </c>
      <c r="B34" s="10" t="inlineStr">
        <is>
          <t>C</t>
        </is>
      </c>
      <c r="C34" s="17">
        <f>INDEX(PARAMS_CN,4,4)</f>
        <v/>
      </c>
      <c r="D34" s="17">
        <f>SUMIFS('SDA'!$G$4:$G$53,'SDA'!$C$4:$C$53,"Compacted (Open Space)",'SDA'!$D$4:$D$53,"C")</f>
        <v/>
      </c>
      <c r="E34" s="17">
        <f>IFERROR(IF(PROJECT_Rainfall&gt;0.2*(1000/C34-10),(PROJECT_Rainfall-0.2*(1000/C34-10))^2/(PROJECT_Rainfall-0.2*(1000/C34-10)+(1000/C34-10)),0),0)</f>
        <v/>
      </c>
      <c r="F34" s="17">
        <f>IFERROR(D34*E34/12,0)</f>
        <v/>
      </c>
    </row>
    <row r="35">
      <c r="A35" s="10" t="inlineStr">
        <is>
          <t>Compacted (Open Space)</t>
        </is>
      </c>
      <c r="B35" s="10" t="inlineStr">
        <is>
          <t>D</t>
        </is>
      </c>
      <c r="C35" s="17">
        <f>INDEX(PARAMS_CN,4,5)</f>
        <v/>
      </c>
      <c r="D35" s="17">
        <f>SUMIFS('SDA'!$G$4:$G$53,'SDA'!$C$4:$C$53,"Compacted (Open Space)",'SDA'!$D$4:$D$53,"D")</f>
        <v/>
      </c>
      <c r="E35" s="17">
        <f>IFERROR(IF(PROJECT_Rainfall&gt;0.2*(1000/C35-10),(PROJECT_Rainfall-0.2*(1000/C35-10))^2/(PROJECT_Rainfall-0.2*(1000/C35-10)+(1000/C35-10)),0),0)</f>
        <v/>
      </c>
      <c r="F35" s="17">
        <f>IFERROR(D35*E35/12,0)</f>
        <v/>
      </c>
    </row>
    <row r="36">
      <c r="A36" s="53" t="inlineStr">
        <is>
          <t>TOTAL</t>
        </is>
      </c>
      <c r="B36" s="54" t="n"/>
      <c r="C36" s="54" t="n"/>
      <c r="D36" s="54" t="n"/>
      <c r="E36" s="55" t="n"/>
      <c r="F36" s="17">
        <f>SUM(F25:F35)</f>
        <v/>
      </c>
    </row>
    <row r="38">
      <c r="A38" s="50" t="inlineStr">
        <is>
          <t>Compliance Check (Method A)</t>
        </is>
      </c>
      <c r="B38" s="52" t="n"/>
    </row>
    <row r="39">
      <c r="A39" s="10" t="inlineStr">
        <is>
          <t>Pre-Dev Runoff Volume (CF)</t>
        </is>
      </c>
      <c r="B39" s="17">
        <f>F21</f>
        <v/>
      </c>
    </row>
    <row r="40">
      <c r="A40" s="10" t="inlineStr">
        <is>
          <t>Proposed Runoff Volume (CF)</t>
        </is>
      </c>
      <c r="B40" s="17">
        <f>F36</f>
        <v/>
      </c>
    </row>
    <row r="41">
      <c r="A41" s="10" t="inlineStr">
        <is>
          <t>Volume Infiltrated in BMPs (CF)</t>
        </is>
      </c>
      <c r="B41" s="17">
        <f>SUM('BMP'!$AM$4:$AM$53)</f>
        <v/>
      </c>
    </row>
    <row r="42">
      <c r="A42" s="3" t="inlineStr">
        <is>
          <t>Net Runoff Volume (CF)</t>
        </is>
      </c>
      <c r="B42" s="17">
        <f>B40-B41</f>
        <v/>
      </c>
    </row>
    <row r="43">
      <c r="A43" s="3" t="inlineStr">
        <is>
          <t>Net ≤ Pre-Dev? (Pass/Fail)</t>
        </is>
      </c>
      <c r="B43" s="17">
        <f>IF(B42&lt;=B39,"✓ PASS","✗ FAIL")</f>
        <v/>
      </c>
    </row>
  </sheetData>
  <mergeCells count="7">
    <mergeCell ref="A21:E21"/>
    <mergeCell ref="A38:B38"/>
    <mergeCell ref="A1:F1"/>
    <mergeCell ref="A23:F23"/>
    <mergeCell ref="A8:F8"/>
    <mergeCell ref="A36:E36"/>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
  <sheetViews>
    <sheetView showGridLines="0" workbookViewId="0">
      <selection activeCell="A1" sqref="A1"/>
    </sheetView>
  </sheetViews>
  <sheetFormatPr baseColWidth="8" defaultRowHeight="15"/>
  <cols>
    <col width="1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5" customWidth="1" min="12" max="12"/>
    <col width="10" customWidth="1" min="13" max="13"/>
  </cols>
  <sheetData>
    <row r="1" ht="24" customHeight="1">
      <c r="A1" s="1" t="inlineStr">
        <is>
          <t>DOEE_SDA — Compliance Calc Sheet 1 mirror</t>
        </is>
      </c>
      <c r="B1" s="5" t="n"/>
      <c r="C1" s="5" t="n"/>
      <c r="D1" s="5" t="n"/>
      <c r="E1" s="5" t="n"/>
      <c r="F1" s="5" t="n"/>
      <c r="G1" s="5" t="n"/>
      <c r="H1" s="5" t="n"/>
      <c r="I1" s="5" t="n"/>
      <c r="J1" s="5" t="n"/>
      <c r="K1" s="5" t="n"/>
      <c r="L1" s="5" t="n"/>
      <c r="M1" s="2" t="n"/>
    </row>
    <row r="3" ht="36" customHeight="1">
      <c r="A3" s="16" t="inlineStr">
        <is>
          <t>SDA Number</t>
        </is>
      </c>
      <c r="B3" s="16" t="inlineStr">
        <is>
          <t>In PROW?</t>
        </is>
      </c>
      <c r="C3" s="16" t="inlineStr">
        <is>
          <t>Pre Nat (SF)</t>
        </is>
      </c>
      <c r="D3" s="16" t="inlineStr">
        <is>
          <t>Pre Comp (SF)</t>
        </is>
      </c>
      <c r="E3" s="16" t="inlineStr">
        <is>
          <t>Pre Imp (SF)</t>
        </is>
      </c>
      <c r="F3" s="16" t="inlineStr">
        <is>
          <t>Pre BMP (SF)</t>
        </is>
      </c>
      <c r="G3" s="16" t="inlineStr">
        <is>
          <t>Post Nat (SF)</t>
        </is>
      </c>
      <c r="H3" s="16" t="inlineStr">
        <is>
          <t>Post Comp (SF)</t>
        </is>
      </c>
      <c r="I3" s="16" t="inlineStr">
        <is>
          <t>Post Imp (SF)</t>
        </is>
      </c>
      <c r="J3" s="16" t="inlineStr">
        <is>
          <t>Post BMP (SF)</t>
        </is>
      </c>
      <c r="K3" s="16" t="inlineStr">
        <is>
          <t>Post Veh (SF)</t>
        </is>
      </c>
      <c r="L3" s="16" t="inlineStr">
        <is>
          <t>SWRv Required (CF)</t>
        </is>
      </c>
      <c r="M3" s="16" t="inlineStr">
        <is>
          <t>WQTv Req'd?</t>
        </is>
      </c>
    </row>
    <row r="4">
      <c r="A4" s="17">
        <f>'SDA'!A58</f>
        <v/>
      </c>
      <c r="B4" s="17">
        <f>IFERROR(INDEX('SDA'!$B$4:$B$53,MATCH(A4,'SDA'!$A$4:$A$53,0)),"")</f>
        <v/>
      </c>
      <c r="C4" s="17">
        <f>SUMIFS('SDA'!$E$4:$E$53,'SDA'!$A$4:$A$53,A4,'SDA'!$C$4:$C$53,"Natural (Woods)")</f>
        <v/>
      </c>
      <c r="D4" s="17">
        <f>SUMIFS('SDA'!$E$4:$E$53,'SDA'!$A$4:$A$53,A4,'SDA'!$C$4:$C$53,"Compacted (Open Space)")</f>
        <v/>
      </c>
      <c r="E4" s="17">
        <f>SUMIFS('SDA'!$E$4:$E$53,'SDA'!$A$4:$A$53,A4,'SDA'!$C$4:$C$53,"Impervious Vehicular")+SUMIFS('SDA'!$E$4:$E$53,'SDA'!$A$4:$A$53,A4,'SDA'!$C$4:$C$53,"Impervious Non-Vehicular")</f>
        <v/>
      </c>
      <c r="F4" s="17">
        <f>SUMIFS('SDA'!$E$4:$E$53,'SDA'!$A$4:$A$53,A4,'SDA'!$C$4:$C$53,"BMP")</f>
        <v/>
      </c>
      <c r="G4" s="17">
        <f>SUMIFS('SDA'!$G$4:$G$53,'SDA'!$A$4:$A$53,A4,'SDA'!$C$4:$C$53,"Natural (Woods)")</f>
        <v/>
      </c>
      <c r="H4" s="17">
        <f>SUMIFS('SDA'!$G$4:$G$53,'SDA'!$A$4:$A$53,A4,'SDA'!$C$4:$C$53,"Compacted (Open Space)")</f>
        <v/>
      </c>
      <c r="I4" s="17">
        <f>SUMIFS('SDA'!$G$4:$G$53,'SDA'!$A$4:$A$53,A4,'SDA'!$C$4:$C$53,"Impervious Vehicular")+SUMIFS('SDA'!$G$4:$G$53,'SDA'!$A$4:$A$53,A4,'SDA'!$C$4:$C$53,"Impervious Non-Vehicular")</f>
        <v/>
      </c>
      <c r="J4" s="17">
        <f>SUMIFS('SDA'!$G$4:$G$53,'SDA'!$A$4:$A$53,A4,'SDA'!$C$4:$C$53,"BMP")</f>
        <v/>
      </c>
      <c r="K4" s="17">
        <f>SUMIFS('SDA'!$G$4:$G$53,'SDA'!$A$4:$A$53,A4,'SDA'!$C$4:$C$53,"Impervious Vehicular")</f>
        <v/>
      </c>
      <c r="L4" s="17">
        <f>'SDA'!J58</f>
        <v/>
      </c>
      <c r="M4" s="17">
        <f>IF(K4&gt;0,"Yes","No")</f>
        <v/>
      </c>
    </row>
    <row r="5">
      <c r="A5" s="17">
        <f>'SDA'!A59</f>
        <v/>
      </c>
      <c r="B5" s="17">
        <f>IFERROR(INDEX('SDA'!$B$4:$B$53,MATCH(A5,'SDA'!$A$4:$A$53,0)),"")</f>
        <v/>
      </c>
      <c r="C5" s="17">
        <f>SUMIFS('SDA'!$E$4:$E$53,'SDA'!$A$4:$A$53,A5,'SDA'!$C$4:$C$53,"Natural (Woods)")</f>
        <v/>
      </c>
      <c r="D5" s="17">
        <f>SUMIFS('SDA'!$E$4:$E$53,'SDA'!$A$4:$A$53,A5,'SDA'!$C$4:$C$53,"Compacted (Open Space)")</f>
        <v/>
      </c>
      <c r="E5" s="17">
        <f>SUMIFS('SDA'!$E$4:$E$53,'SDA'!$A$4:$A$53,A5,'SDA'!$C$4:$C$53,"Impervious Vehicular")+SUMIFS('SDA'!$E$4:$E$53,'SDA'!$A$4:$A$53,A5,'SDA'!$C$4:$C$53,"Impervious Non-Vehicular")</f>
        <v/>
      </c>
      <c r="F5" s="17">
        <f>SUMIFS('SDA'!$E$4:$E$53,'SDA'!$A$4:$A$53,A5,'SDA'!$C$4:$C$53,"BMP")</f>
        <v/>
      </c>
      <c r="G5" s="17">
        <f>SUMIFS('SDA'!$G$4:$G$53,'SDA'!$A$4:$A$53,A5,'SDA'!$C$4:$C$53,"Natural (Woods)")</f>
        <v/>
      </c>
      <c r="H5" s="17">
        <f>SUMIFS('SDA'!$G$4:$G$53,'SDA'!$A$4:$A$53,A5,'SDA'!$C$4:$C$53,"Compacted (Open Space)")</f>
        <v/>
      </c>
      <c r="I5" s="17">
        <f>SUMIFS('SDA'!$G$4:$G$53,'SDA'!$A$4:$A$53,A5,'SDA'!$C$4:$C$53,"Impervious Vehicular")+SUMIFS('SDA'!$G$4:$G$53,'SDA'!$A$4:$A$53,A5,'SDA'!$C$4:$C$53,"Impervious Non-Vehicular")</f>
        <v/>
      </c>
      <c r="J5" s="17">
        <f>SUMIFS('SDA'!$G$4:$G$53,'SDA'!$A$4:$A$53,A5,'SDA'!$C$4:$C$53,"BMP")</f>
        <v/>
      </c>
      <c r="K5" s="17">
        <f>SUMIFS('SDA'!$G$4:$G$53,'SDA'!$A$4:$A$53,A5,'SDA'!$C$4:$C$53,"Impervious Vehicular")</f>
        <v/>
      </c>
      <c r="L5" s="17">
        <f>'SDA'!J59</f>
        <v/>
      </c>
      <c r="M5" s="17">
        <f>IF(K5&gt;0,"Yes","No")</f>
        <v/>
      </c>
    </row>
    <row r="6">
      <c r="A6" s="17">
        <f>'SDA'!A60</f>
        <v/>
      </c>
      <c r="B6" s="17">
        <f>IFERROR(INDEX('SDA'!$B$4:$B$53,MATCH(A6,'SDA'!$A$4:$A$53,0)),"")</f>
        <v/>
      </c>
      <c r="C6" s="17">
        <f>SUMIFS('SDA'!$E$4:$E$53,'SDA'!$A$4:$A$53,A6,'SDA'!$C$4:$C$53,"Natural (Woods)")</f>
        <v/>
      </c>
      <c r="D6" s="17">
        <f>SUMIFS('SDA'!$E$4:$E$53,'SDA'!$A$4:$A$53,A6,'SDA'!$C$4:$C$53,"Compacted (Open Space)")</f>
        <v/>
      </c>
      <c r="E6" s="17">
        <f>SUMIFS('SDA'!$E$4:$E$53,'SDA'!$A$4:$A$53,A6,'SDA'!$C$4:$C$53,"Impervious Vehicular")+SUMIFS('SDA'!$E$4:$E$53,'SDA'!$A$4:$A$53,A6,'SDA'!$C$4:$C$53,"Impervious Non-Vehicular")</f>
        <v/>
      </c>
      <c r="F6" s="17">
        <f>SUMIFS('SDA'!$E$4:$E$53,'SDA'!$A$4:$A$53,A6,'SDA'!$C$4:$C$53,"BMP")</f>
        <v/>
      </c>
      <c r="G6" s="17">
        <f>SUMIFS('SDA'!$G$4:$G$53,'SDA'!$A$4:$A$53,A6,'SDA'!$C$4:$C$53,"Natural (Woods)")</f>
        <v/>
      </c>
      <c r="H6" s="17">
        <f>SUMIFS('SDA'!$G$4:$G$53,'SDA'!$A$4:$A$53,A6,'SDA'!$C$4:$C$53,"Compacted (Open Space)")</f>
        <v/>
      </c>
      <c r="I6" s="17">
        <f>SUMIFS('SDA'!$G$4:$G$53,'SDA'!$A$4:$A$53,A6,'SDA'!$C$4:$C$53,"Impervious Vehicular")+SUMIFS('SDA'!$G$4:$G$53,'SDA'!$A$4:$A$53,A6,'SDA'!$C$4:$C$53,"Impervious Non-Vehicular")</f>
        <v/>
      </c>
      <c r="J6" s="17">
        <f>SUMIFS('SDA'!$G$4:$G$53,'SDA'!$A$4:$A$53,A6,'SDA'!$C$4:$C$53,"BMP")</f>
        <v/>
      </c>
      <c r="K6" s="17">
        <f>SUMIFS('SDA'!$G$4:$G$53,'SDA'!$A$4:$A$53,A6,'SDA'!$C$4:$C$53,"Impervious Vehicular")</f>
        <v/>
      </c>
      <c r="L6" s="17">
        <f>'SDA'!J60</f>
        <v/>
      </c>
      <c r="M6" s="17">
        <f>IF(K6&gt;0,"Yes","No")</f>
        <v/>
      </c>
    </row>
    <row r="7">
      <c r="A7" s="17">
        <f>'SDA'!A61</f>
        <v/>
      </c>
      <c r="B7" s="17">
        <f>IFERROR(INDEX('SDA'!$B$4:$B$53,MATCH(A7,'SDA'!$A$4:$A$53,0)),"")</f>
        <v/>
      </c>
      <c r="C7" s="17">
        <f>SUMIFS('SDA'!$E$4:$E$53,'SDA'!$A$4:$A$53,A7,'SDA'!$C$4:$C$53,"Natural (Woods)")</f>
        <v/>
      </c>
      <c r="D7" s="17">
        <f>SUMIFS('SDA'!$E$4:$E$53,'SDA'!$A$4:$A$53,A7,'SDA'!$C$4:$C$53,"Compacted (Open Space)")</f>
        <v/>
      </c>
      <c r="E7" s="17">
        <f>SUMIFS('SDA'!$E$4:$E$53,'SDA'!$A$4:$A$53,A7,'SDA'!$C$4:$C$53,"Impervious Vehicular")+SUMIFS('SDA'!$E$4:$E$53,'SDA'!$A$4:$A$53,A7,'SDA'!$C$4:$C$53,"Impervious Non-Vehicular")</f>
        <v/>
      </c>
      <c r="F7" s="17">
        <f>SUMIFS('SDA'!$E$4:$E$53,'SDA'!$A$4:$A$53,A7,'SDA'!$C$4:$C$53,"BMP")</f>
        <v/>
      </c>
      <c r="G7" s="17">
        <f>SUMIFS('SDA'!$G$4:$G$53,'SDA'!$A$4:$A$53,A7,'SDA'!$C$4:$C$53,"Natural (Woods)")</f>
        <v/>
      </c>
      <c r="H7" s="17">
        <f>SUMIFS('SDA'!$G$4:$G$53,'SDA'!$A$4:$A$53,A7,'SDA'!$C$4:$C$53,"Compacted (Open Space)")</f>
        <v/>
      </c>
      <c r="I7" s="17">
        <f>SUMIFS('SDA'!$G$4:$G$53,'SDA'!$A$4:$A$53,A7,'SDA'!$C$4:$C$53,"Impervious Vehicular")+SUMIFS('SDA'!$G$4:$G$53,'SDA'!$A$4:$A$53,A7,'SDA'!$C$4:$C$53,"Impervious Non-Vehicular")</f>
        <v/>
      </c>
      <c r="J7" s="17">
        <f>SUMIFS('SDA'!$G$4:$G$53,'SDA'!$A$4:$A$53,A7,'SDA'!$C$4:$C$53,"BMP")</f>
        <v/>
      </c>
      <c r="K7" s="17">
        <f>SUMIFS('SDA'!$G$4:$G$53,'SDA'!$A$4:$A$53,A7,'SDA'!$C$4:$C$53,"Impervious Vehicular")</f>
        <v/>
      </c>
      <c r="L7" s="17">
        <f>'SDA'!J61</f>
        <v/>
      </c>
      <c r="M7" s="17">
        <f>IF(K7&gt;0,"Yes","No")</f>
        <v/>
      </c>
    </row>
    <row r="8">
      <c r="A8" s="17">
        <f>'SDA'!A62</f>
        <v/>
      </c>
      <c r="B8" s="17">
        <f>IFERROR(INDEX('SDA'!$B$4:$B$53,MATCH(A8,'SDA'!$A$4:$A$53,0)),"")</f>
        <v/>
      </c>
      <c r="C8" s="17">
        <f>SUMIFS('SDA'!$E$4:$E$53,'SDA'!$A$4:$A$53,A8,'SDA'!$C$4:$C$53,"Natural (Woods)")</f>
        <v/>
      </c>
      <c r="D8" s="17">
        <f>SUMIFS('SDA'!$E$4:$E$53,'SDA'!$A$4:$A$53,A8,'SDA'!$C$4:$C$53,"Compacted (Open Space)")</f>
        <v/>
      </c>
      <c r="E8" s="17">
        <f>SUMIFS('SDA'!$E$4:$E$53,'SDA'!$A$4:$A$53,A8,'SDA'!$C$4:$C$53,"Impervious Vehicular")+SUMIFS('SDA'!$E$4:$E$53,'SDA'!$A$4:$A$53,A8,'SDA'!$C$4:$C$53,"Impervious Non-Vehicular")</f>
        <v/>
      </c>
      <c r="F8" s="17">
        <f>SUMIFS('SDA'!$E$4:$E$53,'SDA'!$A$4:$A$53,A8,'SDA'!$C$4:$C$53,"BMP")</f>
        <v/>
      </c>
      <c r="G8" s="17">
        <f>SUMIFS('SDA'!$G$4:$G$53,'SDA'!$A$4:$A$53,A8,'SDA'!$C$4:$C$53,"Natural (Woods)")</f>
        <v/>
      </c>
      <c r="H8" s="17">
        <f>SUMIFS('SDA'!$G$4:$G$53,'SDA'!$A$4:$A$53,A8,'SDA'!$C$4:$C$53,"Compacted (Open Space)")</f>
        <v/>
      </c>
      <c r="I8" s="17">
        <f>SUMIFS('SDA'!$G$4:$G$53,'SDA'!$A$4:$A$53,A8,'SDA'!$C$4:$C$53,"Impervious Vehicular")+SUMIFS('SDA'!$G$4:$G$53,'SDA'!$A$4:$A$53,A8,'SDA'!$C$4:$C$53,"Impervious Non-Vehicular")</f>
        <v/>
      </c>
      <c r="J8" s="17">
        <f>SUMIFS('SDA'!$G$4:$G$53,'SDA'!$A$4:$A$53,A8,'SDA'!$C$4:$C$53,"BMP")</f>
        <v/>
      </c>
      <c r="K8" s="17">
        <f>SUMIFS('SDA'!$G$4:$G$53,'SDA'!$A$4:$A$53,A8,'SDA'!$C$4:$C$53,"Impervious Vehicular")</f>
        <v/>
      </c>
      <c r="L8" s="17">
        <f>'SDA'!J62</f>
        <v/>
      </c>
      <c r="M8" s="17">
        <f>IF(K8&gt;0,"Yes","No")</f>
        <v/>
      </c>
    </row>
    <row r="9">
      <c r="A9" s="17">
        <f>'SDA'!A63</f>
        <v/>
      </c>
      <c r="B9" s="17">
        <f>IFERROR(INDEX('SDA'!$B$4:$B$53,MATCH(A9,'SDA'!$A$4:$A$53,0)),"")</f>
        <v/>
      </c>
      <c r="C9" s="17">
        <f>SUMIFS('SDA'!$E$4:$E$53,'SDA'!$A$4:$A$53,A9,'SDA'!$C$4:$C$53,"Natural (Woods)")</f>
        <v/>
      </c>
      <c r="D9" s="17">
        <f>SUMIFS('SDA'!$E$4:$E$53,'SDA'!$A$4:$A$53,A9,'SDA'!$C$4:$C$53,"Compacted (Open Space)")</f>
        <v/>
      </c>
      <c r="E9" s="17">
        <f>SUMIFS('SDA'!$E$4:$E$53,'SDA'!$A$4:$A$53,A9,'SDA'!$C$4:$C$53,"Impervious Vehicular")+SUMIFS('SDA'!$E$4:$E$53,'SDA'!$A$4:$A$53,A9,'SDA'!$C$4:$C$53,"Impervious Non-Vehicular")</f>
        <v/>
      </c>
      <c r="F9" s="17">
        <f>SUMIFS('SDA'!$E$4:$E$53,'SDA'!$A$4:$A$53,A9,'SDA'!$C$4:$C$53,"BMP")</f>
        <v/>
      </c>
      <c r="G9" s="17">
        <f>SUMIFS('SDA'!$G$4:$G$53,'SDA'!$A$4:$A$53,A9,'SDA'!$C$4:$C$53,"Natural (Woods)")</f>
        <v/>
      </c>
      <c r="H9" s="17">
        <f>SUMIFS('SDA'!$G$4:$G$53,'SDA'!$A$4:$A$53,A9,'SDA'!$C$4:$C$53,"Compacted (Open Space)")</f>
        <v/>
      </c>
      <c r="I9" s="17">
        <f>SUMIFS('SDA'!$G$4:$G$53,'SDA'!$A$4:$A$53,A9,'SDA'!$C$4:$C$53,"Impervious Vehicular")+SUMIFS('SDA'!$G$4:$G$53,'SDA'!$A$4:$A$53,A9,'SDA'!$C$4:$C$53,"Impervious Non-Vehicular")</f>
        <v/>
      </c>
      <c r="J9" s="17">
        <f>SUMIFS('SDA'!$G$4:$G$53,'SDA'!$A$4:$A$53,A9,'SDA'!$C$4:$C$53,"BMP")</f>
        <v/>
      </c>
      <c r="K9" s="17">
        <f>SUMIFS('SDA'!$G$4:$G$53,'SDA'!$A$4:$A$53,A9,'SDA'!$C$4:$C$53,"Impervious Vehicular")</f>
        <v/>
      </c>
      <c r="L9" s="17">
        <f>'SDA'!J63</f>
        <v/>
      </c>
      <c r="M9" s="17">
        <f>IF(K9&gt;0,"Yes","No")</f>
        <v/>
      </c>
    </row>
    <row r="10">
      <c r="A10" s="17">
        <f>'SDA'!A64</f>
        <v/>
      </c>
      <c r="B10" s="17">
        <f>IFERROR(INDEX('SDA'!$B$4:$B$53,MATCH(A10,'SDA'!$A$4:$A$53,0)),"")</f>
        <v/>
      </c>
      <c r="C10" s="17">
        <f>SUMIFS('SDA'!$E$4:$E$53,'SDA'!$A$4:$A$53,A10,'SDA'!$C$4:$C$53,"Natural (Woods)")</f>
        <v/>
      </c>
      <c r="D10" s="17">
        <f>SUMIFS('SDA'!$E$4:$E$53,'SDA'!$A$4:$A$53,A10,'SDA'!$C$4:$C$53,"Compacted (Open Space)")</f>
        <v/>
      </c>
      <c r="E10" s="17">
        <f>SUMIFS('SDA'!$E$4:$E$53,'SDA'!$A$4:$A$53,A10,'SDA'!$C$4:$C$53,"Impervious Vehicular")+SUMIFS('SDA'!$E$4:$E$53,'SDA'!$A$4:$A$53,A10,'SDA'!$C$4:$C$53,"Impervious Non-Vehicular")</f>
        <v/>
      </c>
      <c r="F10" s="17">
        <f>SUMIFS('SDA'!$E$4:$E$53,'SDA'!$A$4:$A$53,A10,'SDA'!$C$4:$C$53,"BMP")</f>
        <v/>
      </c>
      <c r="G10" s="17">
        <f>SUMIFS('SDA'!$G$4:$G$53,'SDA'!$A$4:$A$53,A10,'SDA'!$C$4:$C$53,"Natural (Woods)")</f>
        <v/>
      </c>
      <c r="H10" s="17">
        <f>SUMIFS('SDA'!$G$4:$G$53,'SDA'!$A$4:$A$53,A10,'SDA'!$C$4:$C$53,"Compacted (Open Space)")</f>
        <v/>
      </c>
      <c r="I10" s="17">
        <f>SUMIFS('SDA'!$G$4:$G$53,'SDA'!$A$4:$A$53,A10,'SDA'!$C$4:$C$53,"Impervious Vehicular")+SUMIFS('SDA'!$G$4:$G$53,'SDA'!$A$4:$A$53,A10,'SDA'!$C$4:$C$53,"Impervious Non-Vehicular")</f>
        <v/>
      </c>
      <c r="J10" s="17">
        <f>SUMIFS('SDA'!$G$4:$G$53,'SDA'!$A$4:$A$53,A10,'SDA'!$C$4:$C$53,"BMP")</f>
        <v/>
      </c>
      <c r="K10" s="17">
        <f>SUMIFS('SDA'!$G$4:$G$53,'SDA'!$A$4:$A$53,A10,'SDA'!$C$4:$C$53,"Impervious Vehicular")</f>
        <v/>
      </c>
      <c r="L10" s="17">
        <f>'SDA'!J64</f>
        <v/>
      </c>
      <c r="M10" s="17">
        <f>IF(K10&gt;0,"Yes","No")</f>
        <v/>
      </c>
    </row>
    <row r="11">
      <c r="A11" s="17">
        <f>'SDA'!A65</f>
        <v/>
      </c>
      <c r="B11" s="17">
        <f>IFERROR(INDEX('SDA'!$B$4:$B$53,MATCH(A11,'SDA'!$A$4:$A$53,0)),"")</f>
        <v/>
      </c>
      <c r="C11" s="17">
        <f>SUMIFS('SDA'!$E$4:$E$53,'SDA'!$A$4:$A$53,A11,'SDA'!$C$4:$C$53,"Natural (Woods)")</f>
        <v/>
      </c>
      <c r="D11" s="17">
        <f>SUMIFS('SDA'!$E$4:$E$53,'SDA'!$A$4:$A$53,A11,'SDA'!$C$4:$C$53,"Compacted (Open Space)")</f>
        <v/>
      </c>
      <c r="E11" s="17">
        <f>SUMIFS('SDA'!$E$4:$E$53,'SDA'!$A$4:$A$53,A11,'SDA'!$C$4:$C$53,"Impervious Vehicular")+SUMIFS('SDA'!$E$4:$E$53,'SDA'!$A$4:$A$53,A11,'SDA'!$C$4:$C$53,"Impervious Non-Vehicular")</f>
        <v/>
      </c>
      <c r="F11" s="17">
        <f>SUMIFS('SDA'!$E$4:$E$53,'SDA'!$A$4:$A$53,A11,'SDA'!$C$4:$C$53,"BMP")</f>
        <v/>
      </c>
      <c r="G11" s="17">
        <f>SUMIFS('SDA'!$G$4:$G$53,'SDA'!$A$4:$A$53,A11,'SDA'!$C$4:$C$53,"Natural (Woods)")</f>
        <v/>
      </c>
      <c r="H11" s="17">
        <f>SUMIFS('SDA'!$G$4:$G$53,'SDA'!$A$4:$A$53,A11,'SDA'!$C$4:$C$53,"Compacted (Open Space)")</f>
        <v/>
      </c>
      <c r="I11" s="17">
        <f>SUMIFS('SDA'!$G$4:$G$53,'SDA'!$A$4:$A$53,A11,'SDA'!$C$4:$C$53,"Impervious Vehicular")+SUMIFS('SDA'!$G$4:$G$53,'SDA'!$A$4:$A$53,A11,'SDA'!$C$4:$C$53,"Impervious Non-Vehicular")</f>
        <v/>
      </c>
      <c r="J11" s="17">
        <f>SUMIFS('SDA'!$G$4:$G$53,'SDA'!$A$4:$A$53,A11,'SDA'!$C$4:$C$53,"BMP")</f>
        <v/>
      </c>
      <c r="K11" s="17">
        <f>SUMIFS('SDA'!$G$4:$G$53,'SDA'!$A$4:$A$53,A11,'SDA'!$C$4:$C$53,"Impervious Vehicular")</f>
        <v/>
      </c>
      <c r="L11" s="17">
        <f>'SDA'!J65</f>
        <v/>
      </c>
      <c r="M11" s="17">
        <f>IF(K11&gt;0,"Yes","No")</f>
        <v/>
      </c>
    </row>
    <row r="12">
      <c r="A12" s="17">
        <f>'SDA'!A66</f>
        <v/>
      </c>
      <c r="B12" s="17">
        <f>IFERROR(INDEX('SDA'!$B$4:$B$53,MATCH(A12,'SDA'!$A$4:$A$53,0)),"")</f>
        <v/>
      </c>
      <c r="C12" s="17">
        <f>SUMIFS('SDA'!$E$4:$E$53,'SDA'!$A$4:$A$53,A12,'SDA'!$C$4:$C$53,"Natural (Woods)")</f>
        <v/>
      </c>
      <c r="D12" s="17">
        <f>SUMIFS('SDA'!$E$4:$E$53,'SDA'!$A$4:$A$53,A12,'SDA'!$C$4:$C$53,"Compacted (Open Space)")</f>
        <v/>
      </c>
      <c r="E12" s="17">
        <f>SUMIFS('SDA'!$E$4:$E$53,'SDA'!$A$4:$A$53,A12,'SDA'!$C$4:$C$53,"Impervious Vehicular")+SUMIFS('SDA'!$E$4:$E$53,'SDA'!$A$4:$A$53,A12,'SDA'!$C$4:$C$53,"Impervious Non-Vehicular")</f>
        <v/>
      </c>
      <c r="F12" s="17">
        <f>SUMIFS('SDA'!$E$4:$E$53,'SDA'!$A$4:$A$53,A12,'SDA'!$C$4:$C$53,"BMP")</f>
        <v/>
      </c>
      <c r="G12" s="17">
        <f>SUMIFS('SDA'!$G$4:$G$53,'SDA'!$A$4:$A$53,A12,'SDA'!$C$4:$C$53,"Natural (Woods)")</f>
        <v/>
      </c>
      <c r="H12" s="17">
        <f>SUMIFS('SDA'!$G$4:$G$53,'SDA'!$A$4:$A$53,A12,'SDA'!$C$4:$C$53,"Compacted (Open Space)")</f>
        <v/>
      </c>
      <c r="I12" s="17">
        <f>SUMIFS('SDA'!$G$4:$G$53,'SDA'!$A$4:$A$53,A12,'SDA'!$C$4:$C$53,"Impervious Vehicular")+SUMIFS('SDA'!$G$4:$G$53,'SDA'!$A$4:$A$53,A12,'SDA'!$C$4:$C$53,"Impervious Non-Vehicular")</f>
        <v/>
      </c>
      <c r="J12" s="17">
        <f>SUMIFS('SDA'!$G$4:$G$53,'SDA'!$A$4:$A$53,A12,'SDA'!$C$4:$C$53,"BMP")</f>
        <v/>
      </c>
      <c r="K12" s="17">
        <f>SUMIFS('SDA'!$G$4:$G$53,'SDA'!$A$4:$A$53,A12,'SDA'!$C$4:$C$53,"Impervious Vehicular")</f>
        <v/>
      </c>
      <c r="L12" s="17">
        <f>'SDA'!J66</f>
        <v/>
      </c>
      <c r="M12" s="17">
        <f>IF(K12&gt;0,"Yes","No")</f>
        <v/>
      </c>
    </row>
    <row r="13">
      <c r="A13" s="17">
        <f>'SDA'!A67</f>
        <v/>
      </c>
      <c r="B13" s="17">
        <f>IFERROR(INDEX('SDA'!$B$4:$B$53,MATCH(A13,'SDA'!$A$4:$A$53,0)),"")</f>
        <v/>
      </c>
      <c r="C13" s="17">
        <f>SUMIFS('SDA'!$E$4:$E$53,'SDA'!$A$4:$A$53,A13,'SDA'!$C$4:$C$53,"Natural (Woods)")</f>
        <v/>
      </c>
      <c r="D13" s="17">
        <f>SUMIFS('SDA'!$E$4:$E$53,'SDA'!$A$4:$A$53,A13,'SDA'!$C$4:$C$53,"Compacted (Open Space)")</f>
        <v/>
      </c>
      <c r="E13" s="17">
        <f>SUMIFS('SDA'!$E$4:$E$53,'SDA'!$A$4:$A$53,A13,'SDA'!$C$4:$C$53,"Impervious Vehicular")+SUMIFS('SDA'!$E$4:$E$53,'SDA'!$A$4:$A$53,A13,'SDA'!$C$4:$C$53,"Impervious Non-Vehicular")</f>
        <v/>
      </c>
      <c r="F13" s="17">
        <f>SUMIFS('SDA'!$E$4:$E$53,'SDA'!$A$4:$A$53,A13,'SDA'!$C$4:$C$53,"BMP")</f>
        <v/>
      </c>
      <c r="G13" s="17">
        <f>SUMIFS('SDA'!$G$4:$G$53,'SDA'!$A$4:$A$53,A13,'SDA'!$C$4:$C$53,"Natural (Woods)")</f>
        <v/>
      </c>
      <c r="H13" s="17">
        <f>SUMIFS('SDA'!$G$4:$G$53,'SDA'!$A$4:$A$53,A13,'SDA'!$C$4:$C$53,"Compacted (Open Space)")</f>
        <v/>
      </c>
      <c r="I13" s="17">
        <f>SUMIFS('SDA'!$G$4:$G$53,'SDA'!$A$4:$A$53,A13,'SDA'!$C$4:$C$53,"Impervious Vehicular")+SUMIFS('SDA'!$G$4:$G$53,'SDA'!$A$4:$A$53,A13,'SDA'!$C$4:$C$53,"Impervious Non-Vehicular")</f>
        <v/>
      </c>
      <c r="J13" s="17">
        <f>SUMIFS('SDA'!$G$4:$G$53,'SDA'!$A$4:$A$53,A13,'SDA'!$C$4:$C$53,"BMP")</f>
        <v/>
      </c>
      <c r="K13" s="17">
        <f>SUMIFS('SDA'!$G$4:$G$53,'SDA'!$A$4:$A$53,A13,'SDA'!$C$4:$C$53,"Impervious Vehicular")</f>
        <v/>
      </c>
      <c r="L13" s="17">
        <f>'SDA'!J67</f>
        <v/>
      </c>
      <c r="M13" s="17">
        <f>IF(K13&gt;0,"Yes","No")</f>
        <v/>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10" customWidth="1" min="1" max="1"/>
    <col width="12" customWidth="1" min="2" max="2"/>
    <col width="10" customWidth="1" min="3" max="3"/>
    <col width="20" customWidth="1" min="4" max="4"/>
    <col width="20" customWidth="1" min="5" max="5"/>
    <col width="12" customWidth="1" min="6" max="6"/>
    <col width="12" customWidth="1" min="7" max="7"/>
    <col width="12" customWidth="1" min="8" max="8"/>
    <col width="12" customWidth="1" min="9" max="9"/>
    <col width="12" customWidth="1" min="10" max="10"/>
    <col width="12" customWidth="1" min="11" max="11"/>
  </cols>
  <sheetData>
    <row r="1" ht="24" customHeight="1">
      <c r="A1" s="1" t="inlineStr">
        <is>
          <t>DOEE_BMP_DATA — Compliance Calc Sheet 2 mirror</t>
        </is>
      </c>
      <c r="B1" s="5" t="n"/>
      <c r="C1" s="5" t="n"/>
      <c r="D1" s="5" t="n"/>
      <c r="E1" s="5" t="n"/>
      <c r="F1" s="5" t="n"/>
      <c r="G1" s="5" t="n"/>
      <c r="H1" s="5" t="n"/>
      <c r="I1" s="5" t="n"/>
      <c r="J1" s="5" t="n"/>
      <c r="K1" s="2" t="n"/>
    </row>
    <row r="3" ht="36" customHeight="1">
      <c r="A3" s="16" t="inlineStr">
        <is>
          <t>BMP ID</t>
        </is>
      </c>
      <c r="B3" s="16" t="inlineStr">
        <is>
          <t>SDA Number</t>
        </is>
      </c>
      <c r="C3" s="16" t="inlineStr">
        <is>
          <t>BMP # in SDA</t>
        </is>
      </c>
      <c r="D3" s="16" t="inlineStr">
        <is>
          <t>BMP Name</t>
        </is>
      </c>
      <c r="E3" s="16" t="inlineStr">
        <is>
          <t>BMP Group / Sub-Type</t>
        </is>
      </c>
      <c r="F3" s="16" t="inlineStr">
        <is>
          <t>CDA Nat (SF)</t>
        </is>
      </c>
      <c r="G3" s="16" t="inlineStr">
        <is>
          <t>CDA Comp (SF)</t>
        </is>
      </c>
      <c r="H3" s="16" t="inlineStr">
        <is>
          <t>CDA Imp (SF)</t>
        </is>
      </c>
      <c r="I3" s="16" t="inlineStr">
        <is>
          <t>CDA BMP (SF)</t>
        </is>
      </c>
      <c r="J3" s="16" t="inlineStr">
        <is>
          <t>Sv (CF)</t>
        </is>
      </c>
      <c r="K3" s="16" t="inlineStr">
        <is>
          <t>Rv Applied (CF)</t>
        </is>
      </c>
    </row>
    <row r="4">
      <c r="A4" s="17">
        <f>IF('BMP'!A4="","","BMP-"&amp;TEXT(ROW()-3,"0"))</f>
        <v/>
      </c>
      <c r="B4" s="17">
        <f>'BMP'!B4</f>
        <v/>
      </c>
      <c r="C4" s="17">
        <f>IFERROR(COUNTIF('BMP'!$B$4:$B$4,'BMP'!B4),"")</f>
        <v/>
      </c>
      <c r="D4" s="17">
        <f>'BMP'!A4</f>
        <v/>
      </c>
      <c r="E4" s="17">
        <f>IFERROR('BMP'!D4&amp;" / "&amp;'BMP'!E4,"")</f>
        <v/>
      </c>
      <c r="F4" s="17">
        <f>SUMIFS('CDA'!$E$4:$E$53,'CDA'!$A$4:$A$53,'BMP'!C4,'CDA'!$C$4:$C$53,"Natural (Woods)")</f>
        <v/>
      </c>
      <c r="G4" s="17">
        <f>SUMIFS('CDA'!$E$4:$E$53,'CDA'!$A$4:$A$53,'BMP'!C4,'CDA'!$C$4:$C$53,"Compacted (Open Space)")</f>
        <v/>
      </c>
      <c r="H4" s="17">
        <f>SUMIFS('CDA'!$E$4:$E$53,'CDA'!$A$4:$A$53,'BMP'!C4,'CDA'!$C$4:$C$53,"Impervious Vehicular")+SUMIFS('CDA'!$E$4:$E$53,'CDA'!$A$4:$A$53,'BMP'!C4,'CDA'!$C$4:$C$53,"Impervious Non-Vehicular")</f>
        <v/>
      </c>
      <c r="I4" s="17">
        <f>SUMIFS('CDA'!$E$4:$E$53,'CDA'!$A$4:$A$53,'BMP'!C4,'CDA'!$C$4:$C$53,"BMP")</f>
        <v/>
      </c>
      <c r="J4" s="17">
        <f>'BMP'!AI4</f>
        <v/>
      </c>
      <c r="K4" s="17">
        <f>'BMP'!AM4</f>
        <v/>
      </c>
    </row>
    <row r="5">
      <c r="A5" s="17">
        <f>IF('BMP'!A5="","","BMP-"&amp;TEXT(ROW()-3,"0"))</f>
        <v/>
      </c>
      <c r="B5" s="17">
        <f>'BMP'!B5</f>
        <v/>
      </c>
      <c r="C5" s="17">
        <f>IFERROR(COUNTIF('BMP'!$B$4:$B$5,'BMP'!B5),"")</f>
        <v/>
      </c>
      <c r="D5" s="17">
        <f>'BMP'!A5</f>
        <v/>
      </c>
      <c r="E5" s="17">
        <f>IFERROR('BMP'!D5&amp;" / "&amp;'BMP'!E5,"")</f>
        <v/>
      </c>
      <c r="F5" s="17">
        <f>SUMIFS('CDA'!$E$4:$E$53,'CDA'!$A$4:$A$53,'BMP'!C5,'CDA'!$C$4:$C$53,"Natural (Woods)")</f>
        <v/>
      </c>
      <c r="G5" s="17">
        <f>SUMIFS('CDA'!$E$4:$E$53,'CDA'!$A$4:$A$53,'BMP'!C5,'CDA'!$C$4:$C$53,"Compacted (Open Space)")</f>
        <v/>
      </c>
      <c r="H5" s="17">
        <f>SUMIFS('CDA'!$E$4:$E$53,'CDA'!$A$4:$A$53,'BMP'!C5,'CDA'!$C$4:$C$53,"Impervious Vehicular")+SUMIFS('CDA'!$E$4:$E$53,'CDA'!$A$4:$A$53,'BMP'!C5,'CDA'!$C$4:$C$53,"Impervious Non-Vehicular")</f>
        <v/>
      </c>
      <c r="I5" s="17">
        <f>SUMIFS('CDA'!$E$4:$E$53,'CDA'!$A$4:$A$53,'BMP'!C5,'CDA'!$C$4:$C$53,"BMP")</f>
        <v/>
      </c>
      <c r="J5" s="17">
        <f>'BMP'!AI5</f>
        <v/>
      </c>
      <c r="K5" s="17">
        <f>'BMP'!AM5</f>
        <v/>
      </c>
    </row>
    <row r="6">
      <c r="A6" s="17">
        <f>IF('BMP'!A6="","","BMP-"&amp;TEXT(ROW()-3,"0"))</f>
        <v/>
      </c>
      <c r="B6" s="17">
        <f>'BMP'!B6</f>
        <v/>
      </c>
      <c r="C6" s="17">
        <f>IFERROR(COUNTIF('BMP'!$B$4:$B$6,'BMP'!B6),"")</f>
        <v/>
      </c>
      <c r="D6" s="17">
        <f>'BMP'!A6</f>
        <v/>
      </c>
      <c r="E6" s="17">
        <f>IFERROR('BMP'!D6&amp;" / "&amp;'BMP'!E6,"")</f>
        <v/>
      </c>
      <c r="F6" s="17">
        <f>SUMIFS('CDA'!$E$4:$E$53,'CDA'!$A$4:$A$53,'BMP'!C6,'CDA'!$C$4:$C$53,"Natural (Woods)")</f>
        <v/>
      </c>
      <c r="G6" s="17">
        <f>SUMIFS('CDA'!$E$4:$E$53,'CDA'!$A$4:$A$53,'BMP'!C6,'CDA'!$C$4:$C$53,"Compacted (Open Space)")</f>
        <v/>
      </c>
      <c r="H6" s="17">
        <f>SUMIFS('CDA'!$E$4:$E$53,'CDA'!$A$4:$A$53,'BMP'!C6,'CDA'!$C$4:$C$53,"Impervious Vehicular")+SUMIFS('CDA'!$E$4:$E$53,'CDA'!$A$4:$A$53,'BMP'!C6,'CDA'!$C$4:$C$53,"Impervious Non-Vehicular")</f>
        <v/>
      </c>
      <c r="I6" s="17">
        <f>SUMIFS('CDA'!$E$4:$E$53,'CDA'!$A$4:$A$53,'BMP'!C6,'CDA'!$C$4:$C$53,"BMP")</f>
        <v/>
      </c>
      <c r="J6" s="17">
        <f>'BMP'!AI6</f>
        <v/>
      </c>
      <c r="K6" s="17">
        <f>'BMP'!AM6</f>
        <v/>
      </c>
    </row>
    <row r="7">
      <c r="A7" s="17">
        <f>IF('BMP'!A7="","","BMP-"&amp;TEXT(ROW()-3,"0"))</f>
        <v/>
      </c>
      <c r="B7" s="17">
        <f>'BMP'!B7</f>
        <v/>
      </c>
      <c r="C7" s="17">
        <f>IFERROR(COUNTIF('BMP'!$B$4:$B$7,'BMP'!B7),"")</f>
        <v/>
      </c>
      <c r="D7" s="17">
        <f>'BMP'!A7</f>
        <v/>
      </c>
      <c r="E7" s="17">
        <f>IFERROR('BMP'!D7&amp;" / "&amp;'BMP'!E7,"")</f>
        <v/>
      </c>
      <c r="F7" s="17">
        <f>SUMIFS('CDA'!$E$4:$E$53,'CDA'!$A$4:$A$53,'BMP'!C7,'CDA'!$C$4:$C$53,"Natural (Woods)")</f>
        <v/>
      </c>
      <c r="G7" s="17">
        <f>SUMIFS('CDA'!$E$4:$E$53,'CDA'!$A$4:$A$53,'BMP'!C7,'CDA'!$C$4:$C$53,"Compacted (Open Space)")</f>
        <v/>
      </c>
      <c r="H7" s="17">
        <f>SUMIFS('CDA'!$E$4:$E$53,'CDA'!$A$4:$A$53,'BMP'!C7,'CDA'!$C$4:$C$53,"Impervious Vehicular")+SUMIFS('CDA'!$E$4:$E$53,'CDA'!$A$4:$A$53,'BMP'!C7,'CDA'!$C$4:$C$53,"Impervious Non-Vehicular")</f>
        <v/>
      </c>
      <c r="I7" s="17">
        <f>SUMIFS('CDA'!$E$4:$E$53,'CDA'!$A$4:$A$53,'BMP'!C7,'CDA'!$C$4:$C$53,"BMP")</f>
        <v/>
      </c>
      <c r="J7" s="17">
        <f>'BMP'!AI7</f>
        <v/>
      </c>
      <c r="K7" s="17">
        <f>'BMP'!AM7</f>
        <v/>
      </c>
    </row>
    <row r="8">
      <c r="A8" s="17">
        <f>IF('BMP'!A8="","","BMP-"&amp;TEXT(ROW()-3,"0"))</f>
        <v/>
      </c>
      <c r="B8" s="17">
        <f>'BMP'!B8</f>
        <v/>
      </c>
      <c r="C8" s="17">
        <f>IFERROR(COUNTIF('BMP'!$B$4:$B$8,'BMP'!B8),"")</f>
        <v/>
      </c>
      <c r="D8" s="17">
        <f>'BMP'!A8</f>
        <v/>
      </c>
      <c r="E8" s="17">
        <f>IFERROR('BMP'!D8&amp;" / "&amp;'BMP'!E8,"")</f>
        <v/>
      </c>
      <c r="F8" s="17">
        <f>SUMIFS('CDA'!$E$4:$E$53,'CDA'!$A$4:$A$53,'BMP'!C8,'CDA'!$C$4:$C$53,"Natural (Woods)")</f>
        <v/>
      </c>
      <c r="G8" s="17">
        <f>SUMIFS('CDA'!$E$4:$E$53,'CDA'!$A$4:$A$53,'BMP'!C8,'CDA'!$C$4:$C$53,"Compacted (Open Space)")</f>
        <v/>
      </c>
      <c r="H8" s="17">
        <f>SUMIFS('CDA'!$E$4:$E$53,'CDA'!$A$4:$A$53,'BMP'!C8,'CDA'!$C$4:$C$53,"Impervious Vehicular")+SUMIFS('CDA'!$E$4:$E$53,'CDA'!$A$4:$A$53,'BMP'!C8,'CDA'!$C$4:$C$53,"Impervious Non-Vehicular")</f>
        <v/>
      </c>
      <c r="I8" s="17">
        <f>SUMIFS('CDA'!$E$4:$E$53,'CDA'!$A$4:$A$53,'BMP'!C8,'CDA'!$C$4:$C$53,"BMP")</f>
        <v/>
      </c>
      <c r="J8" s="17">
        <f>'BMP'!AI8</f>
        <v/>
      </c>
      <c r="K8" s="17">
        <f>'BMP'!AM8</f>
        <v/>
      </c>
    </row>
    <row r="9">
      <c r="A9" s="17">
        <f>IF('BMP'!A9="","","BMP-"&amp;TEXT(ROW()-3,"0"))</f>
        <v/>
      </c>
      <c r="B9" s="17">
        <f>'BMP'!B9</f>
        <v/>
      </c>
      <c r="C9" s="17">
        <f>IFERROR(COUNTIF('BMP'!$B$4:$B$9,'BMP'!B9),"")</f>
        <v/>
      </c>
      <c r="D9" s="17">
        <f>'BMP'!A9</f>
        <v/>
      </c>
      <c r="E9" s="17">
        <f>IFERROR('BMP'!D9&amp;" / "&amp;'BMP'!E9,"")</f>
        <v/>
      </c>
      <c r="F9" s="17">
        <f>SUMIFS('CDA'!$E$4:$E$53,'CDA'!$A$4:$A$53,'BMP'!C9,'CDA'!$C$4:$C$53,"Natural (Woods)")</f>
        <v/>
      </c>
      <c r="G9" s="17">
        <f>SUMIFS('CDA'!$E$4:$E$53,'CDA'!$A$4:$A$53,'BMP'!C9,'CDA'!$C$4:$C$53,"Compacted (Open Space)")</f>
        <v/>
      </c>
      <c r="H9" s="17">
        <f>SUMIFS('CDA'!$E$4:$E$53,'CDA'!$A$4:$A$53,'BMP'!C9,'CDA'!$C$4:$C$53,"Impervious Vehicular")+SUMIFS('CDA'!$E$4:$E$53,'CDA'!$A$4:$A$53,'BMP'!C9,'CDA'!$C$4:$C$53,"Impervious Non-Vehicular")</f>
        <v/>
      </c>
      <c r="I9" s="17">
        <f>SUMIFS('CDA'!$E$4:$E$53,'CDA'!$A$4:$A$53,'BMP'!C9,'CDA'!$C$4:$C$53,"BMP")</f>
        <v/>
      </c>
      <c r="J9" s="17">
        <f>'BMP'!AI9</f>
        <v/>
      </c>
      <c r="K9" s="17">
        <f>'BMP'!AM9</f>
        <v/>
      </c>
    </row>
    <row r="10">
      <c r="A10" s="17">
        <f>IF('BMP'!A10="","","BMP-"&amp;TEXT(ROW()-3,"0"))</f>
        <v/>
      </c>
      <c r="B10" s="17">
        <f>'BMP'!B10</f>
        <v/>
      </c>
      <c r="C10" s="17">
        <f>IFERROR(COUNTIF('BMP'!$B$4:$B$10,'BMP'!B10),"")</f>
        <v/>
      </c>
      <c r="D10" s="17">
        <f>'BMP'!A10</f>
        <v/>
      </c>
      <c r="E10" s="17">
        <f>IFERROR('BMP'!D10&amp;" / "&amp;'BMP'!E10,"")</f>
        <v/>
      </c>
      <c r="F10" s="17">
        <f>SUMIFS('CDA'!$E$4:$E$53,'CDA'!$A$4:$A$53,'BMP'!C10,'CDA'!$C$4:$C$53,"Natural (Woods)")</f>
        <v/>
      </c>
      <c r="G10" s="17">
        <f>SUMIFS('CDA'!$E$4:$E$53,'CDA'!$A$4:$A$53,'BMP'!C10,'CDA'!$C$4:$C$53,"Compacted (Open Space)")</f>
        <v/>
      </c>
      <c r="H10" s="17">
        <f>SUMIFS('CDA'!$E$4:$E$53,'CDA'!$A$4:$A$53,'BMP'!C10,'CDA'!$C$4:$C$53,"Impervious Vehicular")+SUMIFS('CDA'!$E$4:$E$53,'CDA'!$A$4:$A$53,'BMP'!C10,'CDA'!$C$4:$C$53,"Impervious Non-Vehicular")</f>
        <v/>
      </c>
      <c r="I10" s="17">
        <f>SUMIFS('CDA'!$E$4:$E$53,'CDA'!$A$4:$A$53,'BMP'!C10,'CDA'!$C$4:$C$53,"BMP")</f>
        <v/>
      </c>
      <c r="J10" s="17">
        <f>'BMP'!AI10</f>
        <v/>
      </c>
      <c r="K10" s="17">
        <f>'BMP'!AM10</f>
        <v/>
      </c>
    </row>
    <row r="11">
      <c r="A11" s="17">
        <f>IF('BMP'!A11="","","BMP-"&amp;TEXT(ROW()-3,"0"))</f>
        <v/>
      </c>
      <c r="B11" s="17">
        <f>'BMP'!B11</f>
        <v/>
      </c>
      <c r="C11" s="17">
        <f>IFERROR(COUNTIF('BMP'!$B$4:$B$11,'BMP'!B11),"")</f>
        <v/>
      </c>
      <c r="D11" s="17">
        <f>'BMP'!A11</f>
        <v/>
      </c>
      <c r="E11" s="17">
        <f>IFERROR('BMP'!D11&amp;" / "&amp;'BMP'!E11,"")</f>
        <v/>
      </c>
      <c r="F11" s="17">
        <f>SUMIFS('CDA'!$E$4:$E$53,'CDA'!$A$4:$A$53,'BMP'!C11,'CDA'!$C$4:$C$53,"Natural (Woods)")</f>
        <v/>
      </c>
      <c r="G11" s="17">
        <f>SUMIFS('CDA'!$E$4:$E$53,'CDA'!$A$4:$A$53,'BMP'!C11,'CDA'!$C$4:$C$53,"Compacted (Open Space)")</f>
        <v/>
      </c>
      <c r="H11" s="17">
        <f>SUMIFS('CDA'!$E$4:$E$53,'CDA'!$A$4:$A$53,'BMP'!C11,'CDA'!$C$4:$C$53,"Impervious Vehicular")+SUMIFS('CDA'!$E$4:$E$53,'CDA'!$A$4:$A$53,'BMP'!C11,'CDA'!$C$4:$C$53,"Impervious Non-Vehicular")</f>
        <v/>
      </c>
      <c r="I11" s="17">
        <f>SUMIFS('CDA'!$E$4:$E$53,'CDA'!$A$4:$A$53,'BMP'!C11,'CDA'!$C$4:$C$53,"BMP")</f>
        <v/>
      </c>
      <c r="J11" s="17">
        <f>'BMP'!AI11</f>
        <v/>
      </c>
      <c r="K11" s="17">
        <f>'BMP'!AM11</f>
        <v/>
      </c>
    </row>
    <row r="12">
      <c r="A12" s="17">
        <f>IF('BMP'!A12="","","BMP-"&amp;TEXT(ROW()-3,"0"))</f>
        <v/>
      </c>
      <c r="B12" s="17">
        <f>'BMP'!B12</f>
        <v/>
      </c>
      <c r="C12" s="17">
        <f>IFERROR(COUNTIF('BMP'!$B$4:$B$12,'BMP'!B12),"")</f>
        <v/>
      </c>
      <c r="D12" s="17">
        <f>'BMP'!A12</f>
        <v/>
      </c>
      <c r="E12" s="17">
        <f>IFERROR('BMP'!D12&amp;" / "&amp;'BMP'!E12,"")</f>
        <v/>
      </c>
      <c r="F12" s="17">
        <f>SUMIFS('CDA'!$E$4:$E$53,'CDA'!$A$4:$A$53,'BMP'!C12,'CDA'!$C$4:$C$53,"Natural (Woods)")</f>
        <v/>
      </c>
      <c r="G12" s="17">
        <f>SUMIFS('CDA'!$E$4:$E$53,'CDA'!$A$4:$A$53,'BMP'!C12,'CDA'!$C$4:$C$53,"Compacted (Open Space)")</f>
        <v/>
      </c>
      <c r="H12" s="17">
        <f>SUMIFS('CDA'!$E$4:$E$53,'CDA'!$A$4:$A$53,'BMP'!C12,'CDA'!$C$4:$C$53,"Impervious Vehicular")+SUMIFS('CDA'!$E$4:$E$53,'CDA'!$A$4:$A$53,'BMP'!C12,'CDA'!$C$4:$C$53,"Impervious Non-Vehicular")</f>
        <v/>
      </c>
      <c r="I12" s="17">
        <f>SUMIFS('CDA'!$E$4:$E$53,'CDA'!$A$4:$A$53,'BMP'!C12,'CDA'!$C$4:$C$53,"BMP")</f>
        <v/>
      </c>
      <c r="J12" s="17">
        <f>'BMP'!AI12</f>
        <v/>
      </c>
      <c r="K12" s="17">
        <f>'BMP'!AM12</f>
        <v/>
      </c>
    </row>
    <row r="13">
      <c r="A13" s="17">
        <f>IF('BMP'!A13="","","BMP-"&amp;TEXT(ROW()-3,"0"))</f>
        <v/>
      </c>
      <c r="B13" s="17">
        <f>'BMP'!B13</f>
        <v/>
      </c>
      <c r="C13" s="17">
        <f>IFERROR(COUNTIF('BMP'!$B$4:$B$13,'BMP'!B13),"")</f>
        <v/>
      </c>
      <c r="D13" s="17">
        <f>'BMP'!A13</f>
        <v/>
      </c>
      <c r="E13" s="17">
        <f>IFERROR('BMP'!D13&amp;" / "&amp;'BMP'!E13,"")</f>
        <v/>
      </c>
      <c r="F13" s="17">
        <f>SUMIFS('CDA'!$E$4:$E$53,'CDA'!$A$4:$A$53,'BMP'!C13,'CDA'!$C$4:$C$53,"Natural (Woods)")</f>
        <v/>
      </c>
      <c r="G13" s="17">
        <f>SUMIFS('CDA'!$E$4:$E$53,'CDA'!$A$4:$A$53,'BMP'!C13,'CDA'!$C$4:$C$53,"Compacted (Open Space)")</f>
        <v/>
      </c>
      <c r="H13" s="17">
        <f>SUMIFS('CDA'!$E$4:$E$53,'CDA'!$A$4:$A$53,'BMP'!C13,'CDA'!$C$4:$C$53,"Impervious Vehicular")+SUMIFS('CDA'!$E$4:$E$53,'CDA'!$A$4:$A$53,'BMP'!C13,'CDA'!$C$4:$C$53,"Impervious Non-Vehicular")</f>
        <v/>
      </c>
      <c r="I13" s="17">
        <f>SUMIFS('CDA'!$E$4:$E$53,'CDA'!$A$4:$A$53,'BMP'!C13,'CDA'!$C$4:$C$53,"BMP")</f>
        <v/>
      </c>
      <c r="J13" s="17">
        <f>'BMP'!AI13</f>
        <v/>
      </c>
      <c r="K13" s="17">
        <f>'BMP'!AM13</f>
        <v/>
      </c>
    </row>
    <row r="14">
      <c r="A14" s="17">
        <f>IF('BMP'!A14="","","BMP-"&amp;TEXT(ROW()-3,"0"))</f>
        <v/>
      </c>
      <c r="B14" s="17">
        <f>'BMP'!B14</f>
        <v/>
      </c>
      <c r="C14" s="17">
        <f>IFERROR(COUNTIF('BMP'!$B$4:$B$14,'BMP'!B14),"")</f>
        <v/>
      </c>
      <c r="D14" s="17">
        <f>'BMP'!A14</f>
        <v/>
      </c>
      <c r="E14" s="17">
        <f>IFERROR('BMP'!D14&amp;" / "&amp;'BMP'!E14,"")</f>
        <v/>
      </c>
      <c r="F14" s="17">
        <f>SUMIFS('CDA'!$E$4:$E$53,'CDA'!$A$4:$A$53,'BMP'!C14,'CDA'!$C$4:$C$53,"Natural (Woods)")</f>
        <v/>
      </c>
      <c r="G14" s="17">
        <f>SUMIFS('CDA'!$E$4:$E$53,'CDA'!$A$4:$A$53,'BMP'!C14,'CDA'!$C$4:$C$53,"Compacted (Open Space)")</f>
        <v/>
      </c>
      <c r="H14" s="17">
        <f>SUMIFS('CDA'!$E$4:$E$53,'CDA'!$A$4:$A$53,'BMP'!C14,'CDA'!$C$4:$C$53,"Impervious Vehicular")+SUMIFS('CDA'!$E$4:$E$53,'CDA'!$A$4:$A$53,'BMP'!C14,'CDA'!$C$4:$C$53,"Impervious Non-Vehicular")</f>
        <v/>
      </c>
      <c r="I14" s="17">
        <f>SUMIFS('CDA'!$E$4:$E$53,'CDA'!$A$4:$A$53,'BMP'!C14,'CDA'!$C$4:$C$53,"BMP")</f>
        <v/>
      </c>
      <c r="J14" s="17">
        <f>'BMP'!AI14</f>
        <v/>
      </c>
      <c r="K14" s="17">
        <f>'BMP'!AM14</f>
        <v/>
      </c>
    </row>
    <row r="15">
      <c r="A15" s="17">
        <f>IF('BMP'!A15="","","BMP-"&amp;TEXT(ROW()-3,"0"))</f>
        <v/>
      </c>
      <c r="B15" s="17">
        <f>'BMP'!B15</f>
        <v/>
      </c>
      <c r="C15" s="17">
        <f>IFERROR(COUNTIF('BMP'!$B$4:$B$15,'BMP'!B15),"")</f>
        <v/>
      </c>
      <c r="D15" s="17">
        <f>'BMP'!A15</f>
        <v/>
      </c>
      <c r="E15" s="17">
        <f>IFERROR('BMP'!D15&amp;" / "&amp;'BMP'!E15,"")</f>
        <v/>
      </c>
      <c r="F15" s="17">
        <f>SUMIFS('CDA'!$E$4:$E$53,'CDA'!$A$4:$A$53,'BMP'!C15,'CDA'!$C$4:$C$53,"Natural (Woods)")</f>
        <v/>
      </c>
      <c r="G15" s="17">
        <f>SUMIFS('CDA'!$E$4:$E$53,'CDA'!$A$4:$A$53,'BMP'!C15,'CDA'!$C$4:$C$53,"Compacted (Open Space)")</f>
        <v/>
      </c>
      <c r="H15" s="17">
        <f>SUMIFS('CDA'!$E$4:$E$53,'CDA'!$A$4:$A$53,'BMP'!C15,'CDA'!$C$4:$C$53,"Impervious Vehicular")+SUMIFS('CDA'!$E$4:$E$53,'CDA'!$A$4:$A$53,'BMP'!C15,'CDA'!$C$4:$C$53,"Impervious Non-Vehicular")</f>
        <v/>
      </c>
      <c r="I15" s="17">
        <f>SUMIFS('CDA'!$E$4:$E$53,'CDA'!$A$4:$A$53,'BMP'!C15,'CDA'!$C$4:$C$53,"BMP")</f>
        <v/>
      </c>
      <c r="J15" s="17">
        <f>'BMP'!AI15</f>
        <v/>
      </c>
      <c r="K15" s="17">
        <f>'BMP'!AM15</f>
        <v/>
      </c>
    </row>
    <row r="16">
      <c r="A16" s="17">
        <f>IF('BMP'!A16="","","BMP-"&amp;TEXT(ROW()-3,"0"))</f>
        <v/>
      </c>
      <c r="B16" s="17">
        <f>'BMP'!B16</f>
        <v/>
      </c>
      <c r="C16" s="17">
        <f>IFERROR(COUNTIF('BMP'!$B$4:$B$16,'BMP'!B16),"")</f>
        <v/>
      </c>
      <c r="D16" s="17">
        <f>'BMP'!A16</f>
        <v/>
      </c>
      <c r="E16" s="17">
        <f>IFERROR('BMP'!D16&amp;" / "&amp;'BMP'!E16,"")</f>
        <v/>
      </c>
      <c r="F16" s="17">
        <f>SUMIFS('CDA'!$E$4:$E$53,'CDA'!$A$4:$A$53,'BMP'!C16,'CDA'!$C$4:$C$53,"Natural (Woods)")</f>
        <v/>
      </c>
      <c r="G16" s="17">
        <f>SUMIFS('CDA'!$E$4:$E$53,'CDA'!$A$4:$A$53,'BMP'!C16,'CDA'!$C$4:$C$53,"Compacted (Open Space)")</f>
        <v/>
      </c>
      <c r="H16" s="17">
        <f>SUMIFS('CDA'!$E$4:$E$53,'CDA'!$A$4:$A$53,'BMP'!C16,'CDA'!$C$4:$C$53,"Impervious Vehicular")+SUMIFS('CDA'!$E$4:$E$53,'CDA'!$A$4:$A$53,'BMP'!C16,'CDA'!$C$4:$C$53,"Impervious Non-Vehicular")</f>
        <v/>
      </c>
      <c r="I16" s="17">
        <f>SUMIFS('CDA'!$E$4:$E$53,'CDA'!$A$4:$A$53,'BMP'!C16,'CDA'!$C$4:$C$53,"BMP")</f>
        <v/>
      </c>
      <c r="J16" s="17">
        <f>'BMP'!AI16</f>
        <v/>
      </c>
      <c r="K16" s="17">
        <f>'BMP'!AM16</f>
        <v/>
      </c>
    </row>
    <row r="17">
      <c r="A17" s="17">
        <f>IF('BMP'!A17="","","BMP-"&amp;TEXT(ROW()-3,"0"))</f>
        <v/>
      </c>
      <c r="B17" s="17">
        <f>'BMP'!B17</f>
        <v/>
      </c>
      <c r="C17" s="17">
        <f>IFERROR(COUNTIF('BMP'!$B$4:$B$17,'BMP'!B17),"")</f>
        <v/>
      </c>
      <c r="D17" s="17">
        <f>'BMP'!A17</f>
        <v/>
      </c>
      <c r="E17" s="17">
        <f>IFERROR('BMP'!D17&amp;" / "&amp;'BMP'!E17,"")</f>
        <v/>
      </c>
      <c r="F17" s="17">
        <f>SUMIFS('CDA'!$E$4:$E$53,'CDA'!$A$4:$A$53,'BMP'!C17,'CDA'!$C$4:$C$53,"Natural (Woods)")</f>
        <v/>
      </c>
      <c r="G17" s="17">
        <f>SUMIFS('CDA'!$E$4:$E$53,'CDA'!$A$4:$A$53,'BMP'!C17,'CDA'!$C$4:$C$53,"Compacted (Open Space)")</f>
        <v/>
      </c>
      <c r="H17" s="17">
        <f>SUMIFS('CDA'!$E$4:$E$53,'CDA'!$A$4:$A$53,'BMP'!C17,'CDA'!$C$4:$C$53,"Impervious Vehicular")+SUMIFS('CDA'!$E$4:$E$53,'CDA'!$A$4:$A$53,'BMP'!C17,'CDA'!$C$4:$C$53,"Impervious Non-Vehicular")</f>
        <v/>
      </c>
      <c r="I17" s="17">
        <f>SUMIFS('CDA'!$E$4:$E$53,'CDA'!$A$4:$A$53,'BMP'!C17,'CDA'!$C$4:$C$53,"BMP")</f>
        <v/>
      </c>
      <c r="J17" s="17">
        <f>'BMP'!AI17</f>
        <v/>
      </c>
      <c r="K17" s="17">
        <f>'BMP'!AM17</f>
        <v/>
      </c>
    </row>
    <row r="18">
      <c r="A18" s="17">
        <f>IF('BMP'!A18="","","BMP-"&amp;TEXT(ROW()-3,"0"))</f>
        <v/>
      </c>
      <c r="B18" s="17">
        <f>'BMP'!B18</f>
        <v/>
      </c>
      <c r="C18" s="17">
        <f>IFERROR(COUNTIF('BMP'!$B$4:$B$18,'BMP'!B18),"")</f>
        <v/>
      </c>
      <c r="D18" s="17">
        <f>'BMP'!A18</f>
        <v/>
      </c>
      <c r="E18" s="17">
        <f>IFERROR('BMP'!D18&amp;" / "&amp;'BMP'!E18,"")</f>
        <v/>
      </c>
      <c r="F18" s="17">
        <f>SUMIFS('CDA'!$E$4:$E$53,'CDA'!$A$4:$A$53,'BMP'!C18,'CDA'!$C$4:$C$53,"Natural (Woods)")</f>
        <v/>
      </c>
      <c r="G18" s="17">
        <f>SUMIFS('CDA'!$E$4:$E$53,'CDA'!$A$4:$A$53,'BMP'!C18,'CDA'!$C$4:$C$53,"Compacted (Open Space)")</f>
        <v/>
      </c>
      <c r="H18" s="17">
        <f>SUMIFS('CDA'!$E$4:$E$53,'CDA'!$A$4:$A$53,'BMP'!C18,'CDA'!$C$4:$C$53,"Impervious Vehicular")+SUMIFS('CDA'!$E$4:$E$53,'CDA'!$A$4:$A$53,'BMP'!C18,'CDA'!$C$4:$C$53,"Impervious Non-Vehicular")</f>
        <v/>
      </c>
      <c r="I18" s="17">
        <f>SUMIFS('CDA'!$E$4:$E$53,'CDA'!$A$4:$A$53,'BMP'!C18,'CDA'!$C$4:$C$53,"BMP")</f>
        <v/>
      </c>
      <c r="J18" s="17">
        <f>'BMP'!AI18</f>
        <v/>
      </c>
      <c r="K18" s="17">
        <f>'BMP'!AM18</f>
        <v/>
      </c>
    </row>
    <row r="19">
      <c r="A19" s="17">
        <f>IF('BMP'!A19="","","BMP-"&amp;TEXT(ROW()-3,"0"))</f>
        <v/>
      </c>
      <c r="B19" s="17">
        <f>'BMP'!B19</f>
        <v/>
      </c>
      <c r="C19" s="17">
        <f>IFERROR(COUNTIF('BMP'!$B$4:$B$19,'BMP'!B19),"")</f>
        <v/>
      </c>
      <c r="D19" s="17">
        <f>'BMP'!A19</f>
        <v/>
      </c>
      <c r="E19" s="17">
        <f>IFERROR('BMP'!D19&amp;" / "&amp;'BMP'!E19,"")</f>
        <v/>
      </c>
      <c r="F19" s="17">
        <f>SUMIFS('CDA'!$E$4:$E$53,'CDA'!$A$4:$A$53,'BMP'!C19,'CDA'!$C$4:$C$53,"Natural (Woods)")</f>
        <v/>
      </c>
      <c r="G19" s="17">
        <f>SUMIFS('CDA'!$E$4:$E$53,'CDA'!$A$4:$A$53,'BMP'!C19,'CDA'!$C$4:$C$53,"Compacted (Open Space)")</f>
        <v/>
      </c>
      <c r="H19" s="17">
        <f>SUMIFS('CDA'!$E$4:$E$53,'CDA'!$A$4:$A$53,'BMP'!C19,'CDA'!$C$4:$C$53,"Impervious Vehicular")+SUMIFS('CDA'!$E$4:$E$53,'CDA'!$A$4:$A$53,'BMP'!C19,'CDA'!$C$4:$C$53,"Impervious Non-Vehicular")</f>
        <v/>
      </c>
      <c r="I19" s="17">
        <f>SUMIFS('CDA'!$E$4:$E$53,'CDA'!$A$4:$A$53,'BMP'!C19,'CDA'!$C$4:$C$53,"BMP")</f>
        <v/>
      </c>
      <c r="J19" s="17">
        <f>'BMP'!AI19</f>
        <v/>
      </c>
      <c r="K19" s="17">
        <f>'BMP'!AM19</f>
        <v/>
      </c>
    </row>
    <row r="20">
      <c r="A20" s="17">
        <f>IF('BMP'!A20="","","BMP-"&amp;TEXT(ROW()-3,"0"))</f>
        <v/>
      </c>
      <c r="B20" s="17">
        <f>'BMP'!B20</f>
        <v/>
      </c>
      <c r="C20" s="17">
        <f>IFERROR(COUNTIF('BMP'!$B$4:$B$20,'BMP'!B20),"")</f>
        <v/>
      </c>
      <c r="D20" s="17">
        <f>'BMP'!A20</f>
        <v/>
      </c>
      <c r="E20" s="17">
        <f>IFERROR('BMP'!D20&amp;" / "&amp;'BMP'!E20,"")</f>
        <v/>
      </c>
      <c r="F20" s="17">
        <f>SUMIFS('CDA'!$E$4:$E$53,'CDA'!$A$4:$A$53,'BMP'!C20,'CDA'!$C$4:$C$53,"Natural (Woods)")</f>
        <v/>
      </c>
      <c r="G20" s="17">
        <f>SUMIFS('CDA'!$E$4:$E$53,'CDA'!$A$4:$A$53,'BMP'!C20,'CDA'!$C$4:$C$53,"Compacted (Open Space)")</f>
        <v/>
      </c>
      <c r="H20" s="17">
        <f>SUMIFS('CDA'!$E$4:$E$53,'CDA'!$A$4:$A$53,'BMP'!C20,'CDA'!$C$4:$C$53,"Impervious Vehicular")+SUMIFS('CDA'!$E$4:$E$53,'CDA'!$A$4:$A$53,'BMP'!C20,'CDA'!$C$4:$C$53,"Impervious Non-Vehicular")</f>
        <v/>
      </c>
      <c r="I20" s="17">
        <f>SUMIFS('CDA'!$E$4:$E$53,'CDA'!$A$4:$A$53,'BMP'!C20,'CDA'!$C$4:$C$53,"BMP")</f>
        <v/>
      </c>
      <c r="J20" s="17">
        <f>'BMP'!AI20</f>
        <v/>
      </c>
      <c r="K20" s="17">
        <f>'BMP'!AM20</f>
        <v/>
      </c>
    </row>
    <row r="21">
      <c r="A21" s="17">
        <f>IF('BMP'!A21="","","BMP-"&amp;TEXT(ROW()-3,"0"))</f>
        <v/>
      </c>
      <c r="B21" s="17">
        <f>'BMP'!B21</f>
        <v/>
      </c>
      <c r="C21" s="17">
        <f>IFERROR(COUNTIF('BMP'!$B$4:$B$21,'BMP'!B21),"")</f>
        <v/>
      </c>
      <c r="D21" s="17">
        <f>'BMP'!A21</f>
        <v/>
      </c>
      <c r="E21" s="17">
        <f>IFERROR('BMP'!D21&amp;" / "&amp;'BMP'!E21,"")</f>
        <v/>
      </c>
      <c r="F21" s="17">
        <f>SUMIFS('CDA'!$E$4:$E$53,'CDA'!$A$4:$A$53,'BMP'!C21,'CDA'!$C$4:$C$53,"Natural (Woods)")</f>
        <v/>
      </c>
      <c r="G21" s="17">
        <f>SUMIFS('CDA'!$E$4:$E$53,'CDA'!$A$4:$A$53,'BMP'!C21,'CDA'!$C$4:$C$53,"Compacted (Open Space)")</f>
        <v/>
      </c>
      <c r="H21" s="17">
        <f>SUMIFS('CDA'!$E$4:$E$53,'CDA'!$A$4:$A$53,'BMP'!C21,'CDA'!$C$4:$C$53,"Impervious Vehicular")+SUMIFS('CDA'!$E$4:$E$53,'CDA'!$A$4:$A$53,'BMP'!C21,'CDA'!$C$4:$C$53,"Impervious Non-Vehicular")</f>
        <v/>
      </c>
      <c r="I21" s="17">
        <f>SUMIFS('CDA'!$E$4:$E$53,'CDA'!$A$4:$A$53,'BMP'!C21,'CDA'!$C$4:$C$53,"BMP")</f>
        <v/>
      </c>
      <c r="J21" s="17">
        <f>'BMP'!AI21</f>
        <v/>
      </c>
      <c r="K21" s="17">
        <f>'BMP'!AM21</f>
        <v/>
      </c>
    </row>
    <row r="22">
      <c r="A22" s="17">
        <f>IF('BMP'!A22="","","BMP-"&amp;TEXT(ROW()-3,"0"))</f>
        <v/>
      </c>
      <c r="B22" s="17">
        <f>'BMP'!B22</f>
        <v/>
      </c>
      <c r="C22" s="17">
        <f>IFERROR(COUNTIF('BMP'!$B$4:$B$22,'BMP'!B22),"")</f>
        <v/>
      </c>
      <c r="D22" s="17">
        <f>'BMP'!A22</f>
        <v/>
      </c>
      <c r="E22" s="17">
        <f>IFERROR('BMP'!D22&amp;" / "&amp;'BMP'!E22,"")</f>
        <v/>
      </c>
      <c r="F22" s="17">
        <f>SUMIFS('CDA'!$E$4:$E$53,'CDA'!$A$4:$A$53,'BMP'!C22,'CDA'!$C$4:$C$53,"Natural (Woods)")</f>
        <v/>
      </c>
      <c r="G22" s="17">
        <f>SUMIFS('CDA'!$E$4:$E$53,'CDA'!$A$4:$A$53,'BMP'!C22,'CDA'!$C$4:$C$53,"Compacted (Open Space)")</f>
        <v/>
      </c>
      <c r="H22" s="17">
        <f>SUMIFS('CDA'!$E$4:$E$53,'CDA'!$A$4:$A$53,'BMP'!C22,'CDA'!$C$4:$C$53,"Impervious Vehicular")+SUMIFS('CDA'!$E$4:$E$53,'CDA'!$A$4:$A$53,'BMP'!C22,'CDA'!$C$4:$C$53,"Impervious Non-Vehicular")</f>
        <v/>
      </c>
      <c r="I22" s="17">
        <f>SUMIFS('CDA'!$E$4:$E$53,'CDA'!$A$4:$A$53,'BMP'!C22,'CDA'!$C$4:$C$53,"BMP")</f>
        <v/>
      </c>
      <c r="J22" s="17">
        <f>'BMP'!AI22</f>
        <v/>
      </c>
      <c r="K22" s="17">
        <f>'BMP'!AM22</f>
        <v/>
      </c>
    </row>
    <row r="23">
      <c r="A23" s="17">
        <f>IF('BMP'!A23="","","BMP-"&amp;TEXT(ROW()-3,"0"))</f>
        <v/>
      </c>
      <c r="B23" s="17">
        <f>'BMP'!B23</f>
        <v/>
      </c>
      <c r="C23" s="17">
        <f>IFERROR(COUNTIF('BMP'!$B$4:$B$23,'BMP'!B23),"")</f>
        <v/>
      </c>
      <c r="D23" s="17">
        <f>'BMP'!A23</f>
        <v/>
      </c>
      <c r="E23" s="17">
        <f>IFERROR('BMP'!D23&amp;" / "&amp;'BMP'!E23,"")</f>
        <v/>
      </c>
      <c r="F23" s="17">
        <f>SUMIFS('CDA'!$E$4:$E$53,'CDA'!$A$4:$A$53,'BMP'!C23,'CDA'!$C$4:$C$53,"Natural (Woods)")</f>
        <v/>
      </c>
      <c r="G23" s="17">
        <f>SUMIFS('CDA'!$E$4:$E$53,'CDA'!$A$4:$A$53,'BMP'!C23,'CDA'!$C$4:$C$53,"Compacted (Open Space)")</f>
        <v/>
      </c>
      <c r="H23" s="17">
        <f>SUMIFS('CDA'!$E$4:$E$53,'CDA'!$A$4:$A$53,'BMP'!C23,'CDA'!$C$4:$C$53,"Impervious Vehicular")+SUMIFS('CDA'!$E$4:$E$53,'CDA'!$A$4:$A$53,'BMP'!C23,'CDA'!$C$4:$C$53,"Impervious Non-Vehicular")</f>
        <v/>
      </c>
      <c r="I23" s="17">
        <f>SUMIFS('CDA'!$E$4:$E$53,'CDA'!$A$4:$A$53,'BMP'!C23,'CDA'!$C$4:$C$53,"BMP")</f>
        <v/>
      </c>
      <c r="J23" s="17">
        <f>'BMP'!AI23</f>
        <v/>
      </c>
      <c r="K23" s="17">
        <f>'BMP'!AM23</f>
        <v/>
      </c>
    </row>
    <row r="24">
      <c r="A24" s="17">
        <f>IF('BMP'!A24="","","BMP-"&amp;TEXT(ROW()-3,"0"))</f>
        <v/>
      </c>
      <c r="B24" s="17">
        <f>'BMP'!B24</f>
        <v/>
      </c>
      <c r="C24" s="17">
        <f>IFERROR(COUNTIF('BMP'!$B$4:$B$24,'BMP'!B24),"")</f>
        <v/>
      </c>
      <c r="D24" s="17">
        <f>'BMP'!A24</f>
        <v/>
      </c>
      <c r="E24" s="17">
        <f>IFERROR('BMP'!D24&amp;" / "&amp;'BMP'!E24,"")</f>
        <v/>
      </c>
      <c r="F24" s="17">
        <f>SUMIFS('CDA'!$E$4:$E$53,'CDA'!$A$4:$A$53,'BMP'!C24,'CDA'!$C$4:$C$53,"Natural (Woods)")</f>
        <v/>
      </c>
      <c r="G24" s="17">
        <f>SUMIFS('CDA'!$E$4:$E$53,'CDA'!$A$4:$A$53,'BMP'!C24,'CDA'!$C$4:$C$53,"Compacted (Open Space)")</f>
        <v/>
      </c>
      <c r="H24" s="17">
        <f>SUMIFS('CDA'!$E$4:$E$53,'CDA'!$A$4:$A$53,'BMP'!C24,'CDA'!$C$4:$C$53,"Impervious Vehicular")+SUMIFS('CDA'!$E$4:$E$53,'CDA'!$A$4:$A$53,'BMP'!C24,'CDA'!$C$4:$C$53,"Impervious Non-Vehicular")</f>
        <v/>
      </c>
      <c r="I24" s="17">
        <f>SUMIFS('CDA'!$E$4:$E$53,'CDA'!$A$4:$A$53,'BMP'!C24,'CDA'!$C$4:$C$53,"BMP")</f>
        <v/>
      </c>
      <c r="J24" s="17">
        <f>'BMP'!AI24</f>
        <v/>
      </c>
      <c r="K24" s="17">
        <f>'BMP'!AM24</f>
        <v/>
      </c>
    </row>
    <row r="25">
      <c r="A25" s="17">
        <f>IF('BMP'!A25="","","BMP-"&amp;TEXT(ROW()-3,"0"))</f>
        <v/>
      </c>
      <c r="B25" s="17">
        <f>'BMP'!B25</f>
        <v/>
      </c>
      <c r="C25" s="17">
        <f>IFERROR(COUNTIF('BMP'!$B$4:$B$25,'BMP'!B25),"")</f>
        <v/>
      </c>
      <c r="D25" s="17">
        <f>'BMP'!A25</f>
        <v/>
      </c>
      <c r="E25" s="17">
        <f>IFERROR('BMP'!D25&amp;" / "&amp;'BMP'!E25,"")</f>
        <v/>
      </c>
      <c r="F25" s="17">
        <f>SUMIFS('CDA'!$E$4:$E$53,'CDA'!$A$4:$A$53,'BMP'!C25,'CDA'!$C$4:$C$53,"Natural (Woods)")</f>
        <v/>
      </c>
      <c r="G25" s="17">
        <f>SUMIFS('CDA'!$E$4:$E$53,'CDA'!$A$4:$A$53,'BMP'!C25,'CDA'!$C$4:$C$53,"Compacted (Open Space)")</f>
        <v/>
      </c>
      <c r="H25" s="17">
        <f>SUMIFS('CDA'!$E$4:$E$53,'CDA'!$A$4:$A$53,'BMP'!C25,'CDA'!$C$4:$C$53,"Impervious Vehicular")+SUMIFS('CDA'!$E$4:$E$53,'CDA'!$A$4:$A$53,'BMP'!C25,'CDA'!$C$4:$C$53,"Impervious Non-Vehicular")</f>
        <v/>
      </c>
      <c r="I25" s="17">
        <f>SUMIFS('CDA'!$E$4:$E$53,'CDA'!$A$4:$A$53,'BMP'!C25,'CDA'!$C$4:$C$53,"BMP")</f>
        <v/>
      </c>
      <c r="J25" s="17">
        <f>'BMP'!AI25</f>
        <v/>
      </c>
      <c r="K25" s="17">
        <f>'BMP'!AM25</f>
        <v/>
      </c>
    </row>
    <row r="26">
      <c r="A26" s="17">
        <f>IF('BMP'!A26="","","BMP-"&amp;TEXT(ROW()-3,"0"))</f>
        <v/>
      </c>
      <c r="B26" s="17">
        <f>'BMP'!B26</f>
        <v/>
      </c>
      <c r="C26" s="17">
        <f>IFERROR(COUNTIF('BMP'!$B$4:$B$26,'BMP'!B26),"")</f>
        <v/>
      </c>
      <c r="D26" s="17">
        <f>'BMP'!A26</f>
        <v/>
      </c>
      <c r="E26" s="17">
        <f>IFERROR('BMP'!D26&amp;" / "&amp;'BMP'!E26,"")</f>
        <v/>
      </c>
      <c r="F26" s="17">
        <f>SUMIFS('CDA'!$E$4:$E$53,'CDA'!$A$4:$A$53,'BMP'!C26,'CDA'!$C$4:$C$53,"Natural (Woods)")</f>
        <v/>
      </c>
      <c r="G26" s="17">
        <f>SUMIFS('CDA'!$E$4:$E$53,'CDA'!$A$4:$A$53,'BMP'!C26,'CDA'!$C$4:$C$53,"Compacted (Open Space)")</f>
        <v/>
      </c>
      <c r="H26" s="17">
        <f>SUMIFS('CDA'!$E$4:$E$53,'CDA'!$A$4:$A$53,'BMP'!C26,'CDA'!$C$4:$C$53,"Impervious Vehicular")+SUMIFS('CDA'!$E$4:$E$53,'CDA'!$A$4:$A$53,'BMP'!C26,'CDA'!$C$4:$C$53,"Impervious Non-Vehicular")</f>
        <v/>
      </c>
      <c r="I26" s="17">
        <f>SUMIFS('CDA'!$E$4:$E$53,'CDA'!$A$4:$A$53,'BMP'!C26,'CDA'!$C$4:$C$53,"BMP")</f>
        <v/>
      </c>
      <c r="J26" s="17">
        <f>'BMP'!AI26</f>
        <v/>
      </c>
      <c r="K26" s="17">
        <f>'BMP'!AM26</f>
        <v/>
      </c>
    </row>
    <row r="27">
      <c r="A27" s="17">
        <f>IF('BMP'!A27="","","BMP-"&amp;TEXT(ROW()-3,"0"))</f>
        <v/>
      </c>
      <c r="B27" s="17">
        <f>'BMP'!B27</f>
        <v/>
      </c>
      <c r="C27" s="17">
        <f>IFERROR(COUNTIF('BMP'!$B$4:$B$27,'BMP'!B27),"")</f>
        <v/>
      </c>
      <c r="D27" s="17">
        <f>'BMP'!A27</f>
        <v/>
      </c>
      <c r="E27" s="17">
        <f>IFERROR('BMP'!D27&amp;" / "&amp;'BMP'!E27,"")</f>
        <v/>
      </c>
      <c r="F27" s="17">
        <f>SUMIFS('CDA'!$E$4:$E$53,'CDA'!$A$4:$A$53,'BMP'!C27,'CDA'!$C$4:$C$53,"Natural (Woods)")</f>
        <v/>
      </c>
      <c r="G27" s="17">
        <f>SUMIFS('CDA'!$E$4:$E$53,'CDA'!$A$4:$A$53,'BMP'!C27,'CDA'!$C$4:$C$53,"Compacted (Open Space)")</f>
        <v/>
      </c>
      <c r="H27" s="17">
        <f>SUMIFS('CDA'!$E$4:$E$53,'CDA'!$A$4:$A$53,'BMP'!C27,'CDA'!$C$4:$C$53,"Impervious Vehicular")+SUMIFS('CDA'!$E$4:$E$53,'CDA'!$A$4:$A$53,'BMP'!C27,'CDA'!$C$4:$C$53,"Impervious Non-Vehicular")</f>
        <v/>
      </c>
      <c r="I27" s="17">
        <f>SUMIFS('CDA'!$E$4:$E$53,'CDA'!$A$4:$A$53,'BMP'!C27,'CDA'!$C$4:$C$53,"BMP")</f>
        <v/>
      </c>
      <c r="J27" s="17">
        <f>'BMP'!AI27</f>
        <v/>
      </c>
      <c r="K27" s="17">
        <f>'BMP'!AM27</f>
        <v/>
      </c>
    </row>
    <row r="28">
      <c r="A28" s="17">
        <f>IF('BMP'!A28="","","BMP-"&amp;TEXT(ROW()-3,"0"))</f>
        <v/>
      </c>
      <c r="B28" s="17">
        <f>'BMP'!B28</f>
        <v/>
      </c>
      <c r="C28" s="17">
        <f>IFERROR(COUNTIF('BMP'!$B$4:$B$28,'BMP'!B28),"")</f>
        <v/>
      </c>
      <c r="D28" s="17">
        <f>'BMP'!A28</f>
        <v/>
      </c>
      <c r="E28" s="17">
        <f>IFERROR('BMP'!D28&amp;" / "&amp;'BMP'!E28,"")</f>
        <v/>
      </c>
      <c r="F28" s="17">
        <f>SUMIFS('CDA'!$E$4:$E$53,'CDA'!$A$4:$A$53,'BMP'!C28,'CDA'!$C$4:$C$53,"Natural (Woods)")</f>
        <v/>
      </c>
      <c r="G28" s="17">
        <f>SUMIFS('CDA'!$E$4:$E$53,'CDA'!$A$4:$A$53,'BMP'!C28,'CDA'!$C$4:$C$53,"Compacted (Open Space)")</f>
        <v/>
      </c>
      <c r="H28" s="17">
        <f>SUMIFS('CDA'!$E$4:$E$53,'CDA'!$A$4:$A$53,'BMP'!C28,'CDA'!$C$4:$C$53,"Impervious Vehicular")+SUMIFS('CDA'!$E$4:$E$53,'CDA'!$A$4:$A$53,'BMP'!C28,'CDA'!$C$4:$C$53,"Impervious Non-Vehicular")</f>
        <v/>
      </c>
      <c r="I28" s="17">
        <f>SUMIFS('CDA'!$E$4:$E$53,'CDA'!$A$4:$A$53,'BMP'!C28,'CDA'!$C$4:$C$53,"BMP")</f>
        <v/>
      </c>
      <c r="J28" s="17">
        <f>'BMP'!AI28</f>
        <v/>
      </c>
      <c r="K28" s="17">
        <f>'BMP'!AM28</f>
        <v/>
      </c>
    </row>
    <row r="29">
      <c r="A29" s="17">
        <f>IF('BMP'!A29="","","BMP-"&amp;TEXT(ROW()-3,"0"))</f>
        <v/>
      </c>
      <c r="B29" s="17">
        <f>'BMP'!B29</f>
        <v/>
      </c>
      <c r="C29" s="17">
        <f>IFERROR(COUNTIF('BMP'!$B$4:$B$29,'BMP'!B29),"")</f>
        <v/>
      </c>
      <c r="D29" s="17">
        <f>'BMP'!A29</f>
        <v/>
      </c>
      <c r="E29" s="17">
        <f>IFERROR('BMP'!D29&amp;" / "&amp;'BMP'!E29,"")</f>
        <v/>
      </c>
      <c r="F29" s="17">
        <f>SUMIFS('CDA'!$E$4:$E$53,'CDA'!$A$4:$A$53,'BMP'!C29,'CDA'!$C$4:$C$53,"Natural (Woods)")</f>
        <v/>
      </c>
      <c r="G29" s="17">
        <f>SUMIFS('CDA'!$E$4:$E$53,'CDA'!$A$4:$A$53,'BMP'!C29,'CDA'!$C$4:$C$53,"Compacted (Open Space)")</f>
        <v/>
      </c>
      <c r="H29" s="17">
        <f>SUMIFS('CDA'!$E$4:$E$53,'CDA'!$A$4:$A$53,'BMP'!C29,'CDA'!$C$4:$C$53,"Impervious Vehicular")+SUMIFS('CDA'!$E$4:$E$53,'CDA'!$A$4:$A$53,'BMP'!C29,'CDA'!$C$4:$C$53,"Impervious Non-Vehicular")</f>
        <v/>
      </c>
      <c r="I29" s="17">
        <f>SUMIFS('CDA'!$E$4:$E$53,'CDA'!$A$4:$A$53,'BMP'!C29,'CDA'!$C$4:$C$53,"BMP")</f>
        <v/>
      </c>
      <c r="J29" s="17">
        <f>'BMP'!AI29</f>
        <v/>
      </c>
      <c r="K29" s="17">
        <f>'BMP'!AM29</f>
        <v/>
      </c>
    </row>
    <row r="30">
      <c r="A30" s="17">
        <f>IF('BMP'!A30="","","BMP-"&amp;TEXT(ROW()-3,"0"))</f>
        <v/>
      </c>
      <c r="B30" s="17">
        <f>'BMP'!B30</f>
        <v/>
      </c>
      <c r="C30" s="17">
        <f>IFERROR(COUNTIF('BMP'!$B$4:$B$30,'BMP'!B30),"")</f>
        <v/>
      </c>
      <c r="D30" s="17">
        <f>'BMP'!A30</f>
        <v/>
      </c>
      <c r="E30" s="17">
        <f>IFERROR('BMP'!D30&amp;" / "&amp;'BMP'!E30,"")</f>
        <v/>
      </c>
      <c r="F30" s="17">
        <f>SUMIFS('CDA'!$E$4:$E$53,'CDA'!$A$4:$A$53,'BMP'!C30,'CDA'!$C$4:$C$53,"Natural (Woods)")</f>
        <v/>
      </c>
      <c r="G30" s="17">
        <f>SUMIFS('CDA'!$E$4:$E$53,'CDA'!$A$4:$A$53,'BMP'!C30,'CDA'!$C$4:$C$53,"Compacted (Open Space)")</f>
        <v/>
      </c>
      <c r="H30" s="17">
        <f>SUMIFS('CDA'!$E$4:$E$53,'CDA'!$A$4:$A$53,'BMP'!C30,'CDA'!$C$4:$C$53,"Impervious Vehicular")+SUMIFS('CDA'!$E$4:$E$53,'CDA'!$A$4:$A$53,'BMP'!C30,'CDA'!$C$4:$C$53,"Impervious Non-Vehicular")</f>
        <v/>
      </c>
      <c r="I30" s="17">
        <f>SUMIFS('CDA'!$E$4:$E$53,'CDA'!$A$4:$A$53,'BMP'!C30,'CDA'!$C$4:$C$53,"BMP")</f>
        <v/>
      </c>
      <c r="J30" s="17">
        <f>'BMP'!AI30</f>
        <v/>
      </c>
      <c r="K30" s="17">
        <f>'BMP'!AM30</f>
        <v/>
      </c>
    </row>
    <row r="31">
      <c r="A31" s="17">
        <f>IF('BMP'!A31="","","BMP-"&amp;TEXT(ROW()-3,"0"))</f>
        <v/>
      </c>
      <c r="B31" s="17">
        <f>'BMP'!B31</f>
        <v/>
      </c>
      <c r="C31" s="17">
        <f>IFERROR(COUNTIF('BMP'!$B$4:$B$31,'BMP'!B31),"")</f>
        <v/>
      </c>
      <c r="D31" s="17">
        <f>'BMP'!A31</f>
        <v/>
      </c>
      <c r="E31" s="17">
        <f>IFERROR('BMP'!D31&amp;" / "&amp;'BMP'!E31,"")</f>
        <v/>
      </c>
      <c r="F31" s="17">
        <f>SUMIFS('CDA'!$E$4:$E$53,'CDA'!$A$4:$A$53,'BMP'!C31,'CDA'!$C$4:$C$53,"Natural (Woods)")</f>
        <v/>
      </c>
      <c r="G31" s="17">
        <f>SUMIFS('CDA'!$E$4:$E$53,'CDA'!$A$4:$A$53,'BMP'!C31,'CDA'!$C$4:$C$53,"Compacted (Open Space)")</f>
        <v/>
      </c>
      <c r="H31" s="17">
        <f>SUMIFS('CDA'!$E$4:$E$53,'CDA'!$A$4:$A$53,'BMP'!C31,'CDA'!$C$4:$C$53,"Impervious Vehicular")+SUMIFS('CDA'!$E$4:$E$53,'CDA'!$A$4:$A$53,'BMP'!C31,'CDA'!$C$4:$C$53,"Impervious Non-Vehicular")</f>
        <v/>
      </c>
      <c r="I31" s="17">
        <f>SUMIFS('CDA'!$E$4:$E$53,'CDA'!$A$4:$A$53,'BMP'!C31,'CDA'!$C$4:$C$53,"BMP")</f>
        <v/>
      </c>
      <c r="J31" s="17">
        <f>'BMP'!AI31</f>
        <v/>
      </c>
      <c r="K31" s="17">
        <f>'BMP'!AM31</f>
        <v/>
      </c>
    </row>
    <row r="32">
      <c r="A32" s="17">
        <f>IF('BMP'!A32="","","BMP-"&amp;TEXT(ROW()-3,"0"))</f>
        <v/>
      </c>
      <c r="B32" s="17">
        <f>'BMP'!B32</f>
        <v/>
      </c>
      <c r="C32" s="17">
        <f>IFERROR(COUNTIF('BMP'!$B$4:$B$32,'BMP'!B32),"")</f>
        <v/>
      </c>
      <c r="D32" s="17">
        <f>'BMP'!A32</f>
        <v/>
      </c>
      <c r="E32" s="17">
        <f>IFERROR('BMP'!D32&amp;" / "&amp;'BMP'!E32,"")</f>
        <v/>
      </c>
      <c r="F32" s="17">
        <f>SUMIFS('CDA'!$E$4:$E$53,'CDA'!$A$4:$A$53,'BMP'!C32,'CDA'!$C$4:$C$53,"Natural (Woods)")</f>
        <v/>
      </c>
      <c r="G32" s="17">
        <f>SUMIFS('CDA'!$E$4:$E$53,'CDA'!$A$4:$A$53,'BMP'!C32,'CDA'!$C$4:$C$53,"Compacted (Open Space)")</f>
        <v/>
      </c>
      <c r="H32" s="17">
        <f>SUMIFS('CDA'!$E$4:$E$53,'CDA'!$A$4:$A$53,'BMP'!C32,'CDA'!$C$4:$C$53,"Impervious Vehicular")+SUMIFS('CDA'!$E$4:$E$53,'CDA'!$A$4:$A$53,'BMP'!C32,'CDA'!$C$4:$C$53,"Impervious Non-Vehicular")</f>
        <v/>
      </c>
      <c r="I32" s="17">
        <f>SUMIFS('CDA'!$E$4:$E$53,'CDA'!$A$4:$A$53,'BMP'!C32,'CDA'!$C$4:$C$53,"BMP")</f>
        <v/>
      </c>
      <c r="J32" s="17">
        <f>'BMP'!AI32</f>
        <v/>
      </c>
      <c r="K32" s="17">
        <f>'BMP'!AM32</f>
        <v/>
      </c>
    </row>
    <row r="33">
      <c r="A33" s="17">
        <f>IF('BMP'!A33="","","BMP-"&amp;TEXT(ROW()-3,"0"))</f>
        <v/>
      </c>
      <c r="B33" s="17">
        <f>'BMP'!B33</f>
        <v/>
      </c>
      <c r="C33" s="17">
        <f>IFERROR(COUNTIF('BMP'!$B$4:$B$33,'BMP'!B33),"")</f>
        <v/>
      </c>
      <c r="D33" s="17">
        <f>'BMP'!A33</f>
        <v/>
      </c>
      <c r="E33" s="17">
        <f>IFERROR('BMP'!D33&amp;" / "&amp;'BMP'!E33,"")</f>
        <v/>
      </c>
      <c r="F33" s="17">
        <f>SUMIFS('CDA'!$E$4:$E$53,'CDA'!$A$4:$A$53,'BMP'!C33,'CDA'!$C$4:$C$53,"Natural (Woods)")</f>
        <v/>
      </c>
      <c r="G33" s="17">
        <f>SUMIFS('CDA'!$E$4:$E$53,'CDA'!$A$4:$A$53,'BMP'!C33,'CDA'!$C$4:$C$53,"Compacted (Open Space)")</f>
        <v/>
      </c>
      <c r="H33" s="17">
        <f>SUMIFS('CDA'!$E$4:$E$53,'CDA'!$A$4:$A$53,'BMP'!C33,'CDA'!$C$4:$C$53,"Impervious Vehicular")+SUMIFS('CDA'!$E$4:$E$53,'CDA'!$A$4:$A$53,'BMP'!C33,'CDA'!$C$4:$C$53,"Impervious Non-Vehicular")</f>
        <v/>
      </c>
      <c r="I33" s="17">
        <f>SUMIFS('CDA'!$E$4:$E$53,'CDA'!$A$4:$A$53,'BMP'!C33,'CDA'!$C$4:$C$53,"BMP")</f>
        <v/>
      </c>
      <c r="J33" s="17">
        <f>'BMP'!AI33</f>
        <v/>
      </c>
      <c r="K33" s="17">
        <f>'BMP'!AM33</f>
        <v/>
      </c>
    </row>
    <row r="34">
      <c r="A34" s="17">
        <f>IF('BMP'!A34="","","BMP-"&amp;TEXT(ROW()-3,"0"))</f>
        <v/>
      </c>
      <c r="B34" s="17">
        <f>'BMP'!B34</f>
        <v/>
      </c>
      <c r="C34" s="17">
        <f>IFERROR(COUNTIF('BMP'!$B$4:$B$34,'BMP'!B34),"")</f>
        <v/>
      </c>
      <c r="D34" s="17">
        <f>'BMP'!A34</f>
        <v/>
      </c>
      <c r="E34" s="17">
        <f>IFERROR('BMP'!D34&amp;" / "&amp;'BMP'!E34,"")</f>
        <v/>
      </c>
      <c r="F34" s="17">
        <f>SUMIFS('CDA'!$E$4:$E$53,'CDA'!$A$4:$A$53,'BMP'!C34,'CDA'!$C$4:$C$53,"Natural (Woods)")</f>
        <v/>
      </c>
      <c r="G34" s="17">
        <f>SUMIFS('CDA'!$E$4:$E$53,'CDA'!$A$4:$A$53,'BMP'!C34,'CDA'!$C$4:$C$53,"Compacted (Open Space)")</f>
        <v/>
      </c>
      <c r="H34" s="17">
        <f>SUMIFS('CDA'!$E$4:$E$53,'CDA'!$A$4:$A$53,'BMP'!C34,'CDA'!$C$4:$C$53,"Impervious Vehicular")+SUMIFS('CDA'!$E$4:$E$53,'CDA'!$A$4:$A$53,'BMP'!C34,'CDA'!$C$4:$C$53,"Impervious Non-Vehicular")</f>
        <v/>
      </c>
      <c r="I34" s="17">
        <f>SUMIFS('CDA'!$E$4:$E$53,'CDA'!$A$4:$A$53,'BMP'!C34,'CDA'!$C$4:$C$53,"BMP")</f>
        <v/>
      </c>
      <c r="J34" s="17">
        <f>'BMP'!AI34</f>
        <v/>
      </c>
      <c r="K34" s="17">
        <f>'BMP'!AM34</f>
        <v/>
      </c>
    </row>
    <row r="35">
      <c r="A35" s="17">
        <f>IF('BMP'!A35="","","BMP-"&amp;TEXT(ROW()-3,"0"))</f>
        <v/>
      </c>
      <c r="B35" s="17">
        <f>'BMP'!B35</f>
        <v/>
      </c>
      <c r="C35" s="17">
        <f>IFERROR(COUNTIF('BMP'!$B$4:$B$35,'BMP'!B35),"")</f>
        <v/>
      </c>
      <c r="D35" s="17">
        <f>'BMP'!A35</f>
        <v/>
      </c>
      <c r="E35" s="17">
        <f>IFERROR('BMP'!D35&amp;" / "&amp;'BMP'!E35,"")</f>
        <v/>
      </c>
      <c r="F35" s="17">
        <f>SUMIFS('CDA'!$E$4:$E$53,'CDA'!$A$4:$A$53,'BMP'!C35,'CDA'!$C$4:$C$53,"Natural (Woods)")</f>
        <v/>
      </c>
      <c r="G35" s="17">
        <f>SUMIFS('CDA'!$E$4:$E$53,'CDA'!$A$4:$A$53,'BMP'!C35,'CDA'!$C$4:$C$53,"Compacted (Open Space)")</f>
        <v/>
      </c>
      <c r="H35" s="17">
        <f>SUMIFS('CDA'!$E$4:$E$53,'CDA'!$A$4:$A$53,'BMP'!C35,'CDA'!$C$4:$C$53,"Impervious Vehicular")+SUMIFS('CDA'!$E$4:$E$53,'CDA'!$A$4:$A$53,'BMP'!C35,'CDA'!$C$4:$C$53,"Impervious Non-Vehicular")</f>
        <v/>
      </c>
      <c r="I35" s="17">
        <f>SUMIFS('CDA'!$E$4:$E$53,'CDA'!$A$4:$A$53,'BMP'!C35,'CDA'!$C$4:$C$53,"BMP")</f>
        <v/>
      </c>
      <c r="J35" s="17">
        <f>'BMP'!AI35</f>
        <v/>
      </c>
      <c r="K35" s="17">
        <f>'BMP'!AM35</f>
        <v/>
      </c>
    </row>
    <row r="36">
      <c r="A36" s="17">
        <f>IF('BMP'!A36="","","BMP-"&amp;TEXT(ROW()-3,"0"))</f>
        <v/>
      </c>
      <c r="B36" s="17">
        <f>'BMP'!B36</f>
        <v/>
      </c>
      <c r="C36" s="17">
        <f>IFERROR(COUNTIF('BMP'!$B$4:$B$36,'BMP'!B36),"")</f>
        <v/>
      </c>
      <c r="D36" s="17">
        <f>'BMP'!A36</f>
        <v/>
      </c>
      <c r="E36" s="17">
        <f>IFERROR('BMP'!D36&amp;" / "&amp;'BMP'!E36,"")</f>
        <v/>
      </c>
      <c r="F36" s="17">
        <f>SUMIFS('CDA'!$E$4:$E$53,'CDA'!$A$4:$A$53,'BMP'!C36,'CDA'!$C$4:$C$53,"Natural (Woods)")</f>
        <v/>
      </c>
      <c r="G36" s="17">
        <f>SUMIFS('CDA'!$E$4:$E$53,'CDA'!$A$4:$A$53,'BMP'!C36,'CDA'!$C$4:$C$53,"Compacted (Open Space)")</f>
        <v/>
      </c>
      <c r="H36" s="17">
        <f>SUMIFS('CDA'!$E$4:$E$53,'CDA'!$A$4:$A$53,'BMP'!C36,'CDA'!$C$4:$C$53,"Impervious Vehicular")+SUMIFS('CDA'!$E$4:$E$53,'CDA'!$A$4:$A$53,'BMP'!C36,'CDA'!$C$4:$C$53,"Impervious Non-Vehicular")</f>
        <v/>
      </c>
      <c r="I36" s="17">
        <f>SUMIFS('CDA'!$E$4:$E$53,'CDA'!$A$4:$A$53,'BMP'!C36,'CDA'!$C$4:$C$53,"BMP")</f>
        <v/>
      </c>
      <c r="J36" s="17">
        <f>'BMP'!AI36</f>
        <v/>
      </c>
      <c r="K36" s="17">
        <f>'BMP'!AM36</f>
        <v/>
      </c>
    </row>
    <row r="37">
      <c r="A37" s="17">
        <f>IF('BMP'!A37="","","BMP-"&amp;TEXT(ROW()-3,"0"))</f>
        <v/>
      </c>
      <c r="B37" s="17">
        <f>'BMP'!B37</f>
        <v/>
      </c>
      <c r="C37" s="17">
        <f>IFERROR(COUNTIF('BMP'!$B$4:$B$37,'BMP'!B37),"")</f>
        <v/>
      </c>
      <c r="D37" s="17">
        <f>'BMP'!A37</f>
        <v/>
      </c>
      <c r="E37" s="17">
        <f>IFERROR('BMP'!D37&amp;" / "&amp;'BMP'!E37,"")</f>
        <v/>
      </c>
      <c r="F37" s="17">
        <f>SUMIFS('CDA'!$E$4:$E$53,'CDA'!$A$4:$A$53,'BMP'!C37,'CDA'!$C$4:$C$53,"Natural (Woods)")</f>
        <v/>
      </c>
      <c r="G37" s="17">
        <f>SUMIFS('CDA'!$E$4:$E$53,'CDA'!$A$4:$A$53,'BMP'!C37,'CDA'!$C$4:$C$53,"Compacted (Open Space)")</f>
        <v/>
      </c>
      <c r="H37" s="17">
        <f>SUMIFS('CDA'!$E$4:$E$53,'CDA'!$A$4:$A$53,'BMP'!C37,'CDA'!$C$4:$C$53,"Impervious Vehicular")+SUMIFS('CDA'!$E$4:$E$53,'CDA'!$A$4:$A$53,'BMP'!C37,'CDA'!$C$4:$C$53,"Impervious Non-Vehicular")</f>
        <v/>
      </c>
      <c r="I37" s="17">
        <f>SUMIFS('CDA'!$E$4:$E$53,'CDA'!$A$4:$A$53,'BMP'!C37,'CDA'!$C$4:$C$53,"BMP")</f>
        <v/>
      </c>
      <c r="J37" s="17">
        <f>'BMP'!AI37</f>
        <v/>
      </c>
      <c r="K37" s="17">
        <f>'BMP'!AM37</f>
        <v/>
      </c>
    </row>
    <row r="38">
      <c r="A38" s="17">
        <f>IF('BMP'!A38="","","BMP-"&amp;TEXT(ROW()-3,"0"))</f>
        <v/>
      </c>
      <c r="B38" s="17">
        <f>'BMP'!B38</f>
        <v/>
      </c>
      <c r="C38" s="17">
        <f>IFERROR(COUNTIF('BMP'!$B$4:$B$38,'BMP'!B38),"")</f>
        <v/>
      </c>
      <c r="D38" s="17">
        <f>'BMP'!A38</f>
        <v/>
      </c>
      <c r="E38" s="17">
        <f>IFERROR('BMP'!D38&amp;" / "&amp;'BMP'!E38,"")</f>
        <v/>
      </c>
      <c r="F38" s="17">
        <f>SUMIFS('CDA'!$E$4:$E$53,'CDA'!$A$4:$A$53,'BMP'!C38,'CDA'!$C$4:$C$53,"Natural (Woods)")</f>
        <v/>
      </c>
      <c r="G38" s="17">
        <f>SUMIFS('CDA'!$E$4:$E$53,'CDA'!$A$4:$A$53,'BMP'!C38,'CDA'!$C$4:$C$53,"Compacted (Open Space)")</f>
        <v/>
      </c>
      <c r="H38" s="17">
        <f>SUMIFS('CDA'!$E$4:$E$53,'CDA'!$A$4:$A$53,'BMP'!C38,'CDA'!$C$4:$C$53,"Impervious Vehicular")+SUMIFS('CDA'!$E$4:$E$53,'CDA'!$A$4:$A$53,'BMP'!C38,'CDA'!$C$4:$C$53,"Impervious Non-Vehicular")</f>
        <v/>
      </c>
      <c r="I38" s="17">
        <f>SUMIFS('CDA'!$E$4:$E$53,'CDA'!$A$4:$A$53,'BMP'!C38,'CDA'!$C$4:$C$53,"BMP")</f>
        <v/>
      </c>
      <c r="J38" s="17">
        <f>'BMP'!AI38</f>
        <v/>
      </c>
      <c r="K38" s="17">
        <f>'BMP'!AM38</f>
        <v/>
      </c>
    </row>
    <row r="39">
      <c r="A39" s="17">
        <f>IF('BMP'!A39="","","BMP-"&amp;TEXT(ROW()-3,"0"))</f>
        <v/>
      </c>
      <c r="B39" s="17">
        <f>'BMP'!B39</f>
        <v/>
      </c>
      <c r="C39" s="17">
        <f>IFERROR(COUNTIF('BMP'!$B$4:$B$39,'BMP'!B39),"")</f>
        <v/>
      </c>
      <c r="D39" s="17">
        <f>'BMP'!A39</f>
        <v/>
      </c>
      <c r="E39" s="17">
        <f>IFERROR('BMP'!D39&amp;" / "&amp;'BMP'!E39,"")</f>
        <v/>
      </c>
      <c r="F39" s="17">
        <f>SUMIFS('CDA'!$E$4:$E$53,'CDA'!$A$4:$A$53,'BMP'!C39,'CDA'!$C$4:$C$53,"Natural (Woods)")</f>
        <v/>
      </c>
      <c r="G39" s="17">
        <f>SUMIFS('CDA'!$E$4:$E$53,'CDA'!$A$4:$A$53,'BMP'!C39,'CDA'!$C$4:$C$53,"Compacted (Open Space)")</f>
        <v/>
      </c>
      <c r="H39" s="17">
        <f>SUMIFS('CDA'!$E$4:$E$53,'CDA'!$A$4:$A$53,'BMP'!C39,'CDA'!$C$4:$C$53,"Impervious Vehicular")+SUMIFS('CDA'!$E$4:$E$53,'CDA'!$A$4:$A$53,'BMP'!C39,'CDA'!$C$4:$C$53,"Impervious Non-Vehicular")</f>
        <v/>
      </c>
      <c r="I39" s="17">
        <f>SUMIFS('CDA'!$E$4:$E$53,'CDA'!$A$4:$A$53,'BMP'!C39,'CDA'!$C$4:$C$53,"BMP")</f>
        <v/>
      </c>
      <c r="J39" s="17">
        <f>'BMP'!AI39</f>
        <v/>
      </c>
      <c r="K39" s="17">
        <f>'BMP'!AM39</f>
        <v/>
      </c>
    </row>
    <row r="40">
      <c r="A40" s="17">
        <f>IF('BMP'!A40="","","BMP-"&amp;TEXT(ROW()-3,"0"))</f>
        <v/>
      </c>
      <c r="B40" s="17">
        <f>'BMP'!B40</f>
        <v/>
      </c>
      <c r="C40" s="17">
        <f>IFERROR(COUNTIF('BMP'!$B$4:$B$40,'BMP'!B40),"")</f>
        <v/>
      </c>
      <c r="D40" s="17">
        <f>'BMP'!A40</f>
        <v/>
      </c>
      <c r="E40" s="17">
        <f>IFERROR('BMP'!D40&amp;" / "&amp;'BMP'!E40,"")</f>
        <v/>
      </c>
      <c r="F40" s="17">
        <f>SUMIFS('CDA'!$E$4:$E$53,'CDA'!$A$4:$A$53,'BMP'!C40,'CDA'!$C$4:$C$53,"Natural (Woods)")</f>
        <v/>
      </c>
      <c r="G40" s="17">
        <f>SUMIFS('CDA'!$E$4:$E$53,'CDA'!$A$4:$A$53,'BMP'!C40,'CDA'!$C$4:$C$53,"Compacted (Open Space)")</f>
        <v/>
      </c>
      <c r="H40" s="17">
        <f>SUMIFS('CDA'!$E$4:$E$53,'CDA'!$A$4:$A$53,'BMP'!C40,'CDA'!$C$4:$C$53,"Impervious Vehicular")+SUMIFS('CDA'!$E$4:$E$53,'CDA'!$A$4:$A$53,'BMP'!C40,'CDA'!$C$4:$C$53,"Impervious Non-Vehicular")</f>
        <v/>
      </c>
      <c r="I40" s="17">
        <f>SUMIFS('CDA'!$E$4:$E$53,'CDA'!$A$4:$A$53,'BMP'!C40,'CDA'!$C$4:$C$53,"BMP")</f>
        <v/>
      </c>
      <c r="J40" s="17">
        <f>'BMP'!AI40</f>
        <v/>
      </c>
      <c r="K40" s="17">
        <f>'BMP'!AM40</f>
        <v/>
      </c>
    </row>
    <row r="41">
      <c r="A41" s="17">
        <f>IF('BMP'!A41="","","BMP-"&amp;TEXT(ROW()-3,"0"))</f>
        <v/>
      </c>
      <c r="B41" s="17">
        <f>'BMP'!B41</f>
        <v/>
      </c>
      <c r="C41" s="17">
        <f>IFERROR(COUNTIF('BMP'!$B$4:$B$41,'BMP'!B41),"")</f>
        <v/>
      </c>
      <c r="D41" s="17">
        <f>'BMP'!A41</f>
        <v/>
      </c>
      <c r="E41" s="17">
        <f>IFERROR('BMP'!D41&amp;" / "&amp;'BMP'!E41,"")</f>
        <v/>
      </c>
      <c r="F41" s="17">
        <f>SUMIFS('CDA'!$E$4:$E$53,'CDA'!$A$4:$A$53,'BMP'!C41,'CDA'!$C$4:$C$53,"Natural (Woods)")</f>
        <v/>
      </c>
      <c r="G41" s="17">
        <f>SUMIFS('CDA'!$E$4:$E$53,'CDA'!$A$4:$A$53,'BMP'!C41,'CDA'!$C$4:$C$53,"Compacted (Open Space)")</f>
        <v/>
      </c>
      <c r="H41" s="17">
        <f>SUMIFS('CDA'!$E$4:$E$53,'CDA'!$A$4:$A$53,'BMP'!C41,'CDA'!$C$4:$C$53,"Impervious Vehicular")+SUMIFS('CDA'!$E$4:$E$53,'CDA'!$A$4:$A$53,'BMP'!C41,'CDA'!$C$4:$C$53,"Impervious Non-Vehicular")</f>
        <v/>
      </c>
      <c r="I41" s="17">
        <f>SUMIFS('CDA'!$E$4:$E$53,'CDA'!$A$4:$A$53,'BMP'!C41,'CDA'!$C$4:$C$53,"BMP")</f>
        <v/>
      </c>
      <c r="J41" s="17">
        <f>'BMP'!AI41</f>
        <v/>
      </c>
      <c r="K41" s="17">
        <f>'BMP'!AM41</f>
        <v/>
      </c>
    </row>
    <row r="42">
      <c r="A42" s="17">
        <f>IF('BMP'!A42="","","BMP-"&amp;TEXT(ROW()-3,"0"))</f>
        <v/>
      </c>
      <c r="B42" s="17">
        <f>'BMP'!B42</f>
        <v/>
      </c>
      <c r="C42" s="17">
        <f>IFERROR(COUNTIF('BMP'!$B$4:$B$42,'BMP'!B42),"")</f>
        <v/>
      </c>
      <c r="D42" s="17">
        <f>'BMP'!A42</f>
        <v/>
      </c>
      <c r="E42" s="17">
        <f>IFERROR('BMP'!D42&amp;" / "&amp;'BMP'!E42,"")</f>
        <v/>
      </c>
      <c r="F42" s="17">
        <f>SUMIFS('CDA'!$E$4:$E$53,'CDA'!$A$4:$A$53,'BMP'!C42,'CDA'!$C$4:$C$53,"Natural (Woods)")</f>
        <v/>
      </c>
      <c r="G42" s="17">
        <f>SUMIFS('CDA'!$E$4:$E$53,'CDA'!$A$4:$A$53,'BMP'!C42,'CDA'!$C$4:$C$53,"Compacted (Open Space)")</f>
        <v/>
      </c>
      <c r="H42" s="17">
        <f>SUMIFS('CDA'!$E$4:$E$53,'CDA'!$A$4:$A$53,'BMP'!C42,'CDA'!$C$4:$C$53,"Impervious Vehicular")+SUMIFS('CDA'!$E$4:$E$53,'CDA'!$A$4:$A$53,'BMP'!C42,'CDA'!$C$4:$C$53,"Impervious Non-Vehicular")</f>
        <v/>
      </c>
      <c r="I42" s="17">
        <f>SUMIFS('CDA'!$E$4:$E$53,'CDA'!$A$4:$A$53,'BMP'!C42,'CDA'!$C$4:$C$53,"BMP")</f>
        <v/>
      </c>
      <c r="J42" s="17">
        <f>'BMP'!AI42</f>
        <v/>
      </c>
      <c r="K42" s="17">
        <f>'BMP'!AM42</f>
        <v/>
      </c>
    </row>
    <row r="43">
      <c r="A43" s="17">
        <f>IF('BMP'!A43="","","BMP-"&amp;TEXT(ROW()-3,"0"))</f>
        <v/>
      </c>
      <c r="B43" s="17">
        <f>'BMP'!B43</f>
        <v/>
      </c>
      <c r="C43" s="17">
        <f>IFERROR(COUNTIF('BMP'!$B$4:$B$43,'BMP'!B43),"")</f>
        <v/>
      </c>
      <c r="D43" s="17">
        <f>'BMP'!A43</f>
        <v/>
      </c>
      <c r="E43" s="17">
        <f>IFERROR('BMP'!D43&amp;" / "&amp;'BMP'!E43,"")</f>
        <v/>
      </c>
      <c r="F43" s="17">
        <f>SUMIFS('CDA'!$E$4:$E$53,'CDA'!$A$4:$A$53,'BMP'!C43,'CDA'!$C$4:$C$53,"Natural (Woods)")</f>
        <v/>
      </c>
      <c r="G43" s="17">
        <f>SUMIFS('CDA'!$E$4:$E$53,'CDA'!$A$4:$A$53,'BMP'!C43,'CDA'!$C$4:$C$53,"Compacted (Open Space)")</f>
        <v/>
      </c>
      <c r="H43" s="17">
        <f>SUMIFS('CDA'!$E$4:$E$53,'CDA'!$A$4:$A$53,'BMP'!C43,'CDA'!$C$4:$C$53,"Impervious Vehicular")+SUMIFS('CDA'!$E$4:$E$53,'CDA'!$A$4:$A$53,'BMP'!C43,'CDA'!$C$4:$C$53,"Impervious Non-Vehicular")</f>
        <v/>
      </c>
      <c r="I43" s="17">
        <f>SUMIFS('CDA'!$E$4:$E$53,'CDA'!$A$4:$A$53,'BMP'!C43,'CDA'!$C$4:$C$53,"BMP")</f>
        <v/>
      </c>
      <c r="J43" s="17">
        <f>'BMP'!AI43</f>
        <v/>
      </c>
      <c r="K43" s="17">
        <f>'BMP'!AM43</f>
        <v/>
      </c>
    </row>
    <row r="44">
      <c r="A44" s="17">
        <f>IF('BMP'!A44="","","BMP-"&amp;TEXT(ROW()-3,"0"))</f>
        <v/>
      </c>
      <c r="B44" s="17">
        <f>'BMP'!B44</f>
        <v/>
      </c>
      <c r="C44" s="17">
        <f>IFERROR(COUNTIF('BMP'!$B$4:$B$44,'BMP'!B44),"")</f>
        <v/>
      </c>
      <c r="D44" s="17">
        <f>'BMP'!A44</f>
        <v/>
      </c>
      <c r="E44" s="17">
        <f>IFERROR('BMP'!D44&amp;" / "&amp;'BMP'!E44,"")</f>
        <v/>
      </c>
      <c r="F44" s="17">
        <f>SUMIFS('CDA'!$E$4:$E$53,'CDA'!$A$4:$A$53,'BMP'!C44,'CDA'!$C$4:$C$53,"Natural (Woods)")</f>
        <v/>
      </c>
      <c r="G44" s="17">
        <f>SUMIFS('CDA'!$E$4:$E$53,'CDA'!$A$4:$A$53,'BMP'!C44,'CDA'!$C$4:$C$53,"Compacted (Open Space)")</f>
        <v/>
      </c>
      <c r="H44" s="17">
        <f>SUMIFS('CDA'!$E$4:$E$53,'CDA'!$A$4:$A$53,'BMP'!C44,'CDA'!$C$4:$C$53,"Impervious Vehicular")+SUMIFS('CDA'!$E$4:$E$53,'CDA'!$A$4:$A$53,'BMP'!C44,'CDA'!$C$4:$C$53,"Impervious Non-Vehicular")</f>
        <v/>
      </c>
      <c r="I44" s="17">
        <f>SUMIFS('CDA'!$E$4:$E$53,'CDA'!$A$4:$A$53,'BMP'!C44,'CDA'!$C$4:$C$53,"BMP")</f>
        <v/>
      </c>
      <c r="J44" s="17">
        <f>'BMP'!AI44</f>
        <v/>
      </c>
      <c r="K44" s="17">
        <f>'BMP'!AM44</f>
        <v/>
      </c>
    </row>
    <row r="45">
      <c r="A45" s="17">
        <f>IF('BMP'!A45="","","BMP-"&amp;TEXT(ROW()-3,"0"))</f>
        <v/>
      </c>
      <c r="B45" s="17">
        <f>'BMP'!B45</f>
        <v/>
      </c>
      <c r="C45" s="17">
        <f>IFERROR(COUNTIF('BMP'!$B$4:$B$45,'BMP'!B45),"")</f>
        <v/>
      </c>
      <c r="D45" s="17">
        <f>'BMP'!A45</f>
        <v/>
      </c>
      <c r="E45" s="17">
        <f>IFERROR('BMP'!D45&amp;" / "&amp;'BMP'!E45,"")</f>
        <v/>
      </c>
      <c r="F45" s="17">
        <f>SUMIFS('CDA'!$E$4:$E$53,'CDA'!$A$4:$A$53,'BMP'!C45,'CDA'!$C$4:$C$53,"Natural (Woods)")</f>
        <v/>
      </c>
      <c r="G45" s="17">
        <f>SUMIFS('CDA'!$E$4:$E$53,'CDA'!$A$4:$A$53,'BMP'!C45,'CDA'!$C$4:$C$53,"Compacted (Open Space)")</f>
        <v/>
      </c>
      <c r="H45" s="17">
        <f>SUMIFS('CDA'!$E$4:$E$53,'CDA'!$A$4:$A$53,'BMP'!C45,'CDA'!$C$4:$C$53,"Impervious Vehicular")+SUMIFS('CDA'!$E$4:$E$53,'CDA'!$A$4:$A$53,'BMP'!C45,'CDA'!$C$4:$C$53,"Impervious Non-Vehicular")</f>
        <v/>
      </c>
      <c r="I45" s="17">
        <f>SUMIFS('CDA'!$E$4:$E$53,'CDA'!$A$4:$A$53,'BMP'!C45,'CDA'!$C$4:$C$53,"BMP")</f>
        <v/>
      </c>
      <c r="J45" s="17">
        <f>'BMP'!AI45</f>
        <v/>
      </c>
      <c r="K45" s="17">
        <f>'BMP'!AM45</f>
        <v/>
      </c>
    </row>
    <row r="46">
      <c r="A46" s="17">
        <f>IF('BMP'!A46="","","BMP-"&amp;TEXT(ROW()-3,"0"))</f>
        <v/>
      </c>
      <c r="B46" s="17">
        <f>'BMP'!B46</f>
        <v/>
      </c>
      <c r="C46" s="17">
        <f>IFERROR(COUNTIF('BMP'!$B$4:$B$46,'BMP'!B46),"")</f>
        <v/>
      </c>
      <c r="D46" s="17">
        <f>'BMP'!A46</f>
        <v/>
      </c>
      <c r="E46" s="17">
        <f>IFERROR('BMP'!D46&amp;" / "&amp;'BMP'!E46,"")</f>
        <v/>
      </c>
      <c r="F46" s="17">
        <f>SUMIFS('CDA'!$E$4:$E$53,'CDA'!$A$4:$A$53,'BMP'!C46,'CDA'!$C$4:$C$53,"Natural (Woods)")</f>
        <v/>
      </c>
      <c r="G46" s="17">
        <f>SUMIFS('CDA'!$E$4:$E$53,'CDA'!$A$4:$A$53,'BMP'!C46,'CDA'!$C$4:$C$53,"Compacted (Open Space)")</f>
        <v/>
      </c>
      <c r="H46" s="17">
        <f>SUMIFS('CDA'!$E$4:$E$53,'CDA'!$A$4:$A$53,'BMP'!C46,'CDA'!$C$4:$C$53,"Impervious Vehicular")+SUMIFS('CDA'!$E$4:$E$53,'CDA'!$A$4:$A$53,'BMP'!C46,'CDA'!$C$4:$C$53,"Impervious Non-Vehicular")</f>
        <v/>
      </c>
      <c r="I46" s="17">
        <f>SUMIFS('CDA'!$E$4:$E$53,'CDA'!$A$4:$A$53,'BMP'!C46,'CDA'!$C$4:$C$53,"BMP")</f>
        <v/>
      </c>
      <c r="J46" s="17">
        <f>'BMP'!AI46</f>
        <v/>
      </c>
      <c r="K46" s="17">
        <f>'BMP'!AM46</f>
        <v/>
      </c>
    </row>
    <row r="47">
      <c r="A47" s="17">
        <f>IF('BMP'!A47="","","BMP-"&amp;TEXT(ROW()-3,"0"))</f>
        <v/>
      </c>
      <c r="B47" s="17">
        <f>'BMP'!B47</f>
        <v/>
      </c>
      <c r="C47" s="17">
        <f>IFERROR(COUNTIF('BMP'!$B$4:$B$47,'BMP'!B47),"")</f>
        <v/>
      </c>
      <c r="D47" s="17">
        <f>'BMP'!A47</f>
        <v/>
      </c>
      <c r="E47" s="17">
        <f>IFERROR('BMP'!D47&amp;" / "&amp;'BMP'!E47,"")</f>
        <v/>
      </c>
      <c r="F47" s="17">
        <f>SUMIFS('CDA'!$E$4:$E$53,'CDA'!$A$4:$A$53,'BMP'!C47,'CDA'!$C$4:$C$53,"Natural (Woods)")</f>
        <v/>
      </c>
      <c r="G47" s="17">
        <f>SUMIFS('CDA'!$E$4:$E$53,'CDA'!$A$4:$A$53,'BMP'!C47,'CDA'!$C$4:$C$53,"Compacted (Open Space)")</f>
        <v/>
      </c>
      <c r="H47" s="17">
        <f>SUMIFS('CDA'!$E$4:$E$53,'CDA'!$A$4:$A$53,'BMP'!C47,'CDA'!$C$4:$C$53,"Impervious Vehicular")+SUMIFS('CDA'!$E$4:$E$53,'CDA'!$A$4:$A$53,'BMP'!C47,'CDA'!$C$4:$C$53,"Impervious Non-Vehicular")</f>
        <v/>
      </c>
      <c r="I47" s="17">
        <f>SUMIFS('CDA'!$E$4:$E$53,'CDA'!$A$4:$A$53,'BMP'!C47,'CDA'!$C$4:$C$53,"BMP")</f>
        <v/>
      </c>
      <c r="J47" s="17">
        <f>'BMP'!AI47</f>
        <v/>
      </c>
      <c r="K47" s="17">
        <f>'BMP'!AM47</f>
        <v/>
      </c>
    </row>
    <row r="48">
      <c r="A48" s="17">
        <f>IF('BMP'!A48="","","BMP-"&amp;TEXT(ROW()-3,"0"))</f>
        <v/>
      </c>
      <c r="B48" s="17">
        <f>'BMP'!B48</f>
        <v/>
      </c>
      <c r="C48" s="17">
        <f>IFERROR(COUNTIF('BMP'!$B$4:$B$48,'BMP'!B48),"")</f>
        <v/>
      </c>
      <c r="D48" s="17">
        <f>'BMP'!A48</f>
        <v/>
      </c>
      <c r="E48" s="17">
        <f>IFERROR('BMP'!D48&amp;" / "&amp;'BMP'!E48,"")</f>
        <v/>
      </c>
      <c r="F48" s="17">
        <f>SUMIFS('CDA'!$E$4:$E$53,'CDA'!$A$4:$A$53,'BMP'!C48,'CDA'!$C$4:$C$53,"Natural (Woods)")</f>
        <v/>
      </c>
      <c r="G48" s="17">
        <f>SUMIFS('CDA'!$E$4:$E$53,'CDA'!$A$4:$A$53,'BMP'!C48,'CDA'!$C$4:$C$53,"Compacted (Open Space)")</f>
        <v/>
      </c>
      <c r="H48" s="17">
        <f>SUMIFS('CDA'!$E$4:$E$53,'CDA'!$A$4:$A$53,'BMP'!C48,'CDA'!$C$4:$C$53,"Impervious Vehicular")+SUMIFS('CDA'!$E$4:$E$53,'CDA'!$A$4:$A$53,'BMP'!C48,'CDA'!$C$4:$C$53,"Impervious Non-Vehicular")</f>
        <v/>
      </c>
      <c r="I48" s="17">
        <f>SUMIFS('CDA'!$E$4:$E$53,'CDA'!$A$4:$A$53,'BMP'!C48,'CDA'!$C$4:$C$53,"BMP")</f>
        <v/>
      </c>
      <c r="J48" s="17">
        <f>'BMP'!AI48</f>
        <v/>
      </c>
      <c r="K48" s="17">
        <f>'BMP'!AM48</f>
        <v/>
      </c>
    </row>
    <row r="49">
      <c r="A49" s="17">
        <f>IF('BMP'!A49="","","BMP-"&amp;TEXT(ROW()-3,"0"))</f>
        <v/>
      </c>
      <c r="B49" s="17">
        <f>'BMP'!B49</f>
        <v/>
      </c>
      <c r="C49" s="17">
        <f>IFERROR(COUNTIF('BMP'!$B$4:$B$49,'BMP'!B49),"")</f>
        <v/>
      </c>
      <c r="D49" s="17">
        <f>'BMP'!A49</f>
        <v/>
      </c>
      <c r="E49" s="17">
        <f>IFERROR('BMP'!D49&amp;" / "&amp;'BMP'!E49,"")</f>
        <v/>
      </c>
      <c r="F49" s="17">
        <f>SUMIFS('CDA'!$E$4:$E$53,'CDA'!$A$4:$A$53,'BMP'!C49,'CDA'!$C$4:$C$53,"Natural (Woods)")</f>
        <v/>
      </c>
      <c r="G49" s="17">
        <f>SUMIFS('CDA'!$E$4:$E$53,'CDA'!$A$4:$A$53,'BMP'!C49,'CDA'!$C$4:$C$53,"Compacted (Open Space)")</f>
        <v/>
      </c>
      <c r="H49" s="17">
        <f>SUMIFS('CDA'!$E$4:$E$53,'CDA'!$A$4:$A$53,'BMP'!C49,'CDA'!$C$4:$C$53,"Impervious Vehicular")+SUMIFS('CDA'!$E$4:$E$53,'CDA'!$A$4:$A$53,'BMP'!C49,'CDA'!$C$4:$C$53,"Impervious Non-Vehicular")</f>
        <v/>
      </c>
      <c r="I49" s="17">
        <f>SUMIFS('CDA'!$E$4:$E$53,'CDA'!$A$4:$A$53,'BMP'!C49,'CDA'!$C$4:$C$53,"BMP")</f>
        <v/>
      </c>
      <c r="J49" s="17">
        <f>'BMP'!AI49</f>
        <v/>
      </c>
      <c r="K49" s="17">
        <f>'BMP'!AM49</f>
        <v/>
      </c>
    </row>
    <row r="50">
      <c r="A50" s="17">
        <f>IF('BMP'!A50="","","BMP-"&amp;TEXT(ROW()-3,"0"))</f>
        <v/>
      </c>
      <c r="B50" s="17">
        <f>'BMP'!B50</f>
        <v/>
      </c>
      <c r="C50" s="17">
        <f>IFERROR(COUNTIF('BMP'!$B$4:$B$50,'BMP'!B50),"")</f>
        <v/>
      </c>
      <c r="D50" s="17">
        <f>'BMP'!A50</f>
        <v/>
      </c>
      <c r="E50" s="17">
        <f>IFERROR('BMP'!D50&amp;" / "&amp;'BMP'!E50,"")</f>
        <v/>
      </c>
      <c r="F50" s="17">
        <f>SUMIFS('CDA'!$E$4:$E$53,'CDA'!$A$4:$A$53,'BMP'!C50,'CDA'!$C$4:$C$53,"Natural (Woods)")</f>
        <v/>
      </c>
      <c r="G50" s="17">
        <f>SUMIFS('CDA'!$E$4:$E$53,'CDA'!$A$4:$A$53,'BMP'!C50,'CDA'!$C$4:$C$53,"Compacted (Open Space)")</f>
        <v/>
      </c>
      <c r="H50" s="17">
        <f>SUMIFS('CDA'!$E$4:$E$53,'CDA'!$A$4:$A$53,'BMP'!C50,'CDA'!$C$4:$C$53,"Impervious Vehicular")+SUMIFS('CDA'!$E$4:$E$53,'CDA'!$A$4:$A$53,'BMP'!C50,'CDA'!$C$4:$C$53,"Impervious Non-Vehicular")</f>
        <v/>
      </c>
      <c r="I50" s="17">
        <f>SUMIFS('CDA'!$E$4:$E$53,'CDA'!$A$4:$A$53,'BMP'!C50,'CDA'!$C$4:$C$53,"BMP")</f>
        <v/>
      </c>
      <c r="J50" s="17">
        <f>'BMP'!AI50</f>
        <v/>
      </c>
      <c r="K50" s="17">
        <f>'BMP'!AM50</f>
        <v/>
      </c>
    </row>
    <row r="51">
      <c r="A51" s="17">
        <f>IF('BMP'!A51="","","BMP-"&amp;TEXT(ROW()-3,"0"))</f>
        <v/>
      </c>
      <c r="B51" s="17">
        <f>'BMP'!B51</f>
        <v/>
      </c>
      <c r="C51" s="17">
        <f>IFERROR(COUNTIF('BMP'!$B$4:$B$51,'BMP'!B51),"")</f>
        <v/>
      </c>
      <c r="D51" s="17">
        <f>'BMP'!A51</f>
        <v/>
      </c>
      <c r="E51" s="17">
        <f>IFERROR('BMP'!D51&amp;" / "&amp;'BMP'!E51,"")</f>
        <v/>
      </c>
      <c r="F51" s="17">
        <f>SUMIFS('CDA'!$E$4:$E$53,'CDA'!$A$4:$A$53,'BMP'!C51,'CDA'!$C$4:$C$53,"Natural (Woods)")</f>
        <v/>
      </c>
      <c r="G51" s="17">
        <f>SUMIFS('CDA'!$E$4:$E$53,'CDA'!$A$4:$A$53,'BMP'!C51,'CDA'!$C$4:$C$53,"Compacted (Open Space)")</f>
        <v/>
      </c>
      <c r="H51" s="17">
        <f>SUMIFS('CDA'!$E$4:$E$53,'CDA'!$A$4:$A$53,'BMP'!C51,'CDA'!$C$4:$C$53,"Impervious Vehicular")+SUMIFS('CDA'!$E$4:$E$53,'CDA'!$A$4:$A$53,'BMP'!C51,'CDA'!$C$4:$C$53,"Impervious Non-Vehicular")</f>
        <v/>
      </c>
      <c r="I51" s="17">
        <f>SUMIFS('CDA'!$E$4:$E$53,'CDA'!$A$4:$A$53,'BMP'!C51,'CDA'!$C$4:$C$53,"BMP")</f>
        <v/>
      </c>
      <c r="J51" s="17">
        <f>'BMP'!AI51</f>
        <v/>
      </c>
      <c r="K51" s="17">
        <f>'BMP'!AM51</f>
        <v/>
      </c>
    </row>
    <row r="52">
      <c r="A52" s="17">
        <f>IF('BMP'!A52="","","BMP-"&amp;TEXT(ROW()-3,"0"))</f>
        <v/>
      </c>
      <c r="B52" s="17">
        <f>'BMP'!B52</f>
        <v/>
      </c>
      <c r="C52" s="17">
        <f>IFERROR(COUNTIF('BMP'!$B$4:$B$52,'BMP'!B52),"")</f>
        <v/>
      </c>
      <c r="D52" s="17">
        <f>'BMP'!A52</f>
        <v/>
      </c>
      <c r="E52" s="17">
        <f>IFERROR('BMP'!D52&amp;" / "&amp;'BMP'!E52,"")</f>
        <v/>
      </c>
      <c r="F52" s="17">
        <f>SUMIFS('CDA'!$E$4:$E$53,'CDA'!$A$4:$A$53,'BMP'!C52,'CDA'!$C$4:$C$53,"Natural (Woods)")</f>
        <v/>
      </c>
      <c r="G52" s="17">
        <f>SUMIFS('CDA'!$E$4:$E$53,'CDA'!$A$4:$A$53,'BMP'!C52,'CDA'!$C$4:$C$53,"Compacted (Open Space)")</f>
        <v/>
      </c>
      <c r="H52" s="17">
        <f>SUMIFS('CDA'!$E$4:$E$53,'CDA'!$A$4:$A$53,'BMP'!C52,'CDA'!$C$4:$C$53,"Impervious Vehicular")+SUMIFS('CDA'!$E$4:$E$53,'CDA'!$A$4:$A$53,'BMP'!C52,'CDA'!$C$4:$C$53,"Impervious Non-Vehicular")</f>
        <v/>
      </c>
      <c r="I52" s="17">
        <f>SUMIFS('CDA'!$E$4:$E$53,'CDA'!$A$4:$A$53,'BMP'!C52,'CDA'!$C$4:$C$53,"BMP")</f>
        <v/>
      </c>
      <c r="J52" s="17">
        <f>'BMP'!AI52</f>
        <v/>
      </c>
      <c r="K52" s="17">
        <f>'BMP'!AM52</f>
        <v/>
      </c>
    </row>
    <row r="53">
      <c r="A53" s="17">
        <f>IF('BMP'!A53="","","BMP-"&amp;TEXT(ROW()-3,"0"))</f>
        <v/>
      </c>
      <c r="B53" s="17">
        <f>'BMP'!B53</f>
        <v/>
      </c>
      <c r="C53" s="17">
        <f>IFERROR(COUNTIF('BMP'!$B$4:$B$53,'BMP'!B53),"")</f>
        <v/>
      </c>
      <c r="D53" s="17">
        <f>'BMP'!A53</f>
        <v/>
      </c>
      <c r="E53" s="17">
        <f>IFERROR('BMP'!D53&amp;" / "&amp;'BMP'!E53,"")</f>
        <v/>
      </c>
      <c r="F53" s="17">
        <f>SUMIFS('CDA'!$E$4:$E$53,'CDA'!$A$4:$A$53,'BMP'!C53,'CDA'!$C$4:$C$53,"Natural (Woods)")</f>
        <v/>
      </c>
      <c r="G53" s="17">
        <f>SUMIFS('CDA'!$E$4:$E$53,'CDA'!$A$4:$A$53,'BMP'!C53,'CDA'!$C$4:$C$53,"Compacted (Open Space)")</f>
        <v/>
      </c>
      <c r="H53" s="17">
        <f>SUMIFS('CDA'!$E$4:$E$53,'CDA'!$A$4:$A$53,'BMP'!C53,'CDA'!$C$4:$C$53,"Impervious Vehicular")+SUMIFS('CDA'!$E$4:$E$53,'CDA'!$A$4:$A$53,'BMP'!C53,'CDA'!$C$4:$C$53,"Impervious Non-Vehicular")</f>
        <v/>
      </c>
      <c r="I53" s="17">
        <f>SUMIFS('CDA'!$E$4:$E$53,'CDA'!$A$4:$A$53,'BMP'!C53,'CDA'!$C$4:$C$53,"BMP")</f>
        <v/>
      </c>
      <c r="J53" s="17">
        <f>'BMP'!AI53</f>
        <v/>
      </c>
      <c r="K53" s="17">
        <f>'BMP'!AM53</f>
        <v/>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12" customWidth="1" min="1" max="1"/>
    <col width="12" customWidth="1" min="2" max="2"/>
    <col width="12" customWidth="1" min="3" max="3"/>
    <col width="16" customWidth="1" min="4" max="4"/>
    <col width="16" customWidth="1" min="5" max="5"/>
    <col width="14" customWidth="1" min="6" max="6"/>
    <col width="16" customWidth="1" min="7" max="7"/>
    <col width="16" customWidth="1" min="8" max="8"/>
    <col width="14" customWidth="1" min="9" max="9"/>
  </cols>
  <sheetData>
    <row r="1" ht="24" customHeight="1">
      <c r="A1" s="1" t="inlineStr">
        <is>
          <t>DOEE_DETENTION — Compliance Calc Sheet 3 mirror</t>
        </is>
      </c>
      <c r="B1" s="5" t="n"/>
      <c r="C1" s="5" t="n"/>
      <c r="D1" s="5" t="n"/>
      <c r="E1" s="5" t="n"/>
      <c r="F1" s="5" t="n"/>
      <c r="G1" s="5" t="n"/>
      <c r="H1" s="5" t="n"/>
      <c r="I1" s="2" t="n"/>
    </row>
    <row r="3" ht="36" customHeight="1">
      <c r="A3" s="16" t="inlineStr">
        <is>
          <t>SDA Number</t>
        </is>
      </c>
      <c r="B3" s="16" t="inlineStr">
        <is>
          <t>Pre CN</t>
        </is>
      </c>
      <c r="C3" s="26" t="inlineStr">
        <is>
          <t>Post CN</t>
        </is>
      </c>
      <c r="D3" s="16" t="inlineStr">
        <is>
          <t>2-yr Pre Q (in)</t>
        </is>
      </c>
      <c r="E3" s="16" t="inlineStr">
        <is>
          <t>2-yr Post Q (in)</t>
        </is>
      </c>
      <c r="F3" s="26" t="inlineStr">
        <is>
          <t>2-yr Det Req'd?</t>
        </is>
      </c>
      <c r="G3" s="16" t="inlineStr">
        <is>
          <t>15-yr Pre Q (in)</t>
        </is>
      </c>
      <c r="H3" s="16" t="inlineStr">
        <is>
          <t>15-yr Post Q (in)</t>
        </is>
      </c>
      <c r="I3" s="16" t="inlineStr">
        <is>
          <t>15-yr Det Req'd?</t>
        </is>
      </c>
    </row>
    <row r="4">
      <c r="A4" s="17">
        <f>'DOEE_SDA'!A4</f>
        <v/>
      </c>
      <c r="B4" s="17">
        <f>IFERROR(('DOEE_SDA'!C4*INDEX(PARAMS_DetentionCN,1,2)+'DOEE_SDA'!D4*INDEX(PARAMS_DetentionCN,2,2)+'DOEE_SDA'!E4*INDEX(PARAMS_DetentionCN,3,2)+'DOEE_SDA'!F4*INDEX(PARAMS_DetentionCN,4,2))/('DOEE_SDA'!C4+'DOEE_SDA'!D4+'DOEE_SDA'!E4+'DOEE_SDA'!F4),0)</f>
        <v/>
      </c>
      <c r="C4" s="28">
        <f>IFERROR(('DOEE_SDA'!G4*INDEX(PARAMS_DetentionCN,1,2)+'DOEE_SDA'!H4*INDEX(PARAMS_DetentionCN,2,2)+'DOEE_SDA'!I4*INDEX(PARAMS_DetentionCN,3,2)+'DOEE_SDA'!J4*INDEX(PARAMS_DetentionCN,4,2))/('DOEE_SDA'!G4+'DOEE_SDA'!H4+'DOEE_SDA'!I4+'DOEE_SDA'!J4),0)</f>
        <v/>
      </c>
      <c r="D4" s="17">
        <f>IFERROR(IF(INDEX(PARAMS_Detention,1,2)&gt;0.2*(1000/B4-10),(INDEX(PARAMS_Detention,1,2)-0.2*(1000/B4-10))^2/(INDEX(PARAMS_Detention,1,2)+0.8*(1000/B4-10)),0),0)</f>
        <v/>
      </c>
      <c r="E4" s="17">
        <f>IFERROR(IF(INDEX(PARAMS_Detention,1,2)&gt;0.2*(1000/C4-10),(INDEX(PARAMS_Detention,1,2)-0.2*(1000/C4-10))^2/(INDEX(PARAMS_Detention,1,2)+0.8*(1000/C4-10)),0),0)</f>
        <v/>
      </c>
      <c r="F4" s="28">
        <f>IF(E4&gt;D4,"Yes","No")</f>
        <v/>
      </c>
      <c r="G4" s="17">
        <f>IFERROR(IF(INDEX(PARAMS_Detention,2,2)&gt;0.2*(1000/B4-10),(INDEX(PARAMS_Detention,2,2)-0.2*(1000/B4-10))^2/(INDEX(PARAMS_Detention,2,2)+0.8*(1000/B4-10)),0),0)</f>
        <v/>
      </c>
      <c r="H4" s="17">
        <f>IFERROR(IF(INDEX(PARAMS_Detention,2,2)&gt;0.2*(1000/C4-10),(INDEX(PARAMS_Detention,2,2)-0.2*(1000/C4-10))^2/(INDEX(PARAMS_Detention,2,2)+0.8*(1000/C4-10)),0),0)</f>
        <v/>
      </c>
      <c r="I4" s="17">
        <f>IF(H4&gt;G4,"Yes","No")</f>
        <v/>
      </c>
    </row>
    <row r="5">
      <c r="A5" s="17">
        <f>'DOEE_SDA'!A5</f>
        <v/>
      </c>
      <c r="B5" s="17">
        <f>IFERROR(('DOEE_SDA'!C5*INDEX(PARAMS_DetentionCN,1,2)+'DOEE_SDA'!D5*INDEX(PARAMS_DetentionCN,2,2)+'DOEE_SDA'!E5*INDEX(PARAMS_DetentionCN,3,2)+'DOEE_SDA'!F5*INDEX(PARAMS_DetentionCN,4,2))/('DOEE_SDA'!C5+'DOEE_SDA'!D5+'DOEE_SDA'!E5+'DOEE_SDA'!F5),0)</f>
        <v/>
      </c>
      <c r="C5" s="28">
        <f>IFERROR(('DOEE_SDA'!G5*INDEX(PARAMS_DetentionCN,1,2)+'DOEE_SDA'!H5*INDEX(PARAMS_DetentionCN,2,2)+'DOEE_SDA'!I5*INDEX(PARAMS_DetentionCN,3,2)+'DOEE_SDA'!J5*INDEX(PARAMS_DetentionCN,4,2))/('DOEE_SDA'!G5+'DOEE_SDA'!H5+'DOEE_SDA'!I5+'DOEE_SDA'!J5),0)</f>
        <v/>
      </c>
      <c r="D5" s="17">
        <f>IFERROR(IF(INDEX(PARAMS_Detention,1,2)&gt;0.2*(1000/B5-10),(INDEX(PARAMS_Detention,1,2)-0.2*(1000/B5-10))^2/(INDEX(PARAMS_Detention,1,2)+0.8*(1000/B5-10)),0),0)</f>
        <v/>
      </c>
      <c r="E5" s="17">
        <f>IFERROR(IF(INDEX(PARAMS_Detention,1,2)&gt;0.2*(1000/C5-10),(INDEX(PARAMS_Detention,1,2)-0.2*(1000/C5-10))^2/(INDEX(PARAMS_Detention,1,2)+0.8*(1000/C5-10)),0),0)</f>
        <v/>
      </c>
      <c r="F5" s="28">
        <f>IF(E5&gt;D5,"Yes","No")</f>
        <v/>
      </c>
      <c r="G5" s="17">
        <f>IFERROR(IF(INDEX(PARAMS_Detention,2,2)&gt;0.2*(1000/B5-10),(INDEX(PARAMS_Detention,2,2)-0.2*(1000/B5-10))^2/(INDEX(PARAMS_Detention,2,2)+0.8*(1000/B5-10)),0),0)</f>
        <v/>
      </c>
      <c r="H5" s="17">
        <f>IFERROR(IF(INDEX(PARAMS_Detention,2,2)&gt;0.2*(1000/C5-10),(INDEX(PARAMS_Detention,2,2)-0.2*(1000/C5-10))^2/(INDEX(PARAMS_Detention,2,2)+0.8*(1000/C5-10)),0),0)</f>
        <v/>
      </c>
      <c r="I5" s="17">
        <f>IF(H5&gt;G5,"Yes","No")</f>
        <v/>
      </c>
    </row>
    <row r="6">
      <c r="A6" s="17">
        <f>'DOEE_SDA'!A6</f>
        <v/>
      </c>
      <c r="B6" s="17">
        <f>IFERROR(('DOEE_SDA'!C6*INDEX(PARAMS_DetentionCN,1,2)+'DOEE_SDA'!D6*INDEX(PARAMS_DetentionCN,2,2)+'DOEE_SDA'!E6*INDEX(PARAMS_DetentionCN,3,2)+'DOEE_SDA'!F6*INDEX(PARAMS_DetentionCN,4,2))/('DOEE_SDA'!C6+'DOEE_SDA'!D6+'DOEE_SDA'!E6+'DOEE_SDA'!F6),0)</f>
        <v/>
      </c>
      <c r="C6" s="28">
        <f>IFERROR(('DOEE_SDA'!G6*INDEX(PARAMS_DetentionCN,1,2)+'DOEE_SDA'!H6*INDEX(PARAMS_DetentionCN,2,2)+'DOEE_SDA'!I6*INDEX(PARAMS_DetentionCN,3,2)+'DOEE_SDA'!J6*INDEX(PARAMS_DetentionCN,4,2))/('DOEE_SDA'!G6+'DOEE_SDA'!H6+'DOEE_SDA'!I6+'DOEE_SDA'!J6),0)</f>
        <v/>
      </c>
      <c r="D6" s="17">
        <f>IFERROR(IF(INDEX(PARAMS_Detention,1,2)&gt;0.2*(1000/B6-10),(INDEX(PARAMS_Detention,1,2)-0.2*(1000/B6-10))^2/(INDEX(PARAMS_Detention,1,2)+0.8*(1000/B6-10)),0),0)</f>
        <v/>
      </c>
      <c r="E6" s="17">
        <f>IFERROR(IF(INDEX(PARAMS_Detention,1,2)&gt;0.2*(1000/C6-10),(INDEX(PARAMS_Detention,1,2)-0.2*(1000/C6-10))^2/(INDEX(PARAMS_Detention,1,2)+0.8*(1000/C6-10)),0),0)</f>
        <v/>
      </c>
      <c r="F6" s="28">
        <f>IF(E6&gt;D6,"Yes","No")</f>
        <v/>
      </c>
      <c r="G6" s="17">
        <f>IFERROR(IF(INDEX(PARAMS_Detention,2,2)&gt;0.2*(1000/B6-10),(INDEX(PARAMS_Detention,2,2)-0.2*(1000/B6-10))^2/(INDEX(PARAMS_Detention,2,2)+0.8*(1000/B6-10)),0),0)</f>
        <v/>
      </c>
      <c r="H6" s="17">
        <f>IFERROR(IF(INDEX(PARAMS_Detention,2,2)&gt;0.2*(1000/C6-10),(INDEX(PARAMS_Detention,2,2)-0.2*(1000/C6-10))^2/(INDEX(PARAMS_Detention,2,2)+0.8*(1000/C6-10)),0),0)</f>
        <v/>
      </c>
      <c r="I6" s="17">
        <f>IF(H6&gt;G6,"Yes","No")</f>
        <v/>
      </c>
    </row>
    <row r="7">
      <c r="A7" s="17">
        <f>'DOEE_SDA'!A7</f>
        <v/>
      </c>
      <c r="B7" s="17">
        <f>IFERROR(('DOEE_SDA'!C7*INDEX(PARAMS_DetentionCN,1,2)+'DOEE_SDA'!D7*INDEX(PARAMS_DetentionCN,2,2)+'DOEE_SDA'!E7*INDEX(PARAMS_DetentionCN,3,2)+'DOEE_SDA'!F7*INDEX(PARAMS_DetentionCN,4,2))/('DOEE_SDA'!C7+'DOEE_SDA'!D7+'DOEE_SDA'!E7+'DOEE_SDA'!F7),0)</f>
        <v/>
      </c>
      <c r="C7" s="28">
        <f>IFERROR(('DOEE_SDA'!G7*INDEX(PARAMS_DetentionCN,1,2)+'DOEE_SDA'!H7*INDEX(PARAMS_DetentionCN,2,2)+'DOEE_SDA'!I7*INDEX(PARAMS_DetentionCN,3,2)+'DOEE_SDA'!J7*INDEX(PARAMS_DetentionCN,4,2))/('DOEE_SDA'!G7+'DOEE_SDA'!H7+'DOEE_SDA'!I7+'DOEE_SDA'!J7),0)</f>
        <v/>
      </c>
      <c r="D7" s="17">
        <f>IFERROR(IF(INDEX(PARAMS_Detention,1,2)&gt;0.2*(1000/B7-10),(INDEX(PARAMS_Detention,1,2)-0.2*(1000/B7-10))^2/(INDEX(PARAMS_Detention,1,2)+0.8*(1000/B7-10)),0),0)</f>
        <v/>
      </c>
      <c r="E7" s="17">
        <f>IFERROR(IF(INDEX(PARAMS_Detention,1,2)&gt;0.2*(1000/C7-10),(INDEX(PARAMS_Detention,1,2)-0.2*(1000/C7-10))^2/(INDEX(PARAMS_Detention,1,2)+0.8*(1000/C7-10)),0),0)</f>
        <v/>
      </c>
      <c r="F7" s="28">
        <f>IF(E7&gt;D7,"Yes","No")</f>
        <v/>
      </c>
      <c r="G7" s="17">
        <f>IFERROR(IF(INDEX(PARAMS_Detention,2,2)&gt;0.2*(1000/B7-10),(INDEX(PARAMS_Detention,2,2)-0.2*(1000/B7-10))^2/(INDEX(PARAMS_Detention,2,2)+0.8*(1000/B7-10)),0),0)</f>
        <v/>
      </c>
      <c r="H7" s="17">
        <f>IFERROR(IF(INDEX(PARAMS_Detention,2,2)&gt;0.2*(1000/C7-10),(INDEX(PARAMS_Detention,2,2)-0.2*(1000/C7-10))^2/(INDEX(PARAMS_Detention,2,2)+0.8*(1000/C7-10)),0),0)</f>
        <v/>
      </c>
      <c r="I7" s="17">
        <f>IF(H7&gt;G7,"Yes","No")</f>
        <v/>
      </c>
    </row>
    <row r="8">
      <c r="A8" s="17">
        <f>'DOEE_SDA'!A8</f>
        <v/>
      </c>
      <c r="B8" s="17">
        <f>IFERROR(('DOEE_SDA'!C8*INDEX(PARAMS_DetentionCN,1,2)+'DOEE_SDA'!D8*INDEX(PARAMS_DetentionCN,2,2)+'DOEE_SDA'!E8*INDEX(PARAMS_DetentionCN,3,2)+'DOEE_SDA'!F8*INDEX(PARAMS_DetentionCN,4,2))/('DOEE_SDA'!C8+'DOEE_SDA'!D8+'DOEE_SDA'!E8+'DOEE_SDA'!F8),0)</f>
        <v/>
      </c>
      <c r="C8" s="28">
        <f>IFERROR(('DOEE_SDA'!G8*INDEX(PARAMS_DetentionCN,1,2)+'DOEE_SDA'!H8*INDEX(PARAMS_DetentionCN,2,2)+'DOEE_SDA'!I8*INDEX(PARAMS_DetentionCN,3,2)+'DOEE_SDA'!J8*INDEX(PARAMS_DetentionCN,4,2))/('DOEE_SDA'!G8+'DOEE_SDA'!H8+'DOEE_SDA'!I8+'DOEE_SDA'!J8),0)</f>
        <v/>
      </c>
      <c r="D8" s="17">
        <f>IFERROR(IF(INDEX(PARAMS_Detention,1,2)&gt;0.2*(1000/B8-10),(INDEX(PARAMS_Detention,1,2)-0.2*(1000/B8-10))^2/(INDEX(PARAMS_Detention,1,2)+0.8*(1000/B8-10)),0),0)</f>
        <v/>
      </c>
      <c r="E8" s="17">
        <f>IFERROR(IF(INDEX(PARAMS_Detention,1,2)&gt;0.2*(1000/C8-10),(INDEX(PARAMS_Detention,1,2)-0.2*(1000/C8-10))^2/(INDEX(PARAMS_Detention,1,2)+0.8*(1000/C8-10)),0),0)</f>
        <v/>
      </c>
      <c r="F8" s="28">
        <f>IF(E8&gt;D8,"Yes","No")</f>
        <v/>
      </c>
      <c r="G8" s="17">
        <f>IFERROR(IF(INDEX(PARAMS_Detention,2,2)&gt;0.2*(1000/B8-10),(INDEX(PARAMS_Detention,2,2)-0.2*(1000/B8-10))^2/(INDEX(PARAMS_Detention,2,2)+0.8*(1000/B8-10)),0),0)</f>
        <v/>
      </c>
      <c r="H8" s="17">
        <f>IFERROR(IF(INDEX(PARAMS_Detention,2,2)&gt;0.2*(1000/C8-10),(INDEX(PARAMS_Detention,2,2)-0.2*(1000/C8-10))^2/(INDEX(PARAMS_Detention,2,2)+0.8*(1000/C8-10)),0),0)</f>
        <v/>
      </c>
      <c r="I8" s="17">
        <f>IF(H8&gt;G8,"Yes","No")</f>
        <v/>
      </c>
    </row>
    <row r="9">
      <c r="A9" s="17">
        <f>'DOEE_SDA'!A9</f>
        <v/>
      </c>
      <c r="B9" s="17">
        <f>IFERROR(('DOEE_SDA'!C9*INDEX(PARAMS_DetentionCN,1,2)+'DOEE_SDA'!D9*INDEX(PARAMS_DetentionCN,2,2)+'DOEE_SDA'!E9*INDEX(PARAMS_DetentionCN,3,2)+'DOEE_SDA'!F9*INDEX(PARAMS_DetentionCN,4,2))/('DOEE_SDA'!C9+'DOEE_SDA'!D9+'DOEE_SDA'!E9+'DOEE_SDA'!F9),0)</f>
        <v/>
      </c>
      <c r="C9" s="28">
        <f>IFERROR(('DOEE_SDA'!G9*INDEX(PARAMS_DetentionCN,1,2)+'DOEE_SDA'!H9*INDEX(PARAMS_DetentionCN,2,2)+'DOEE_SDA'!I9*INDEX(PARAMS_DetentionCN,3,2)+'DOEE_SDA'!J9*INDEX(PARAMS_DetentionCN,4,2))/('DOEE_SDA'!G9+'DOEE_SDA'!H9+'DOEE_SDA'!I9+'DOEE_SDA'!J9),0)</f>
        <v/>
      </c>
      <c r="D9" s="17">
        <f>IFERROR(IF(INDEX(PARAMS_Detention,1,2)&gt;0.2*(1000/B9-10),(INDEX(PARAMS_Detention,1,2)-0.2*(1000/B9-10))^2/(INDEX(PARAMS_Detention,1,2)+0.8*(1000/B9-10)),0),0)</f>
        <v/>
      </c>
      <c r="E9" s="17">
        <f>IFERROR(IF(INDEX(PARAMS_Detention,1,2)&gt;0.2*(1000/C9-10),(INDEX(PARAMS_Detention,1,2)-0.2*(1000/C9-10))^2/(INDEX(PARAMS_Detention,1,2)+0.8*(1000/C9-10)),0),0)</f>
        <v/>
      </c>
      <c r="F9" s="28">
        <f>IF(E9&gt;D9,"Yes","No")</f>
        <v/>
      </c>
      <c r="G9" s="17">
        <f>IFERROR(IF(INDEX(PARAMS_Detention,2,2)&gt;0.2*(1000/B9-10),(INDEX(PARAMS_Detention,2,2)-0.2*(1000/B9-10))^2/(INDEX(PARAMS_Detention,2,2)+0.8*(1000/B9-10)),0),0)</f>
        <v/>
      </c>
      <c r="H9" s="17">
        <f>IFERROR(IF(INDEX(PARAMS_Detention,2,2)&gt;0.2*(1000/C9-10),(INDEX(PARAMS_Detention,2,2)-0.2*(1000/C9-10))^2/(INDEX(PARAMS_Detention,2,2)+0.8*(1000/C9-10)),0),0)</f>
        <v/>
      </c>
      <c r="I9" s="17">
        <f>IF(H9&gt;G9,"Yes","No")</f>
        <v/>
      </c>
    </row>
    <row r="10">
      <c r="A10" s="17">
        <f>'DOEE_SDA'!A10</f>
        <v/>
      </c>
      <c r="B10" s="17">
        <f>IFERROR(('DOEE_SDA'!C10*INDEX(PARAMS_DetentionCN,1,2)+'DOEE_SDA'!D10*INDEX(PARAMS_DetentionCN,2,2)+'DOEE_SDA'!E10*INDEX(PARAMS_DetentionCN,3,2)+'DOEE_SDA'!F10*INDEX(PARAMS_DetentionCN,4,2))/('DOEE_SDA'!C10+'DOEE_SDA'!D10+'DOEE_SDA'!E10+'DOEE_SDA'!F10),0)</f>
        <v/>
      </c>
      <c r="C10" s="28">
        <f>IFERROR(('DOEE_SDA'!G10*INDEX(PARAMS_DetentionCN,1,2)+'DOEE_SDA'!H10*INDEX(PARAMS_DetentionCN,2,2)+'DOEE_SDA'!I10*INDEX(PARAMS_DetentionCN,3,2)+'DOEE_SDA'!J10*INDEX(PARAMS_DetentionCN,4,2))/('DOEE_SDA'!G10+'DOEE_SDA'!H10+'DOEE_SDA'!I10+'DOEE_SDA'!J10),0)</f>
        <v/>
      </c>
      <c r="D10" s="17">
        <f>IFERROR(IF(INDEX(PARAMS_Detention,1,2)&gt;0.2*(1000/B10-10),(INDEX(PARAMS_Detention,1,2)-0.2*(1000/B10-10))^2/(INDEX(PARAMS_Detention,1,2)+0.8*(1000/B10-10)),0),0)</f>
        <v/>
      </c>
      <c r="E10" s="17">
        <f>IFERROR(IF(INDEX(PARAMS_Detention,1,2)&gt;0.2*(1000/C10-10),(INDEX(PARAMS_Detention,1,2)-0.2*(1000/C10-10))^2/(INDEX(PARAMS_Detention,1,2)+0.8*(1000/C10-10)),0),0)</f>
        <v/>
      </c>
      <c r="F10" s="28">
        <f>IF(E10&gt;D10,"Yes","No")</f>
        <v/>
      </c>
      <c r="G10" s="17">
        <f>IFERROR(IF(INDEX(PARAMS_Detention,2,2)&gt;0.2*(1000/B10-10),(INDEX(PARAMS_Detention,2,2)-0.2*(1000/B10-10))^2/(INDEX(PARAMS_Detention,2,2)+0.8*(1000/B10-10)),0),0)</f>
        <v/>
      </c>
      <c r="H10" s="17">
        <f>IFERROR(IF(INDEX(PARAMS_Detention,2,2)&gt;0.2*(1000/C10-10),(INDEX(PARAMS_Detention,2,2)-0.2*(1000/C10-10))^2/(INDEX(PARAMS_Detention,2,2)+0.8*(1000/C10-10)),0),0)</f>
        <v/>
      </c>
      <c r="I10" s="17">
        <f>IF(H10&gt;G10,"Yes","No")</f>
        <v/>
      </c>
    </row>
    <row r="11">
      <c r="A11" s="17">
        <f>'DOEE_SDA'!A11</f>
        <v/>
      </c>
      <c r="B11" s="17">
        <f>IFERROR(('DOEE_SDA'!C11*INDEX(PARAMS_DetentionCN,1,2)+'DOEE_SDA'!D11*INDEX(PARAMS_DetentionCN,2,2)+'DOEE_SDA'!E11*INDEX(PARAMS_DetentionCN,3,2)+'DOEE_SDA'!F11*INDEX(PARAMS_DetentionCN,4,2))/('DOEE_SDA'!C11+'DOEE_SDA'!D11+'DOEE_SDA'!E11+'DOEE_SDA'!F11),0)</f>
        <v/>
      </c>
      <c r="C11" s="28">
        <f>IFERROR(('DOEE_SDA'!G11*INDEX(PARAMS_DetentionCN,1,2)+'DOEE_SDA'!H11*INDEX(PARAMS_DetentionCN,2,2)+'DOEE_SDA'!I11*INDEX(PARAMS_DetentionCN,3,2)+'DOEE_SDA'!J11*INDEX(PARAMS_DetentionCN,4,2))/('DOEE_SDA'!G11+'DOEE_SDA'!H11+'DOEE_SDA'!I11+'DOEE_SDA'!J11),0)</f>
        <v/>
      </c>
      <c r="D11" s="17">
        <f>IFERROR(IF(INDEX(PARAMS_Detention,1,2)&gt;0.2*(1000/B11-10),(INDEX(PARAMS_Detention,1,2)-0.2*(1000/B11-10))^2/(INDEX(PARAMS_Detention,1,2)+0.8*(1000/B11-10)),0),0)</f>
        <v/>
      </c>
      <c r="E11" s="17">
        <f>IFERROR(IF(INDEX(PARAMS_Detention,1,2)&gt;0.2*(1000/C11-10),(INDEX(PARAMS_Detention,1,2)-0.2*(1000/C11-10))^2/(INDEX(PARAMS_Detention,1,2)+0.8*(1000/C11-10)),0),0)</f>
        <v/>
      </c>
      <c r="F11" s="28">
        <f>IF(E11&gt;D11,"Yes","No")</f>
        <v/>
      </c>
      <c r="G11" s="17">
        <f>IFERROR(IF(INDEX(PARAMS_Detention,2,2)&gt;0.2*(1000/B11-10),(INDEX(PARAMS_Detention,2,2)-0.2*(1000/B11-10))^2/(INDEX(PARAMS_Detention,2,2)+0.8*(1000/B11-10)),0),0)</f>
        <v/>
      </c>
      <c r="H11" s="17">
        <f>IFERROR(IF(INDEX(PARAMS_Detention,2,2)&gt;0.2*(1000/C11-10),(INDEX(PARAMS_Detention,2,2)-0.2*(1000/C11-10))^2/(INDEX(PARAMS_Detention,2,2)+0.8*(1000/C11-10)),0),0)</f>
        <v/>
      </c>
      <c r="I11" s="17">
        <f>IF(H11&gt;G11,"Yes","No")</f>
        <v/>
      </c>
    </row>
    <row r="12">
      <c r="A12" s="17">
        <f>'DOEE_SDA'!A12</f>
        <v/>
      </c>
      <c r="B12" s="17">
        <f>IFERROR(('DOEE_SDA'!C12*INDEX(PARAMS_DetentionCN,1,2)+'DOEE_SDA'!D12*INDEX(PARAMS_DetentionCN,2,2)+'DOEE_SDA'!E12*INDEX(PARAMS_DetentionCN,3,2)+'DOEE_SDA'!F12*INDEX(PARAMS_DetentionCN,4,2))/('DOEE_SDA'!C12+'DOEE_SDA'!D12+'DOEE_SDA'!E12+'DOEE_SDA'!F12),0)</f>
        <v/>
      </c>
      <c r="C12" s="28">
        <f>IFERROR(('DOEE_SDA'!G12*INDEX(PARAMS_DetentionCN,1,2)+'DOEE_SDA'!H12*INDEX(PARAMS_DetentionCN,2,2)+'DOEE_SDA'!I12*INDEX(PARAMS_DetentionCN,3,2)+'DOEE_SDA'!J12*INDEX(PARAMS_DetentionCN,4,2))/('DOEE_SDA'!G12+'DOEE_SDA'!H12+'DOEE_SDA'!I12+'DOEE_SDA'!J12),0)</f>
        <v/>
      </c>
      <c r="D12" s="17">
        <f>IFERROR(IF(INDEX(PARAMS_Detention,1,2)&gt;0.2*(1000/B12-10),(INDEX(PARAMS_Detention,1,2)-0.2*(1000/B12-10))^2/(INDEX(PARAMS_Detention,1,2)+0.8*(1000/B12-10)),0),0)</f>
        <v/>
      </c>
      <c r="E12" s="17">
        <f>IFERROR(IF(INDEX(PARAMS_Detention,1,2)&gt;0.2*(1000/C12-10),(INDEX(PARAMS_Detention,1,2)-0.2*(1000/C12-10))^2/(INDEX(PARAMS_Detention,1,2)+0.8*(1000/C12-10)),0),0)</f>
        <v/>
      </c>
      <c r="F12" s="28">
        <f>IF(E12&gt;D12,"Yes","No")</f>
        <v/>
      </c>
      <c r="G12" s="17">
        <f>IFERROR(IF(INDEX(PARAMS_Detention,2,2)&gt;0.2*(1000/B12-10),(INDEX(PARAMS_Detention,2,2)-0.2*(1000/B12-10))^2/(INDEX(PARAMS_Detention,2,2)+0.8*(1000/B12-10)),0),0)</f>
        <v/>
      </c>
      <c r="H12" s="17">
        <f>IFERROR(IF(INDEX(PARAMS_Detention,2,2)&gt;0.2*(1000/C12-10),(INDEX(PARAMS_Detention,2,2)-0.2*(1000/C12-10))^2/(INDEX(PARAMS_Detention,2,2)+0.8*(1000/C12-10)),0),0)</f>
        <v/>
      </c>
      <c r="I12" s="17">
        <f>IF(H12&gt;G12,"Yes","No")</f>
        <v/>
      </c>
    </row>
    <row r="13">
      <c r="A13" s="17">
        <f>'DOEE_SDA'!A13</f>
        <v/>
      </c>
      <c r="B13" s="17">
        <f>IFERROR(('DOEE_SDA'!C13*INDEX(PARAMS_DetentionCN,1,2)+'DOEE_SDA'!D13*INDEX(PARAMS_DetentionCN,2,2)+'DOEE_SDA'!E13*INDEX(PARAMS_DetentionCN,3,2)+'DOEE_SDA'!F13*INDEX(PARAMS_DetentionCN,4,2))/('DOEE_SDA'!C13+'DOEE_SDA'!D13+'DOEE_SDA'!E13+'DOEE_SDA'!F13),0)</f>
        <v/>
      </c>
      <c r="C13" s="28">
        <f>IFERROR(('DOEE_SDA'!G13*INDEX(PARAMS_DetentionCN,1,2)+'DOEE_SDA'!H13*INDEX(PARAMS_DetentionCN,2,2)+'DOEE_SDA'!I13*INDEX(PARAMS_DetentionCN,3,2)+'DOEE_SDA'!J13*INDEX(PARAMS_DetentionCN,4,2))/('DOEE_SDA'!G13+'DOEE_SDA'!H13+'DOEE_SDA'!I13+'DOEE_SDA'!J13),0)</f>
        <v/>
      </c>
      <c r="D13" s="17">
        <f>IFERROR(IF(INDEX(PARAMS_Detention,1,2)&gt;0.2*(1000/B13-10),(INDEX(PARAMS_Detention,1,2)-0.2*(1000/B13-10))^2/(INDEX(PARAMS_Detention,1,2)+0.8*(1000/B13-10)),0),0)</f>
        <v/>
      </c>
      <c r="E13" s="17">
        <f>IFERROR(IF(INDEX(PARAMS_Detention,1,2)&gt;0.2*(1000/C13-10),(INDEX(PARAMS_Detention,1,2)-0.2*(1000/C13-10))^2/(INDEX(PARAMS_Detention,1,2)+0.8*(1000/C13-10)),0),0)</f>
        <v/>
      </c>
      <c r="F13" s="28">
        <f>IF(E13&gt;D13,"Yes","No")</f>
        <v/>
      </c>
      <c r="G13" s="17">
        <f>IFERROR(IF(INDEX(PARAMS_Detention,2,2)&gt;0.2*(1000/B13-10),(INDEX(PARAMS_Detention,2,2)-0.2*(1000/B13-10))^2/(INDEX(PARAMS_Detention,2,2)+0.8*(1000/B13-10)),0),0)</f>
        <v/>
      </c>
      <c r="H13" s="17">
        <f>IFERROR(IF(INDEX(PARAMS_Detention,2,2)&gt;0.2*(1000/C13-10),(INDEX(PARAMS_Detention,2,2)-0.2*(1000/C13-10))^2/(INDEX(PARAMS_Detention,2,2)+0.8*(1000/C13-10)),0),0)</f>
        <v/>
      </c>
      <c r="I13" s="17">
        <f>IF(H13&gt;G13,"Yes","No")</f>
        <v/>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12" customWidth="1" min="1" max="1"/>
    <col width="15" customWidth="1" min="2" max="2"/>
    <col width="15" customWidth="1" min="3" max="3"/>
    <col width="10" customWidth="1" min="4" max="4"/>
    <col width="12" customWidth="1" min="5" max="5"/>
    <col width="15" customWidth="1" min="6" max="6"/>
  </cols>
  <sheetData>
    <row r="1" ht="24" customHeight="1">
      <c r="A1" s="1" t="inlineStr">
        <is>
          <t>DOEE_COMPLIANCE — Final Pass/Fail Summary</t>
        </is>
      </c>
      <c r="B1" s="5" t="n"/>
      <c r="C1" s="5" t="n"/>
      <c r="D1" s="5" t="n"/>
      <c r="E1" s="5" t="n"/>
      <c r="F1" s="2" t="n"/>
    </row>
    <row r="3" ht="36" customHeight="1">
      <c r="A3" s="16" t="inlineStr">
        <is>
          <t>SDA Number</t>
        </is>
      </c>
      <c r="B3" s="16" t="inlineStr">
        <is>
          <t>SWRv Required (CF)</t>
        </is>
      </c>
      <c r="C3" s="16" t="inlineStr">
        <is>
          <t>Rv Provided (CF)</t>
        </is>
      </c>
      <c r="D3" s="16" t="inlineStr">
        <is>
          <t>% Met</t>
        </is>
      </c>
      <c r="E3" s="16" t="inlineStr">
        <is>
          <t>Status</t>
        </is>
      </c>
      <c r="F3" s="16" t="inlineStr">
        <is>
          <t>Detention Req'd?</t>
        </is>
      </c>
    </row>
    <row r="4">
      <c r="A4" s="17">
        <f>'DOEE_SDA'!A4</f>
        <v/>
      </c>
      <c r="B4" s="17">
        <f>'DOEE_SDA'!L4</f>
        <v/>
      </c>
      <c r="C4" s="17">
        <f>SUMIFS('BMP'!$AM$4:$AM$53,'BMP'!$B$4:$B$53,A4)</f>
        <v/>
      </c>
      <c r="D4" s="59">
        <f>IFERROR(C4/B4,0)</f>
        <v/>
      </c>
      <c r="E4" s="17">
        <f>IF(B4=0,"—",IF(C4&gt;=B4,"✓ PASS","✗ FAIL"))</f>
        <v/>
      </c>
      <c r="F4" s="17">
        <f>IF(OR('DOEE_DETENTION'!F4="Yes",'DOEE_DETENTION'!I4="Yes"),"Yes","No")</f>
        <v/>
      </c>
    </row>
    <row r="5">
      <c r="A5" s="60">
        <f>'DOEE_SDA'!A5</f>
        <v/>
      </c>
      <c r="B5" s="60">
        <f>'DOEE_SDA'!L5</f>
        <v/>
      </c>
      <c r="C5" s="60">
        <f>SUMIFS('BMP'!$AM$4:$AM$53,'BMP'!$B$4:$B$53,A5)</f>
        <v/>
      </c>
      <c r="D5" s="61">
        <f>IFERROR(C5/B5,0)</f>
        <v/>
      </c>
      <c r="E5" s="60">
        <f>IF(B5=0,"—",IF(C5&gt;=B5,"✓ PASS","✗ FAIL"))</f>
        <v/>
      </c>
      <c r="F5" s="60">
        <f>IF(OR('DOEE_DETENTION'!F5="Yes",'DOEE_DETENTION'!I5="Yes"),"Yes","No")</f>
        <v/>
      </c>
    </row>
    <row r="6">
      <c r="A6" s="17">
        <f>'DOEE_SDA'!A6</f>
        <v/>
      </c>
      <c r="B6" s="17">
        <f>'DOEE_SDA'!L6</f>
        <v/>
      </c>
      <c r="C6" s="17">
        <f>SUMIFS('BMP'!$AM$4:$AM$53,'BMP'!$B$4:$B$53,A6)</f>
        <v/>
      </c>
      <c r="D6" s="59">
        <f>IFERROR(C6/B6,0)</f>
        <v/>
      </c>
      <c r="E6" s="17">
        <f>IF(B6=0,"—",IF(C6&gt;=B6,"✓ PASS","✗ FAIL"))</f>
        <v/>
      </c>
      <c r="F6" s="17">
        <f>IF(OR('DOEE_DETENTION'!F6="Yes",'DOEE_DETENTION'!I6="Yes"),"Yes","No")</f>
        <v/>
      </c>
    </row>
    <row r="7">
      <c r="A7" s="60">
        <f>'DOEE_SDA'!A7</f>
        <v/>
      </c>
      <c r="B7" s="60">
        <f>'DOEE_SDA'!L7</f>
        <v/>
      </c>
      <c r="C7" s="60">
        <f>SUMIFS('BMP'!$AM$4:$AM$53,'BMP'!$B$4:$B$53,A7)</f>
        <v/>
      </c>
      <c r="D7" s="61">
        <f>IFERROR(C7/B7,0)</f>
        <v/>
      </c>
      <c r="E7" s="60">
        <f>IF(B7=0,"—",IF(C7&gt;=B7,"✓ PASS","✗ FAIL"))</f>
        <v/>
      </c>
      <c r="F7" s="60">
        <f>IF(OR('DOEE_DETENTION'!F7="Yes",'DOEE_DETENTION'!I7="Yes"),"Yes","No")</f>
        <v/>
      </c>
    </row>
    <row r="8">
      <c r="A8" s="17">
        <f>'DOEE_SDA'!A8</f>
        <v/>
      </c>
      <c r="B8" s="17">
        <f>'DOEE_SDA'!L8</f>
        <v/>
      </c>
      <c r="C8" s="17">
        <f>SUMIFS('BMP'!$AM$4:$AM$53,'BMP'!$B$4:$B$53,A8)</f>
        <v/>
      </c>
      <c r="D8" s="59">
        <f>IFERROR(C8/B8,0)</f>
        <v/>
      </c>
      <c r="E8" s="17">
        <f>IF(B8=0,"—",IF(C8&gt;=B8,"✓ PASS","✗ FAIL"))</f>
        <v/>
      </c>
      <c r="F8" s="17">
        <f>IF(OR('DOEE_DETENTION'!F8="Yes",'DOEE_DETENTION'!I8="Yes"),"Yes","No")</f>
        <v/>
      </c>
    </row>
    <row r="9">
      <c r="A9" s="60">
        <f>'DOEE_SDA'!A9</f>
        <v/>
      </c>
      <c r="B9" s="60">
        <f>'DOEE_SDA'!L9</f>
        <v/>
      </c>
      <c r="C9" s="60">
        <f>SUMIFS('BMP'!$AM$4:$AM$53,'BMP'!$B$4:$B$53,A9)</f>
        <v/>
      </c>
      <c r="D9" s="61">
        <f>IFERROR(C9/B9,0)</f>
        <v/>
      </c>
      <c r="E9" s="60">
        <f>IF(B9=0,"—",IF(C9&gt;=B9,"✓ PASS","✗ FAIL"))</f>
        <v/>
      </c>
      <c r="F9" s="60">
        <f>IF(OR('DOEE_DETENTION'!F9="Yes",'DOEE_DETENTION'!I9="Yes"),"Yes","No")</f>
        <v/>
      </c>
    </row>
    <row r="10">
      <c r="A10" s="17">
        <f>'DOEE_SDA'!A10</f>
        <v/>
      </c>
      <c r="B10" s="17">
        <f>'DOEE_SDA'!L10</f>
        <v/>
      </c>
      <c r="C10" s="17">
        <f>SUMIFS('BMP'!$AM$4:$AM$53,'BMP'!$B$4:$B$53,A10)</f>
        <v/>
      </c>
      <c r="D10" s="59">
        <f>IFERROR(C10/B10,0)</f>
        <v/>
      </c>
      <c r="E10" s="17">
        <f>IF(B10=0,"—",IF(C10&gt;=B10,"✓ PASS","✗ FAIL"))</f>
        <v/>
      </c>
      <c r="F10" s="17">
        <f>IF(OR('DOEE_DETENTION'!F10="Yes",'DOEE_DETENTION'!I10="Yes"),"Yes","No")</f>
        <v/>
      </c>
    </row>
    <row r="11">
      <c r="A11" s="60">
        <f>'DOEE_SDA'!A11</f>
        <v/>
      </c>
      <c r="B11" s="60">
        <f>'DOEE_SDA'!L11</f>
        <v/>
      </c>
      <c r="C11" s="60">
        <f>SUMIFS('BMP'!$AM$4:$AM$53,'BMP'!$B$4:$B$53,A11)</f>
        <v/>
      </c>
      <c r="D11" s="61">
        <f>IFERROR(C11/B11,0)</f>
        <v/>
      </c>
      <c r="E11" s="60">
        <f>IF(B11=0,"—",IF(C11&gt;=B11,"✓ PASS","✗ FAIL"))</f>
        <v/>
      </c>
      <c r="F11" s="60">
        <f>IF(OR('DOEE_DETENTION'!F11="Yes",'DOEE_DETENTION'!I11="Yes"),"Yes","No")</f>
        <v/>
      </c>
    </row>
    <row r="12">
      <c r="A12" s="17">
        <f>'DOEE_SDA'!A12</f>
        <v/>
      </c>
      <c r="B12" s="17">
        <f>'DOEE_SDA'!L12</f>
        <v/>
      </c>
      <c r="C12" s="17">
        <f>SUMIFS('BMP'!$AM$4:$AM$53,'BMP'!$B$4:$B$53,A12)</f>
        <v/>
      </c>
      <c r="D12" s="59">
        <f>IFERROR(C12/B12,0)</f>
        <v/>
      </c>
      <c r="E12" s="17">
        <f>IF(B12=0,"—",IF(C12&gt;=B12,"✓ PASS","✗ FAIL"))</f>
        <v/>
      </c>
      <c r="F12" s="17">
        <f>IF(OR('DOEE_DETENTION'!F12="Yes",'DOEE_DETENTION'!I12="Yes"),"Yes","No")</f>
        <v/>
      </c>
    </row>
    <row r="13">
      <c r="A13" s="60">
        <f>'DOEE_SDA'!A13</f>
        <v/>
      </c>
      <c r="B13" s="60">
        <f>'DOEE_SDA'!L13</f>
        <v/>
      </c>
      <c r="C13" s="60">
        <f>SUMIFS('BMP'!$AM$4:$AM$53,'BMP'!$B$4:$B$53,A13)</f>
        <v/>
      </c>
      <c r="D13" s="61">
        <f>IFERROR(C13/B13,0)</f>
        <v/>
      </c>
      <c r="E13" s="60">
        <f>IF(B13=0,"—",IF(C13&gt;=B13,"✓ PASS","✗ FAIL"))</f>
        <v/>
      </c>
      <c r="F13" s="60">
        <f>IF(OR('DOEE_DETENTION'!F13="Yes",'DOEE_DETENTION'!I13="Yes"),"Yes","No")</f>
        <v/>
      </c>
    </row>
    <row r="15">
      <c r="A15" s="18" t="inlineStr">
        <is>
          <t>SITE TOTAL</t>
        </is>
      </c>
      <c r="B15" s="18">
        <f>SUM(B4:B13)</f>
        <v/>
      </c>
      <c r="C15" s="18">
        <f>SUM(C4:C13)</f>
        <v/>
      </c>
      <c r="D15" s="62">
        <f>IFERROR(C15/B15,0)</f>
        <v/>
      </c>
      <c r="E15" s="18">
        <f>IF(C15&gt;=B15,"✓ PASS","✗ FAIL")</f>
        <v/>
      </c>
      <c r="F15" s="63"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2026-10-28T17:57:16Z</dcterms:created>
  <dcterms:modified xmlns:dcterms="http://purl.org/dc/terms/" xmlns:xsi="http://www.w3.org/2001/XMLSchema-instance" xsi:type="dcterms:W3CDTF">2026-10-28T17:57:17Z</dcterms:modified>
</cp:coreProperties>
</file>