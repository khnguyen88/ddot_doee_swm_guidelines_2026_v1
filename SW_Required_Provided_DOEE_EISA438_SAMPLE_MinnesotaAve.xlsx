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4"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inlineStr">
        <is>
          <t>SDA-1</t>
        </is>
      </c>
      <c r="B4" s="4" t="inlineStr">
        <is>
          <t>Yes</t>
        </is>
      </c>
      <c r="C4" s="4" t="inlineStr">
        <is>
          <t>Impervious Vehicular</t>
        </is>
      </c>
      <c r="D4" s="4" t="n"/>
      <c r="E4" s="4" t="n">
        <v>6910</v>
      </c>
      <c r="F4" s="4" t="n">
        <v>1097</v>
      </c>
      <c r="G4" s="4" t="n">
        <v>6910</v>
      </c>
      <c r="H4" s="4" t="n">
        <v>1097</v>
      </c>
      <c r="I4" s="17">
        <f>IFERROR(VLOOKUP(C4,PARAMS_Rv,2,FALSE),"")</f>
        <v/>
      </c>
      <c r="J4" s="17">
        <f>IF(B4="Yes",0,PROJECT_Rainfall)</f>
        <v/>
      </c>
      <c r="K4" s="17">
        <f>IFERROR(E4*I4*J4/12,0)</f>
        <v/>
      </c>
      <c r="L4" s="17">
        <f>IFERROR(F4*I4*J4/12,0)</f>
        <v/>
      </c>
      <c r="M4" s="17">
        <f>IFERROR(G4*I4*J4/12,0)</f>
        <v/>
      </c>
      <c r="N4" s="17">
        <f>IFERROR(H4*I4*J4/12,0)</f>
        <v/>
      </c>
    </row>
    <row r="5">
      <c r="A5" s="4" t="inlineStr">
        <is>
          <t>SDA-1</t>
        </is>
      </c>
      <c r="B5" s="4" t="inlineStr">
        <is>
          <t>Yes</t>
        </is>
      </c>
      <c r="C5" s="4" t="inlineStr">
        <is>
          <t>Compacted (Open Space)</t>
        </is>
      </c>
      <c r="D5" s="4" t="inlineStr">
        <is>
          <t>D</t>
        </is>
      </c>
      <c r="E5" s="4" t="n">
        <v>170</v>
      </c>
      <c r="F5" s="4" t="n">
        <v>0</v>
      </c>
      <c r="G5" s="4" t="n">
        <v>170</v>
      </c>
      <c r="H5" s="4" t="n">
        <v>0</v>
      </c>
      <c r="I5" s="17">
        <f>IFERROR(VLOOKUP(C5,PARAMS_Rv,2,FALSE),"")</f>
        <v/>
      </c>
      <c r="J5" s="17">
        <f>IF(B5="Yes",0,PROJECT_Rainfall)</f>
        <v/>
      </c>
      <c r="K5" s="17">
        <f>IFERROR(E5*I5*J5/12,0)</f>
        <v/>
      </c>
      <c r="L5" s="17">
        <f>IFERROR(F5*I5*J5/12,0)</f>
        <v/>
      </c>
      <c r="M5" s="17">
        <f>IFERROR(G5*I5*J5/12,0)</f>
        <v/>
      </c>
      <c r="N5" s="17">
        <f>IFERROR(H5*I5*J5/12,0)</f>
        <v/>
      </c>
    </row>
    <row r="6">
      <c r="A6" s="4" t="inlineStr">
        <is>
          <t>SDA-2</t>
        </is>
      </c>
      <c r="B6" s="4" t="inlineStr">
        <is>
          <t>Yes</t>
        </is>
      </c>
      <c r="C6" s="4" t="inlineStr">
        <is>
          <t>Impervious Vehicular</t>
        </is>
      </c>
      <c r="D6" s="4" t="n"/>
      <c r="E6" s="4" t="n">
        <v>6689</v>
      </c>
      <c r="F6" s="4" t="n">
        <v>745</v>
      </c>
      <c r="G6" s="4" t="n">
        <v>6689</v>
      </c>
      <c r="H6" s="4" t="n">
        <v>745</v>
      </c>
      <c r="I6" s="17">
        <f>IFERROR(VLOOKUP(C6,PARAMS_Rv,2,FALSE),"")</f>
        <v/>
      </c>
      <c r="J6" s="17">
        <f>IF(B6="Yes",0,PROJECT_Rainfall)</f>
        <v/>
      </c>
      <c r="K6" s="17">
        <f>IFERROR(E6*I6*J6/12,0)</f>
        <v/>
      </c>
      <c r="L6" s="17">
        <f>IFERROR(F6*I6*J6/12,0)</f>
        <v/>
      </c>
      <c r="M6" s="17">
        <f>IFERROR(G6*I6*J6/12,0)</f>
        <v/>
      </c>
      <c r="N6" s="17">
        <f>IFERROR(H6*I6*J6/12,0)</f>
        <v/>
      </c>
    </row>
    <row r="7">
      <c r="A7" s="4" t="inlineStr">
        <is>
          <t>SDA-2</t>
        </is>
      </c>
      <c r="B7" s="4" t="inlineStr">
        <is>
          <t>Yes</t>
        </is>
      </c>
      <c r="C7" s="4" t="inlineStr">
        <is>
          <t>Compacted (Open Space)</t>
        </is>
      </c>
      <c r="D7" s="4" t="inlineStr">
        <is>
          <t>D</t>
        </is>
      </c>
      <c r="E7" s="4" t="n">
        <v>349</v>
      </c>
      <c r="F7" s="4" t="n">
        <v>0</v>
      </c>
      <c r="G7" s="4" t="n">
        <v>349</v>
      </c>
      <c r="H7" s="4" t="n">
        <v>0</v>
      </c>
      <c r="I7" s="17">
        <f>IFERROR(VLOOKUP(C7,PARAMS_Rv,2,FALSE),"")</f>
        <v/>
      </c>
      <c r="J7" s="17">
        <f>IF(B7="Yes",0,PROJECT_Rainfall)</f>
        <v/>
      </c>
      <c r="K7" s="17">
        <f>IFERROR(E7*I7*J7/12,0)</f>
        <v/>
      </c>
      <c r="L7" s="17">
        <f>IFERROR(F7*I7*J7/12,0)</f>
        <v/>
      </c>
      <c r="M7" s="17">
        <f>IFERROR(G7*I7*J7/12,0)</f>
        <v/>
      </c>
      <c r="N7" s="17">
        <f>IFERROR(H7*I7*J7/12,0)</f>
        <v/>
      </c>
    </row>
    <row r="8">
      <c r="A8" s="4" t="inlineStr">
        <is>
          <t>SDA-3</t>
        </is>
      </c>
      <c r="B8" s="4" t="inlineStr">
        <is>
          <t>Yes</t>
        </is>
      </c>
      <c r="C8" s="4" t="inlineStr">
        <is>
          <t>Impervious Vehicular</t>
        </is>
      </c>
      <c r="D8" s="4" t="n"/>
      <c r="E8" s="4" t="n">
        <v>6860</v>
      </c>
      <c r="F8" s="4" t="n">
        <v>120</v>
      </c>
      <c r="G8" s="4" t="n">
        <v>6860</v>
      </c>
      <c r="H8" s="4" t="n">
        <v>120</v>
      </c>
      <c r="I8" s="17">
        <f>IFERROR(VLOOKUP(C8,PARAMS_Rv,2,FALSE),"")</f>
        <v/>
      </c>
      <c r="J8" s="17">
        <f>IF(B8="Yes",0,PROJECT_Rainfall)</f>
        <v/>
      </c>
      <c r="K8" s="17">
        <f>IFERROR(E8*I8*J8/12,0)</f>
        <v/>
      </c>
      <c r="L8" s="17">
        <f>IFERROR(F8*I8*J8/12,0)</f>
        <v/>
      </c>
      <c r="M8" s="17">
        <f>IFERROR(G8*I8*J8/12,0)</f>
        <v/>
      </c>
      <c r="N8" s="17">
        <f>IFERROR(H8*I8*J8/12,0)</f>
        <v/>
      </c>
    </row>
    <row r="9">
      <c r="A9" s="4" t="inlineStr">
        <is>
          <t>SDA-3</t>
        </is>
      </c>
      <c r="B9" s="4" t="inlineStr">
        <is>
          <t>Yes</t>
        </is>
      </c>
      <c r="C9" s="4" t="inlineStr">
        <is>
          <t>Compacted (Open Space)</t>
        </is>
      </c>
      <c r="D9" s="4" t="inlineStr">
        <is>
          <t>D</t>
        </is>
      </c>
      <c r="E9" s="4" t="n">
        <v>100</v>
      </c>
      <c r="F9" s="4" t="n">
        <v>2083</v>
      </c>
      <c r="G9" s="4" t="n">
        <v>100</v>
      </c>
      <c r="H9" s="4" t="n">
        <v>2083</v>
      </c>
      <c r="I9" s="17">
        <f>IFERROR(VLOOKUP(C9,PARAMS_Rv,2,FALSE),"")</f>
        <v/>
      </c>
      <c r="J9" s="17">
        <f>IF(B9="Yes",0,PROJECT_Rainfall)</f>
        <v/>
      </c>
      <c r="K9" s="17">
        <f>IFERROR(E9*I9*J9/12,0)</f>
        <v/>
      </c>
      <c r="L9" s="17">
        <f>IFERROR(F9*I9*J9/12,0)</f>
        <v/>
      </c>
      <c r="M9" s="17">
        <f>IFERROR(G9*I9*J9/12,0)</f>
        <v/>
      </c>
      <c r="N9" s="17">
        <f>IFERROR(H9*I9*J9/12,0)</f>
        <v/>
      </c>
    </row>
    <row r="10">
      <c r="A10" s="4" t="inlineStr">
        <is>
          <t>SDA-4</t>
        </is>
      </c>
      <c r="B10" s="4" t="inlineStr">
        <is>
          <t>Yes</t>
        </is>
      </c>
      <c r="C10" s="4" t="inlineStr">
        <is>
          <t>Impervious Vehicular</t>
        </is>
      </c>
      <c r="D10" s="4" t="n"/>
      <c r="E10" s="4" t="n">
        <v>5720</v>
      </c>
      <c r="F10" s="4" t="n">
        <v>3000</v>
      </c>
      <c r="G10" s="4" t="n">
        <v>5720</v>
      </c>
      <c r="H10" s="4" t="n">
        <v>3000</v>
      </c>
      <c r="I10" s="17">
        <f>IFERROR(VLOOKUP(C10,PARAMS_Rv,2,FALSE),"")</f>
        <v/>
      </c>
      <c r="J10" s="17">
        <f>IF(B10="Yes",0,PROJECT_Rainfall)</f>
        <v/>
      </c>
      <c r="K10" s="17">
        <f>IFERROR(E10*I10*J10/12,0)</f>
        <v/>
      </c>
      <c r="L10" s="17">
        <f>IFERROR(F10*I10*J10/12,0)</f>
        <v/>
      </c>
      <c r="M10" s="17">
        <f>IFERROR(G10*I10*J10/12,0)</f>
        <v/>
      </c>
      <c r="N10" s="17">
        <f>IFERROR(H10*I10*J10/12,0)</f>
        <v/>
      </c>
    </row>
    <row r="11">
      <c r="A11" s="4" t="inlineStr">
        <is>
          <t>SDA-4</t>
        </is>
      </c>
      <c r="B11" s="4" t="inlineStr">
        <is>
          <t>Yes</t>
        </is>
      </c>
      <c r="C11" s="4" t="inlineStr">
        <is>
          <t>Compacted (Open Space)</t>
        </is>
      </c>
      <c r="D11" s="4" t="inlineStr">
        <is>
          <t>D</t>
        </is>
      </c>
      <c r="E11" s="4" t="n">
        <v>650</v>
      </c>
      <c r="F11" s="4" t="n">
        <v>0</v>
      </c>
      <c r="G11" s="4" t="n">
        <v>650</v>
      </c>
      <c r="H11" s="4" t="n">
        <v>0</v>
      </c>
      <c r="I11" s="17">
        <f>IFERROR(VLOOKUP(C11,PARAMS_Rv,2,FALSE),"")</f>
        <v/>
      </c>
      <c r="J11" s="17">
        <f>IF(B11="Yes",0,PROJECT_Rainfall)</f>
        <v/>
      </c>
      <c r="K11" s="17">
        <f>IFERROR(E11*I11*J11/12,0)</f>
        <v/>
      </c>
      <c r="L11" s="17">
        <f>IFERROR(F11*I11*J11/12,0)</f>
        <v/>
      </c>
      <c r="M11" s="17">
        <f>IFERROR(G11*I11*J11/12,0)</f>
        <v/>
      </c>
      <c r="N11" s="17">
        <f>IFERROR(H11*I11*J11/12,0)</f>
        <v/>
      </c>
    </row>
    <row r="12">
      <c r="A12" s="4" t="inlineStr">
        <is>
          <t>SDA-5</t>
        </is>
      </c>
      <c r="B12" s="4" t="inlineStr">
        <is>
          <t>Yes</t>
        </is>
      </c>
      <c r="C12" s="4" t="inlineStr">
        <is>
          <t>Impervious Vehicular</t>
        </is>
      </c>
      <c r="D12" s="4" t="n"/>
      <c r="E12" s="4" t="n">
        <v>6820</v>
      </c>
      <c r="F12" s="4" t="n">
        <v>0</v>
      </c>
      <c r="G12" s="4" t="n">
        <v>6820</v>
      </c>
      <c r="H12" s="4" t="n">
        <v>0</v>
      </c>
      <c r="I12" s="17">
        <f>IFERROR(VLOOKUP(C12,PARAMS_Rv,2,FALSE),"")</f>
        <v/>
      </c>
      <c r="J12" s="17">
        <f>IF(B12="Yes",0,PROJECT_Rainfall)</f>
        <v/>
      </c>
      <c r="K12" s="17">
        <f>IFERROR(E12*I12*J12/12,0)</f>
        <v/>
      </c>
      <c r="L12" s="17">
        <f>IFERROR(F12*I12*J12/12,0)</f>
        <v/>
      </c>
      <c r="M12" s="17">
        <f>IFERROR(G12*I12*J12/12,0)</f>
        <v/>
      </c>
      <c r="N12" s="17">
        <f>IFERROR(H12*I12*J12/12,0)</f>
        <v/>
      </c>
    </row>
    <row r="13">
      <c r="A13" s="4" t="inlineStr">
        <is>
          <t>SDA-5</t>
        </is>
      </c>
      <c r="B13" s="4" t="inlineStr">
        <is>
          <t>Yes</t>
        </is>
      </c>
      <c r="C13" s="4" t="inlineStr">
        <is>
          <t>Compacted (Open Space)</t>
        </is>
      </c>
      <c r="D13" s="4" t="inlineStr">
        <is>
          <t>D</t>
        </is>
      </c>
      <c r="E13" s="4" t="n">
        <v>1440</v>
      </c>
      <c r="F13" s="4" t="n">
        <v>342</v>
      </c>
      <c r="G13" s="4" t="n">
        <v>1440</v>
      </c>
      <c r="H13" s="4" t="n">
        <v>342</v>
      </c>
      <c r="I13" s="17">
        <f>IFERROR(VLOOKUP(C13,PARAMS_Rv,2,FALSE),"")</f>
        <v/>
      </c>
      <c r="J13" s="17">
        <f>IF(B13="Yes",0,PROJECT_Rainfall)</f>
        <v/>
      </c>
      <c r="K13" s="17">
        <f>IFERROR(E13*I13*J13/12,0)</f>
        <v/>
      </c>
      <c r="L13" s="17">
        <f>IFERROR(F13*I13*J13/12,0)</f>
        <v/>
      </c>
      <c r="M13" s="17">
        <f>IFERROR(G13*I13*J13/12,0)</f>
        <v/>
      </c>
      <c r="N13" s="17">
        <f>IFERROR(H13*I13*J13/12,0)</f>
        <v/>
      </c>
    </row>
    <row r="14">
      <c r="A14" s="4" t="inlineStr">
        <is>
          <t>SDA-6</t>
        </is>
      </c>
      <c r="B14" s="4" t="inlineStr">
        <is>
          <t>Yes</t>
        </is>
      </c>
      <c r="C14" s="4" t="inlineStr">
        <is>
          <t>Impervious Vehicular</t>
        </is>
      </c>
      <c r="D14" s="4" t="n"/>
      <c r="E14" s="4" t="n">
        <v>8441</v>
      </c>
      <c r="F14" s="4" t="n">
        <v>0</v>
      </c>
      <c r="G14" s="4" t="n">
        <v>8441</v>
      </c>
      <c r="H14" s="4" t="n">
        <v>0</v>
      </c>
      <c r="I14" s="17">
        <f>IFERROR(VLOOKUP(C14,PARAMS_Rv,2,FALSE),"")</f>
        <v/>
      </c>
      <c r="J14" s="17">
        <f>IF(B14="Yes",0,PROJECT_Rainfall)</f>
        <v/>
      </c>
      <c r="K14" s="17">
        <f>IFERROR(E14*I14*J14/12,0)</f>
        <v/>
      </c>
      <c r="L14" s="17">
        <f>IFERROR(F14*I14*J14/12,0)</f>
        <v/>
      </c>
      <c r="M14" s="17">
        <f>IFERROR(G14*I14*J14/12,0)</f>
        <v/>
      </c>
      <c r="N14" s="17">
        <f>IFERROR(H14*I14*J14/12,0)</f>
        <v/>
      </c>
    </row>
    <row r="15">
      <c r="A15" s="4" t="inlineStr">
        <is>
          <t>SDA-6</t>
        </is>
      </c>
      <c r="B15" s="4" t="inlineStr">
        <is>
          <t>Yes</t>
        </is>
      </c>
      <c r="C15" s="4" t="inlineStr">
        <is>
          <t>Compacted (Open Space)</t>
        </is>
      </c>
      <c r="D15" s="4" t="inlineStr">
        <is>
          <t>D</t>
        </is>
      </c>
      <c r="E15" s="4" t="n">
        <v>240</v>
      </c>
      <c r="F15" s="4" t="n">
        <v>0</v>
      </c>
      <c r="G15" s="4" t="n">
        <v>240</v>
      </c>
      <c r="H15" s="4" t="n">
        <v>0</v>
      </c>
      <c r="I15" s="17">
        <f>IFERROR(VLOOKUP(C15,PARAMS_Rv,2,FALSE),"")</f>
        <v/>
      </c>
      <c r="J15" s="17">
        <f>IF(B15="Yes",0,PROJECT_Rainfall)</f>
        <v/>
      </c>
      <c r="K15" s="17">
        <f>IFERROR(E15*I15*J15/12,0)</f>
        <v/>
      </c>
      <c r="L15" s="17">
        <f>IFERROR(F15*I15*J15/12,0)</f>
        <v/>
      </c>
      <c r="M15" s="17">
        <f>IFERROR(G15*I15*J15/12,0)</f>
        <v/>
      </c>
      <c r="N15" s="17">
        <f>IFERROR(H15*I15*J15/12,0)</f>
        <v/>
      </c>
    </row>
    <row r="16">
      <c r="A16" s="4" t="inlineStr">
        <is>
          <t>SDA-7</t>
        </is>
      </c>
      <c r="B16" s="4" t="inlineStr">
        <is>
          <t>Yes</t>
        </is>
      </c>
      <c r="C16" s="4" t="inlineStr">
        <is>
          <t>Impervious Vehicular</t>
        </is>
      </c>
      <c r="D16" s="4" t="n"/>
      <c r="E16" s="4" t="n">
        <v>6117</v>
      </c>
      <c r="F16" s="4" t="n">
        <v>0</v>
      </c>
      <c r="G16" s="4" t="n">
        <v>6117</v>
      </c>
      <c r="H16" s="4" t="n">
        <v>0</v>
      </c>
      <c r="I16" s="17">
        <f>IFERROR(VLOOKUP(C16,PARAMS_Rv,2,FALSE),"")</f>
        <v/>
      </c>
      <c r="J16" s="17">
        <f>IF(B16="Yes",0,PROJECT_Rainfall)</f>
        <v/>
      </c>
      <c r="K16" s="17">
        <f>IFERROR(E16*I16*J16/12,0)</f>
        <v/>
      </c>
      <c r="L16" s="17">
        <f>IFERROR(F16*I16*J16/12,0)</f>
        <v/>
      </c>
      <c r="M16" s="17">
        <f>IFERROR(G16*I16*J16/12,0)</f>
        <v/>
      </c>
      <c r="N16" s="17">
        <f>IFERROR(H16*I16*J16/12,0)</f>
        <v/>
      </c>
    </row>
    <row r="17">
      <c r="A17" s="4" t="inlineStr">
        <is>
          <t>SDA-7</t>
        </is>
      </c>
      <c r="B17" s="4" t="inlineStr">
        <is>
          <t>Yes</t>
        </is>
      </c>
      <c r="C17" s="4" t="inlineStr">
        <is>
          <t>Compacted (Open Space)</t>
        </is>
      </c>
      <c r="D17" s="4" t="inlineStr">
        <is>
          <t>D</t>
        </is>
      </c>
      <c r="E17" s="4" t="n">
        <v>304</v>
      </c>
      <c r="F17" s="4" t="n">
        <v>0</v>
      </c>
      <c r="G17" s="4" t="n">
        <v>304</v>
      </c>
      <c r="H17" s="4" t="n">
        <v>0</v>
      </c>
      <c r="I17" s="17">
        <f>IFERROR(VLOOKUP(C17,PARAMS_Rv,2,FALSE),"")</f>
        <v/>
      </c>
      <c r="J17" s="17">
        <f>IF(B17="Yes",0,PROJECT_Rainfall)</f>
        <v/>
      </c>
      <c r="K17" s="17">
        <f>IFERROR(E17*I17*J17/12,0)</f>
        <v/>
      </c>
      <c r="L17" s="17">
        <f>IFERROR(F17*I17*J17/12,0)</f>
        <v/>
      </c>
      <c r="M17" s="17">
        <f>IFERROR(G17*I17*J17/12,0)</f>
        <v/>
      </c>
      <c r="N17" s="17">
        <f>IFERROR(H17*I17*J17/12,0)</f>
        <v/>
      </c>
    </row>
    <row r="18">
      <c r="A18" s="4" t="inlineStr">
        <is>
          <t>SDA-8</t>
        </is>
      </c>
      <c r="B18" s="4" t="inlineStr">
        <is>
          <t>Yes</t>
        </is>
      </c>
      <c r="C18" s="4" t="inlineStr">
        <is>
          <t>Impervious Vehicular</t>
        </is>
      </c>
      <c r="D18" s="4" t="n"/>
      <c r="E18" s="4" t="n">
        <v>10685</v>
      </c>
      <c r="F18" s="4" t="n">
        <v>0</v>
      </c>
      <c r="G18" s="4" t="n">
        <v>10685</v>
      </c>
      <c r="H18" s="4" t="n">
        <v>0</v>
      </c>
      <c r="I18" s="17">
        <f>IFERROR(VLOOKUP(C18,PARAMS_Rv,2,FALSE),"")</f>
        <v/>
      </c>
      <c r="J18" s="17">
        <f>IF(B18="Yes",0,PROJECT_Rainfall)</f>
        <v/>
      </c>
      <c r="K18" s="17">
        <f>IFERROR(E18*I18*J18/12,0)</f>
        <v/>
      </c>
      <c r="L18" s="17">
        <f>IFERROR(F18*I18*J18/12,0)</f>
        <v/>
      </c>
      <c r="M18" s="17">
        <f>IFERROR(G18*I18*J18/12,0)</f>
        <v/>
      </c>
      <c r="N18" s="17">
        <f>IFERROR(H18*I18*J18/12,0)</f>
        <v/>
      </c>
    </row>
    <row r="19">
      <c r="A19" s="4" t="inlineStr">
        <is>
          <t>SDA-8</t>
        </is>
      </c>
      <c r="B19" s="4" t="inlineStr">
        <is>
          <t>Yes</t>
        </is>
      </c>
      <c r="C19" s="4" t="inlineStr">
        <is>
          <t>Compacted (Open Space)</t>
        </is>
      </c>
      <c r="D19" s="4" t="inlineStr">
        <is>
          <t>D</t>
        </is>
      </c>
      <c r="E19" s="4" t="n">
        <v>1225</v>
      </c>
      <c r="F19" s="4" t="n">
        <v>0</v>
      </c>
      <c r="G19" s="4" t="n">
        <v>1225</v>
      </c>
      <c r="H19" s="4" t="n">
        <v>0</v>
      </c>
      <c r="I19" s="17">
        <f>IFERROR(VLOOKUP(C19,PARAMS_Rv,2,FALSE),"")</f>
        <v/>
      </c>
      <c r="J19" s="17">
        <f>IF(B19="Yes",0,PROJECT_Rainfall)</f>
        <v/>
      </c>
      <c r="K19" s="17">
        <f>IFERROR(E19*I19*J19/12,0)</f>
        <v/>
      </c>
      <c r="L19" s="17">
        <f>IFERROR(F19*I19*J19/12,0)</f>
        <v/>
      </c>
      <c r="M19" s="17">
        <f>IFERROR(G19*I19*J19/12,0)</f>
        <v/>
      </c>
      <c r="N19" s="17">
        <f>IFERROR(H19*I19*J19/12,0)</f>
        <v/>
      </c>
    </row>
    <row r="20">
      <c r="A20" s="4" t="inlineStr">
        <is>
          <t>SDA-9</t>
        </is>
      </c>
      <c r="B20" s="4" t="inlineStr">
        <is>
          <t>Yes</t>
        </is>
      </c>
      <c r="C20" s="4" t="inlineStr">
        <is>
          <t>Impervious Vehicular</t>
        </is>
      </c>
      <c r="D20" s="4" t="n"/>
      <c r="E20" s="4" t="n">
        <v>6682</v>
      </c>
      <c r="F20" s="4" t="n">
        <v>0</v>
      </c>
      <c r="G20" s="4" t="n">
        <v>6682</v>
      </c>
      <c r="H20" s="4" t="n">
        <v>0</v>
      </c>
      <c r="I20" s="17">
        <f>IFERROR(VLOOKUP(C20,PARAMS_Rv,2,FALSE),"")</f>
        <v/>
      </c>
      <c r="J20" s="17">
        <f>IF(B20="Yes",0,PROJECT_Rainfall)</f>
        <v/>
      </c>
      <c r="K20" s="17">
        <f>IFERROR(E20*I20*J20/12,0)</f>
        <v/>
      </c>
      <c r="L20" s="17">
        <f>IFERROR(F20*I20*J20/12,0)</f>
        <v/>
      </c>
      <c r="M20" s="17">
        <f>IFERROR(G20*I20*J20/12,0)</f>
        <v/>
      </c>
      <c r="N20" s="17">
        <f>IFERROR(H20*I20*J20/12,0)</f>
        <v/>
      </c>
    </row>
    <row r="21">
      <c r="A21" s="4" t="inlineStr">
        <is>
          <t>SDA-10</t>
        </is>
      </c>
      <c r="B21" s="4" t="inlineStr">
        <is>
          <t>Yes</t>
        </is>
      </c>
      <c r="C21" s="4" t="inlineStr">
        <is>
          <t>Impervious Vehicular</t>
        </is>
      </c>
      <c r="D21" s="4" t="n"/>
      <c r="E21" s="4" t="n">
        <v>2797</v>
      </c>
      <c r="F21" s="4" t="n">
        <v>0</v>
      </c>
      <c r="G21" s="4" t="n">
        <v>2797</v>
      </c>
      <c r="H21" s="4" t="n">
        <v>0</v>
      </c>
      <c r="I21" s="17">
        <f>IFERROR(VLOOKUP(C21,PARAMS_Rv,2,FALSE),"")</f>
        <v/>
      </c>
      <c r="J21" s="17">
        <f>IF(B21="Yes",0,PROJECT_Rainfall)</f>
        <v/>
      </c>
      <c r="K21" s="17">
        <f>IFERROR(E21*I21*J21/12,0)</f>
        <v/>
      </c>
      <c r="L21" s="17">
        <f>IFERROR(F21*I21*J21/12,0)</f>
        <v/>
      </c>
      <c r="M21" s="17">
        <f>IFERROR(G21*I21*J21/12,0)</f>
        <v/>
      </c>
      <c r="N21" s="17">
        <f>IFERROR(H21*I21*J21/12,0)</f>
        <v/>
      </c>
    </row>
    <row r="22">
      <c r="A22" s="4" t="inlineStr">
        <is>
          <t>SDA-10</t>
        </is>
      </c>
      <c r="B22" s="4" t="inlineStr">
        <is>
          <t>Yes</t>
        </is>
      </c>
      <c r="C22" s="4" t="inlineStr">
        <is>
          <t>Compacted (Open Space)</t>
        </is>
      </c>
      <c r="D22" s="4" t="inlineStr">
        <is>
          <t>D</t>
        </is>
      </c>
      <c r="E22" s="4" t="n">
        <v>0</v>
      </c>
      <c r="F22" s="4" t="n">
        <v>1469</v>
      </c>
      <c r="G22" s="4" t="n">
        <v>0</v>
      </c>
      <c r="H22" s="4" t="n">
        <v>1469</v>
      </c>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inlineStr">
        <is>
          <t>CDA-2-1</t>
        </is>
      </c>
      <c r="B4" s="4" t="inlineStr">
        <is>
          <t>SDA-2</t>
        </is>
      </c>
      <c r="C4" s="4" t="inlineStr">
        <is>
          <t>Impervious Vehicular</t>
        </is>
      </c>
      <c r="D4" s="4" t="n"/>
      <c r="E4" s="4" t="n">
        <v>630</v>
      </c>
      <c r="F4" s="4" t="n"/>
      <c r="G4" s="17">
        <f>IFERROR(VLOOKUP(C4,PARAMS_Rv,2,FALSE),"")</f>
        <v/>
      </c>
      <c r="H4" s="17">
        <f>IFERROR(E4*G4*PROJECT_Rainfall/12,0)</f>
        <v/>
      </c>
      <c r="I4" s="17">
        <f>IFERROR(F4*G4*PROJECT_Rainfall/12,0)</f>
        <v/>
      </c>
    </row>
    <row r="5">
      <c r="A5" s="4" t="inlineStr">
        <is>
          <t>CDA-2-2</t>
        </is>
      </c>
      <c r="B5" s="4" t="inlineStr">
        <is>
          <t>SDA-2</t>
        </is>
      </c>
      <c r="C5" s="4" t="inlineStr">
        <is>
          <t>Impervious Vehicular</t>
        </is>
      </c>
      <c r="D5" s="4" t="n"/>
      <c r="E5" s="4" t="n">
        <v>450</v>
      </c>
      <c r="F5" s="4" t="n"/>
      <c r="G5" s="17">
        <f>IFERROR(VLOOKUP(C5,PARAMS_Rv,2,FALSE),"")</f>
        <v/>
      </c>
      <c r="H5" s="17">
        <f>IFERROR(E5*G5*PROJECT_Rainfall/12,0)</f>
        <v/>
      </c>
      <c r="I5" s="17">
        <f>IFERROR(F5*G5*PROJECT_Rainfall/12,0)</f>
        <v/>
      </c>
    </row>
    <row r="6">
      <c r="A6" s="4" t="inlineStr">
        <is>
          <t>CDA-3</t>
        </is>
      </c>
      <c r="B6" s="4" t="inlineStr">
        <is>
          <t>SDA-3</t>
        </is>
      </c>
      <c r="C6" s="4" t="inlineStr">
        <is>
          <t>Impervious Vehicular</t>
        </is>
      </c>
      <c r="D6" s="4" t="n"/>
      <c r="E6" s="4" t="n">
        <v>3870</v>
      </c>
      <c r="F6" s="4" t="n"/>
      <c r="G6" s="17">
        <f>IFERROR(VLOOKUP(C6,PARAMS_Rv,2,FALSE),"")</f>
        <v/>
      </c>
      <c r="H6" s="17">
        <f>IFERROR(E6*G6*PROJECT_Rainfall/12,0)</f>
        <v/>
      </c>
      <c r="I6" s="17">
        <f>IFERROR(F6*G6*PROJECT_Rainfall/12,0)</f>
        <v/>
      </c>
    </row>
    <row r="7">
      <c r="A7" s="4" t="inlineStr">
        <is>
          <t>CDA-4</t>
        </is>
      </c>
      <c r="B7" s="4" t="inlineStr">
        <is>
          <t>SDA-4</t>
        </is>
      </c>
      <c r="C7" s="4" t="inlineStr">
        <is>
          <t>Impervious Vehicular</t>
        </is>
      </c>
      <c r="D7" s="4" t="n"/>
      <c r="E7" s="4" t="n">
        <v>2790</v>
      </c>
      <c r="F7" s="4" t="n"/>
      <c r="G7" s="17">
        <f>IFERROR(VLOOKUP(C7,PARAMS_Rv,2,FALSE),"")</f>
        <v/>
      </c>
      <c r="H7" s="17">
        <f>IFERROR(E7*G7*PROJECT_Rainfall/12,0)</f>
        <v/>
      </c>
      <c r="I7" s="17">
        <f>IFERROR(F7*G7*PROJECT_Rainfall/12,0)</f>
        <v/>
      </c>
    </row>
    <row r="8">
      <c r="A8" s="4" t="inlineStr">
        <is>
          <t>CDA-5</t>
        </is>
      </c>
      <c r="B8" s="4" t="inlineStr">
        <is>
          <t>SDA-5</t>
        </is>
      </c>
      <c r="C8" s="4" t="inlineStr">
        <is>
          <t>Impervious Vehicular</t>
        </is>
      </c>
      <c r="D8" s="4" t="n"/>
      <c r="E8" s="4" t="n">
        <v>5610</v>
      </c>
      <c r="F8" s="4" t="n"/>
      <c r="G8" s="17">
        <f>IFERROR(VLOOKUP(C8,PARAMS_Rv,2,FALSE),"")</f>
        <v/>
      </c>
      <c r="H8" s="17">
        <f>IFERROR(E8*G8*PROJECT_Rainfall/12,0)</f>
        <v/>
      </c>
      <c r="I8" s="17">
        <f>IFERROR(F8*G8*PROJECT_Rainfall/12,0)</f>
        <v/>
      </c>
    </row>
    <row r="9">
      <c r="A9" s="4" t="inlineStr">
        <is>
          <t>CDA-6</t>
        </is>
      </c>
      <c r="B9" s="4" t="inlineStr">
        <is>
          <t>SDA-6</t>
        </is>
      </c>
      <c r="C9" s="4" t="inlineStr">
        <is>
          <t>Impervious Vehicular</t>
        </is>
      </c>
      <c r="D9" s="4" t="n"/>
      <c r="E9" s="4" t="n">
        <v>675</v>
      </c>
      <c r="F9" s="4" t="n"/>
      <c r="G9" s="17">
        <f>IFERROR(VLOOKUP(C9,PARAMS_Rv,2,FALSE),"")</f>
        <v/>
      </c>
      <c r="H9" s="17">
        <f>IFERROR(E9*G9*PROJECT_Rainfall/12,0)</f>
        <v/>
      </c>
      <c r="I9" s="17">
        <f>IFERROR(F9*G9*PROJECT_Rainfall/12,0)</f>
        <v/>
      </c>
    </row>
    <row r="10">
      <c r="A10" s="4" t="inlineStr">
        <is>
          <t>CDA-7</t>
        </is>
      </c>
      <c r="B10" s="4" t="inlineStr">
        <is>
          <t>SDA-7</t>
        </is>
      </c>
      <c r="C10" s="4" t="inlineStr">
        <is>
          <t>Impervious Vehicular</t>
        </is>
      </c>
      <c r="D10" s="4" t="n"/>
      <c r="E10" s="4" t="n">
        <v>660</v>
      </c>
      <c r="F10" s="4" t="n"/>
      <c r="G10" s="17">
        <f>IFERROR(VLOOKUP(C10,PARAMS_Rv,2,FALSE),"")</f>
        <v/>
      </c>
      <c r="H10" s="17">
        <f>IFERROR(E10*G10*PROJECT_Rainfall/12,0)</f>
        <v/>
      </c>
      <c r="I10" s="17">
        <f>IFERROR(F10*G10*PROJECT_Rainfall/12,0)</f>
        <v/>
      </c>
    </row>
    <row r="11">
      <c r="A11" s="4" t="inlineStr">
        <is>
          <t>CDA-8</t>
        </is>
      </c>
      <c r="B11" s="4" t="inlineStr">
        <is>
          <t>SDA-8</t>
        </is>
      </c>
      <c r="C11" s="4" t="inlineStr">
        <is>
          <t>Impervious Vehicular</t>
        </is>
      </c>
      <c r="D11" s="4" t="n"/>
      <c r="E11" s="4" t="n">
        <v>3000</v>
      </c>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inlineStr">
        <is>
          <t>BMP-02-A</t>
        </is>
      </c>
      <c r="B4" s="4" t="inlineStr">
        <is>
          <t>SDA-2</t>
        </is>
      </c>
      <c r="C4" s="4" t="inlineStr">
        <is>
          <t>CDA-2-1</t>
        </is>
      </c>
      <c r="D4" s="4" t="inlineStr">
        <is>
          <t>Bioretention</t>
        </is>
      </c>
      <c r="E4" s="27" t="inlineStr">
        <is>
          <t>Enhanced</t>
        </is>
      </c>
      <c r="F4" s="4" t="n"/>
      <c r="G4" s="4" t="n"/>
      <c r="H4" s="4" t="n"/>
      <c r="I4" s="4">
        <f>IFERROR(IF(OR(E4="Enhanced",E4="Underdrained Enhanced"),VLOOKUP(IF(SUMIFS('CDA'!$E$4:$E$53,'CDA'!$A$4:$A$53,C4,'CDA'!$D$4:$D$53,"D")&gt;0,"D",IF(SUMIFS('CDA'!$E$4:$E$53,'CDA'!$A$4:$A$53,C4,'CDA'!$D$4:$D$53,"C")&gt;0,"C",IF(SUMIFS('CDA'!$E$4:$E$53,'CDA'!$A$4:$A$53,C4,'CDA'!$D$4:$D$53,"B")&gt;0,"B",IF(SUMIFS('CDA'!$E$4:$E$53,'CDA'!$A$4:$A$53,C4,'CDA'!$D$4:$D$53,"A")&gt;0,"A","")))),PARAMS_Ksat,2,FALSE),0),0)</f>
        <v/>
      </c>
      <c r="J4" s="17">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17">
        <f>IFERROR(F4*G4*J4,0)</f>
        <v/>
      </c>
      <c r="L4" s="17">
        <f>IFERROR(IF(I4=0,"",G4/I4),"")</f>
        <v/>
      </c>
      <c r="M4" s="28">
        <f>IFERROR(IF(L4="","",IF(L4&lt;=2,"✓","✗")),"")</f>
        <v/>
      </c>
      <c r="N4" s="4" t="n">
        <v>210</v>
      </c>
      <c r="O4" s="4" t="n">
        <v>210</v>
      </c>
      <c r="P4" s="17">
        <f>IFERROR((N4+O4)/2,0)</f>
        <v/>
      </c>
      <c r="Q4" s="4" t="n">
        <v>2</v>
      </c>
      <c r="R4" s="17">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 t="n">
        <v>0.5</v>
      </c>
      <c r="T4" s="17">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 t="n">
        <v>0.5</v>
      </c>
      <c r="V4" s="4">
        <f>IFERROR(IF(OR(E4="Enhanced",E4="Enhanced w/ Underdrain"),VLOOKUP(IF(SUMIFS('CDA'!$E$4:$E$53,'CDA'!$A$4:$A$53,C4,'CDA'!$D$4:$D$53,"D")&gt;0,"D",IF(SUMIFS('CDA'!$E$4:$E$53,'CDA'!$A$4:$A$53,C4,'CDA'!$D$4:$D$53,"C")&gt;0,"C",IF(SUMIFS('CDA'!$E$4:$E$53,'CDA'!$A$4:$A$53,C4,'CDA'!$D$4:$D$53,"B")&gt;0,"B",IF(SUMIFS('CDA'!$E$4:$E$53,'CDA'!$A$4:$A$53,C4,'CDA'!$D$4:$D$53,"A")&gt;0,"A","")))),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17">
        <f>IFERROR(AI4*AJ4+AH4,0)</f>
        <v/>
      </c>
      <c r="AL4" s="17">
        <f>IFERROR(VLOOKUP(C4,'CDA'!$A$58:$D$67,4,FALSE),0)</f>
        <v/>
      </c>
      <c r="AM4" s="28">
        <f>IFERROR(IF(AL4=0,AK4,MIN(AK4,AL4)),0)</f>
        <v/>
      </c>
    </row>
    <row r="5">
      <c r="A5" s="4" t="inlineStr">
        <is>
          <t>BMP-02-B</t>
        </is>
      </c>
      <c r="B5" s="4" t="inlineStr">
        <is>
          <t>SDA-2</t>
        </is>
      </c>
      <c r="C5" s="4" t="inlineStr">
        <is>
          <t>CDA-2-2</t>
        </is>
      </c>
      <c r="D5" s="4" t="inlineStr">
        <is>
          <t>Permeable Pavement</t>
        </is>
      </c>
      <c r="E5" s="27" t="inlineStr">
        <is>
          <t>Enhanced</t>
        </is>
      </c>
      <c r="F5" s="4" t="n">
        <v>150</v>
      </c>
      <c r="G5" s="4" t="n">
        <v>1</v>
      </c>
      <c r="H5" s="4" t="n"/>
      <c r="I5" s="4">
        <f>IFERROR(IF(OR(E5="Enhanced",E5="Underdrained Enhanced"),VLOOKUP(IF(SUMIFS('CDA'!$E$4:$E$53,'CDA'!$A$4:$A$53,C5,'CDA'!$D$4:$D$53,"D")&gt;0,"D",IF(SUMIFS('CDA'!$E$4:$E$53,'CDA'!$A$4:$A$53,C5,'CDA'!$D$4:$D$53,"C")&gt;0,"C",IF(SUMIFS('CDA'!$E$4:$E$53,'CDA'!$A$4:$A$53,C5,'CDA'!$D$4:$D$53,"B")&gt;0,"B",IF(SUMIFS('CDA'!$E$4:$E$53,'CDA'!$A$4:$A$53,C5,'CDA'!$D$4:$D$53,"A")&gt;0,"A","")))),PARAMS_Ksat,2,FALSE),0),0)</f>
        <v/>
      </c>
      <c r="J5" s="17">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17">
        <f>IFERROR(F5*G5*J5,0)</f>
        <v/>
      </c>
      <c r="L5" s="17">
        <f>IFERROR(IF(I5=0,"",G5/I5),"")</f>
        <v/>
      </c>
      <c r="M5" s="28">
        <f>IFERROR(IF(L5="","",IF(L5&lt;=2,"✓","✗")),"")</f>
        <v/>
      </c>
      <c r="N5" s="4" t="n"/>
      <c r="O5" s="4" t="n"/>
      <c r="P5" s="17">
        <f>IFERROR((N5+O5)/2,0)</f>
        <v/>
      </c>
      <c r="Q5" s="4" t="n"/>
      <c r="R5" s="17">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 t="n"/>
      <c r="T5" s="17">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 t="n"/>
      <c r="V5" s="4">
        <f>IFERROR(IF(OR(E5="Enhanced",E5="Enhanced w/ Underdrain"),VLOOKUP(IF(SUMIFS('CDA'!$E$4:$E$53,'CDA'!$A$4:$A$53,C5,'CDA'!$D$4:$D$53,"D")&gt;0,"D",IF(SUMIFS('CDA'!$E$4:$E$53,'CDA'!$A$4:$A$53,C5,'CDA'!$D$4:$D$53,"C")&gt;0,"C",IF(SUMIFS('CDA'!$E$4:$E$53,'CDA'!$A$4:$A$53,C5,'CDA'!$D$4:$D$53,"B")&gt;0,"B",IF(SUMIFS('CDA'!$E$4:$E$53,'CDA'!$A$4:$A$53,C5,'CDA'!$D$4:$D$53,"A")&gt;0,"A","")))),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17">
        <f>IFERROR(AI5*AJ5+AH5,0)</f>
        <v/>
      </c>
      <c r="AL5" s="17">
        <f>IFERROR(VLOOKUP(C5,'CDA'!$A$58:$D$67,4,FALSE),0)</f>
        <v/>
      </c>
      <c r="AM5" s="28">
        <f>IFERROR(IF(AL5=0,AK5,MIN(AK5,AL5)),0)</f>
        <v/>
      </c>
    </row>
    <row r="6">
      <c r="A6" s="4" t="inlineStr">
        <is>
          <t>BMP-03-A</t>
        </is>
      </c>
      <c r="B6" s="4" t="inlineStr">
        <is>
          <t>SDA-3</t>
        </is>
      </c>
      <c r="C6" s="4" t="inlineStr">
        <is>
          <t>CDA-3</t>
        </is>
      </c>
      <c r="D6" s="4" t="inlineStr">
        <is>
          <t>Permeable Pavement</t>
        </is>
      </c>
      <c r="E6" s="27" t="inlineStr">
        <is>
          <t>Enhanced</t>
        </is>
      </c>
      <c r="F6" s="4" t="n">
        <v>1290</v>
      </c>
      <c r="G6" s="4" t="n">
        <v>1</v>
      </c>
      <c r="H6" s="4" t="n"/>
      <c r="I6" s="4">
        <f>IFERROR(IF(OR(E6="Enhanced",E6="Underdrained Enhanced"),VLOOKUP(IF(SUMIFS('CDA'!$E$4:$E$53,'CDA'!$A$4:$A$53,C6,'CDA'!$D$4:$D$53,"D")&gt;0,"D",IF(SUMIFS('CDA'!$E$4:$E$53,'CDA'!$A$4:$A$53,C6,'CDA'!$D$4:$D$53,"C")&gt;0,"C",IF(SUMIFS('CDA'!$E$4:$E$53,'CDA'!$A$4:$A$53,C6,'CDA'!$D$4:$D$53,"B")&gt;0,"B",IF(SUMIFS('CDA'!$E$4:$E$53,'CDA'!$A$4:$A$53,C6,'CDA'!$D$4:$D$53,"A")&gt;0,"A","")))),PARAMS_Ksat,2,FALSE),0),0)</f>
        <v/>
      </c>
      <c r="J6" s="17">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17">
        <f>IFERROR(F6*G6*J6,0)</f>
        <v/>
      </c>
      <c r="L6" s="17">
        <f>IFERROR(IF(I6=0,"",G6/I6),"")</f>
        <v/>
      </c>
      <c r="M6" s="28">
        <f>IFERROR(IF(L6="","",IF(L6&lt;=2,"✓","✗")),"")</f>
        <v/>
      </c>
      <c r="N6" s="4" t="n"/>
      <c r="O6" s="4" t="n"/>
      <c r="P6" s="17">
        <f>IFERROR((N6+O6)/2,0)</f>
        <v/>
      </c>
      <c r="Q6" s="4" t="n"/>
      <c r="R6" s="17">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 t="n"/>
      <c r="T6" s="17">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 t="n"/>
      <c r="V6" s="4">
        <f>IFERROR(IF(OR(E6="Enhanced",E6="Enhanced w/ Underdrain"),VLOOKUP(IF(SUMIFS('CDA'!$E$4:$E$53,'CDA'!$A$4:$A$53,C6,'CDA'!$D$4:$D$53,"D")&gt;0,"D",IF(SUMIFS('CDA'!$E$4:$E$53,'CDA'!$A$4:$A$53,C6,'CDA'!$D$4:$D$53,"C")&gt;0,"C",IF(SUMIFS('CDA'!$E$4:$E$53,'CDA'!$A$4:$A$53,C6,'CDA'!$D$4:$D$53,"B")&gt;0,"B",IF(SUMIFS('CDA'!$E$4:$E$53,'CDA'!$A$4:$A$53,C6,'CDA'!$D$4:$D$53,"A")&gt;0,"A","")))),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17">
        <f>IFERROR(AI6*AJ6+AH6,0)</f>
        <v/>
      </c>
      <c r="AL6" s="17">
        <f>IFERROR(VLOOKUP(C6,'CDA'!$A$58:$D$67,4,FALSE),0)</f>
        <v/>
      </c>
      <c r="AM6" s="28">
        <f>IFERROR(IF(AL6=0,AK6,MIN(AK6,AL6)),0)</f>
        <v/>
      </c>
    </row>
    <row r="7">
      <c r="A7" s="4" t="inlineStr">
        <is>
          <t>BMP-04-A</t>
        </is>
      </c>
      <c r="B7" s="4" t="inlineStr">
        <is>
          <t>SDA-4</t>
        </is>
      </c>
      <c r="C7" s="4" t="inlineStr">
        <is>
          <t>CDA-4</t>
        </is>
      </c>
      <c r="D7" s="4" t="inlineStr">
        <is>
          <t>Permeable Pavement</t>
        </is>
      </c>
      <c r="E7" s="27" t="inlineStr">
        <is>
          <t>Enhanced</t>
        </is>
      </c>
      <c r="F7" s="4" t="n">
        <v>930</v>
      </c>
      <c r="G7" s="4" t="n">
        <v>1</v>
      </c>
      <c r="H7" s="4" t="n"/>
      <c r="I7" s="4">
        <f>IFERROR(IF(OR(E7="Enhanced",E7="Underdrained Enhanced"),VLOOKUP(IF(SUMIFS('CDA'!$E$4:$E$53,'CDA'!$A$4:$A$53,C7,'CDA'!$D$4:$D$53,"D")&gt;0,"D",IF(SUMIFS('CDA'!$E$4:$E$53,'CDA'!$A$4:$A$53,C7,'CDA'!$D$4:$D$53,"C")&gt;0,"C",IF(SUMIFS('CDA'!$E$4:$E$53,'CDA'!$A$4:$A$53,C7,'CDA'!$D$4:$D$53,"B")&gt;0,"B",IF(SUMIFS('CDA'!$E$4:$E$53,'CDA'!$A$4:$A$53,C7,'CDA'!$D$4:$D$53,"A")&gt;0,"A","")))),PARAMS_Ksat,2,FALSE),0),0)</f>
        <v/>
      </c>
      <c r="J7" s="17">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17">
        <f>IFERROR(F7*G7*J7,0)</f>
        <v/>
      </c>
      <c r="L7" s="17">
        <f>IFERROR(IF(I7=0,"",G7/I7),"")</f>
        <v/>
      </c>
      <c r="M7" s="28">
        <f>IFERROR(IF(L7="","",IF(L7&lt;=2,"✓","✗")),"")</f>
        <v/>
      </c>
      <c r="N7" s="4" t="n"/>
      <c r="O7" s="4" t="n"/>
      <c r="P7" s="17">
        <f>IFERROR((N7+O7)/2,0)</f>
        <v/>
      </c>
      <c r="Q7" s="4" t="n"/>
      <c r="R7" s="17">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 t="n"/>
      <c r="T7" s="17">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 t="n"/>
      <c r="V7" s="4">
        <f>IFERROR(IF(OR(E7="Enhanced",E7="Enhanced w/ Underdrain"),VLOOKUP(IF(SUMIFS('CDA'!$E$4:$E$53,'CDA'!$A$4:$A$53,C7,'CDA'!$D$4:$D$53,"D")&gt;0,"D",IF(SUMIFS('CDA'!$E$4:$E$53,'CDA'!$A$4:$A$53,C7,'CDA'!$D$4:$D$53,"C")&gt;0,"C",IF(SUMIFS('CDA'!$E$4:$E$53,'CDA'!$A$4:$A$53,C7,'CDA'!$D$4:$D$53,"B")&gt;0,"B",IF(SUMIFS('CDA'!$E$4:$E$53,'CDA'!$A$4:$A$53,C7,'CDA'!$D$4:$D$53,"A")&gt;0,"A","")))),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17">
        <f>IFERROR(AI7*AJ7+AH7,0)</f>
        <v/>
      </c>
      <c r="AL7" s="17">
        <f>IFERROR(VLOOKUP(C7,'CDA'!$A$58:$D$67,4,FALSE),0)</f>
        <v/>
      </c>
      <c r="AM7" s="28">
        <f>IFERROR(IF(AL7=0,AK7,MIN(AK7,AL7)),0)</f>
        <v/>
      </c>
    </row>
    <row r="8">
      <c r="A8" s="4" t="inlineStr">
        <is>
          <t>BMP-04-T</t>
        </is>
      </c>
      <c r="B8" s="4" t="inlineStr">
        <is>
          <t>SDA-4</t>
        </is>
      </c>
      <c r="C8" s="4" t="n"/>
      <c r="D8" s="4" t="inlineStr">
        <is>
          <t>Planted Trees</t>
        </is>
      </c>
      <c r="E8" s="27" t="inlineStr">
        <is>
          <t>—</t>
        </is>
      </c>
      <c r="F8" s="4" t="n"/>
      <c r="G8" s="4" t="n"/>
      <c r="H8" s="4" t="n"/>
      <c r="I8" s="4">
        <f>IFERROR(IF(OR(E8="Enhanced",E8="Underdrained Enhanced"),VLOOKUP(IF(SUMIFS('CDA'!$E$4:$E$53,'CDA'!$A$4:$A$53,C8,'CDA'!$D$4:$D$53,"D")&gt;0,"D",IF(SUMIFS('CDA'!$E$4:$E$53,'CDA'!$A$4:$A$53,C8,'CDA'!$D$4:$D$53,"C")&gt;0,"C",IF(SUMIFS('CDA'!$E$4:$E$53,'CDA'!$A$4:$A$53,C8,'CDA'!$D$4:$D$53,"B")&gt;0,"B",IF(SUMIFS('CDA'!$E$4:$E$53,'CDA'!$A$4:$A$53,C8,'CDA'!$D$4:$D$53,"A")&gt;0,"A","")))),PARAMS_Ksat,2,FALSE),0),0)</f>
        <v/>
      </c>
      <c r="J8" s="17">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17">
        <f>IFERROR(F8*G8*J8,0)</f>
        <v/>
      </c>
      <c r="L8" s="17">
        <f>IFERROR(IF(I8=0,"",G8/I8),"")</f>
        <v/>
      </c>
      <c r="M8" s="28">
        <f>IFERROR(IF(L8="","",IF(L8&lt;=2,"✓","✗")),"")</f>
        <v/>
      </c>
      <c r="N8" s="4" t="n"/>
      <c r="O8" s="4" t="n"/>
      <c r="P8" s="17">
        <f>IFERROR((N8+O8)/2,0)</f>
        <v/>
      </c>
      <c r="Q8" s="4" t="n"/>
      <c r="R8" s="17">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 t="n"/>
      <c r="T8" s="17">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 t="n"/>
      <c r="V8" s="4">
        <f>IFERROR(IF(OR(E8="Enhanced",E8="Enhanced w/ Underdrain"),VLOOKUP(IF(SUMIFS('CDA'!$E$4:$E$53,'CDA'!$A$4:$A$53,C8,'CDA'!$D$4:$D$53,"D")&gt;0,"D",IF(SUMIFS('CDA'!$E$4:$E$53,'CDA'!$A$4:$A$53,C8,'CDA'!$D$4:$D$53,"C")&gt;0,"C",IF(SUMIFS('CDA'!$E$4:$E$53,'CDA'!$A$4:$A$53,C8,'CDA'!$D$4:$D$53,"B")&gt;0,"B",IF(SUMIFS('CDA'!$E$4:$E$53,'CDA'!$A$4:$A$53,C8,'CDA'!$D$4:$D$53,"A")&gt;0,"A","")))),PARAMS_Ksat,2,FALSE),0),0)</f>
        <v/>
      </c>
      <c r="W8" s="17">
        <f>IFERROR(P8*(Q8*R8+S8*T8+U8),0)</f>
        <v/>
      </c>
      <c r="X8" s="28">
        <f>IFERROR(IF(V8=0,"",(Q8+S8)/V8),"")</f>
        <v/>
      </c>
      <c r="Y8" s="4" t="n"/>
      <c r="Z8" s="4" t="n"/>
      <c r="AA8" s="28">
        <f>IFERROR(Y8+Z8,0)</f>
        <v/>
      </c>
      <c r="AB8" s="4" t="n">
        <v>0</v>
      </c>
      <c r="AC8" s="4" t="n">
        <v>2</v>
      </c>
      <c r="AD8" s="4" t="n">
        <v>0</v>
      </c>
      <c r="AE8" s="4" t="n">
        <v>0</v>
      </c>
      <c r="AF8" s="4" t="n">
        <v>0</v>
      </c>
      <c r="AG8" s="4" t="n">
        <v>0</v>
      </c>
      <c r="AH8" s="28">
        <f>IFERROR(AB8*INDEX(PARAMS_Trees,1,3)+AC8*INDEX(PARAMS_Trees,2,3)+AD8*INDEX(PARAMS_Trees,3,3)+AE8*INDEX(PARAMS_Trees,4,3)+AF8*INDEX(PARAMS_Trees,5,3)+AG8*INDEX(PARAMS_Trees,6,3),0)</f>
        <v/>
      </c>
      <c r="AI8" s="17">
        <f>IFERROR(K8+W8+AA8,0)</f>
        <v/>
      </c>
      <c r="AJ8" s="17">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17">
        <f>IFERROR(AI8*AJ8+AH8,0)</f>
        <v/>
      </c>
      <c r="AL8" s="17">
        <f>IFERROR(VLOOKUP(C8,'CDA'!$A$58:$D$67,4,FALSE),0)</f>
        <v/>
      </c>
      <c r="AM8" s="28">
        <f>IFERROR(IF(AL8=0,AK8,MIN(AK8,AL8)),0)</f>
        <v/>
      </c>
    </row>
    <row r="9">
      <c r="A9" s="4" t="inlineStr">
        <is>
          <t>BMP-05-A</t>
        </is>
      </c>
      <c r="B9" s="4" t="inlineStr">
        <is>
          <t>SDA-5</t>
        </is>
      </c>
      <c r="C9" s="4" t="inlineStr">
        <is>
          <t>CDA-5</t>
        </is>
      </c>
      <c r="D9" s="4" t="inlineStr">
        <is>
          <t>Permeable Pavement</t>
        </is>
      </c>
      <c r="E9" s="27" t="inlineStr">
        <is>
          <t>Enhanced</t>
        </is>
      </c>
      <c r="F9" s="4" t="n">
        <v>1870</v>
      </c>
      <c r="G9" s="4" t="n">
        <v>1</v>
      </c>
      <c r="H9" s="4" t="n"/>
      <c r="I9" s="4">
        <f>IFERROR(IF(OR(E9="Enhanced",E9="Underdrained Enhanced"),VLOOKUP(IF(SUMIFS('CDA'!$E$4:$E$53,'CDA'!$A$4:$A$53,C9,'CDA'!$D$4:$D$53,"D")&gt;0,"D",IF(SUMIFS('CDA'!$E$4:$E$53,'CDA'!$A$4:$A$53,C9,'CDA'!$D$4:$D$53,"C")&gt;0,"C",IF(SUMIFS('CDA'!$E$4:$E$53,'CDA'!$A$4:$A$53,C9,'CDA'!$D$4:$D$53,"B")&gt;0,"B",IF(SUMIFS('CDA'!$E$4:$E$53,'CDA'!$A$4:$A$53,C9,'CDA'!$D$4:$D$53,"A")&gt;0,"A","")))),PARAMS_Ksat,2,FALSE),0),0)</f>
        <v/>
      </c>
      <c r="J9" s="17">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17">
        <f>IFERROR(F9*G9*J9,0)</f>
        <v/>
      </c>
      <c r="L9" s="17">
        <f>IFERROR(IF(I9=0,"",G9/I9),"")</f>
        <v/>
      </c>
      <c r="M9" s="28">
        <f>IFERROR(IF(L9="","",IF(L9&lt;=2,"✓","✗")),"")</f>
        <v/>
      </c>
      <c r="N9" s="4" t="n"/>
      <c r="O9" s="4" t="n"/>
      <c r="P9" s="17">
        <f>IFERROR((N9+O9)/2,0)</f>
        <v/>
      </c>
      <c r="Q9" s="4" t="n"/>
      <c r="R9" s="17">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 t="n"/>
      <c r="T9" s="17">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 t="n"/>
      <c r="V9" s="4">
        <f>IFERROR(IF(OR(E9="Enhanced",E9="Enhanced w/ Underdrain"),VLOOKUP(IF(SUMIFS('CDA'!$E$4:$E$53,'CDA'!$A$4:$A$53,C9,'CDA'!$D$4:$D$53,"D")&gt;0,"D",IF(SUMIFS('CDA'!$E$4:$E$53,'CDA'!$A$4:$A$53,C9,'CDA'!$D$4:$D$53,"C")&gt;0,"C",IF(SUMIFS('CDA'!$E$4:$E$53,'CDA'!$A$4:$A$53,C9,'CDA'!$D$4:$D$53,"B")&gt;0,"B",IF(SUMIFS('CDA'!$E$4:$E$53,'CDA'!$A$4:$A$53,C9,'CDA'!$D$4:$D$53,"A")&gt;0,"A","")))),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17">
        <f>IFERROR(AI9*AJ9+AH9,0)</f>
        <v/>
      </c>
      <c r="AL9" s="17">
        <f>IFERROR(VLOOKUP(C9,'CDA'!$A$58:$D$67,4,FALSE),0)</f>
        <v/>
      </c>
      <c r="AM9" s="28">
        <f>IFERROR(IF(AL9=0,AK9,MIN(AK9,AL9)),0)</f>
        <v/>
      </c>
    </row>
    <row r="10">
      <c r="A10" s="4" t="inlineStr">
        <is>
          <t>BMP-05-T</t>
        </is>
      </c>
      <c r="B10" s="4" t="inlineStr">
        <is>
          <t>SDA-5</t>
        </is>
      </c>
      <c r="C10" s="4" t="n"/>
      <c r="D10" s="4" t="inlineStr">
        <is>
          <t>Planted Trees</t>
        </is>
      </c>
      <c r="E10" s="27" t="inlineStr">
        <is>
          <t>—</t>
        </is>
      </c>
      <c r="F10" s="4" t="n"/>
      <c r="G10" s="4" t="n"/>
      <c r="H10" s="4" t="n"/>
      <c r="I10" s="4">
        <f>IFERROR(IF(OR(E10="Enhanced",E10="Underdrained Enhanced"),VLOOKUP(IF(SUMIFS('CDA'!$E$4:$E$53,'CDA'!$A$4:$A$53,C10,'CDA'!$D$4:$D$53,"D")&gt;0,"D",IF(SUMIFS('CDA'!$E$4:$E$53,'CDA'!$A$4:$A$53,C10,'CDA'!$D$4:$D$53,"C")&gt;0,"C",IF(SUMIFS('CDA'!$E$4:$E$53,'CDA'!$A$4:$A$53,C10,'CDA'!$D$4:$D$53,"B")&gt;0,"B",IF(SUMIFS('CDA'!$E$4:$E$53,'CDA'!$A$4:$A$53,C10,'CDA'!$D$4:$D$53,"A")&gt;0,"A","")))),PARAMS_Ksat,2,FALSE),0),0)</f>
        <v/>
      </c>
      <c r="J10" s="17">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17">
        <f>IFERROR(F10*G10*J10,0)</f>
        <v/>
      </c>
      <c r="L10" s="17">
        <f>IFERROR(IF(I10=0,"",G10/I10),"")</f>
        <v/>
      </c>
      <c r="M10" s="28">
        <f>IFERROR(IF(L10="","",IF(L10&lt;=2,"✓","✗")),"")</f>
        <v/>
      </c>
      <c r="N10" s="4" t="n"/>
      <c r="O10" s="4" t="n"/>
      <c r="P10" s="17">
        <f>IFERROR((N10+O10)/2,0)</f>
        <v/>
      </c>
      <c r="Q10" s="4" t="n"/>
      <c r="R10" s="17">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 t="n"/>
      <c r="T10" s="17">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 t="n"/>
      <c r="V10" s="4">
        <f>IFERROR(IF(OR(E10="Enhanced",E10="Enhanced w/ Underdrain"),VLOOKUP(IF(SUMIFS('CDA'!$E$4:$E$53,'CDA'!$A$4:$A$53,C10,'CDA'!$D$4:$D$53,"D")&gt;0,"D",IF(SUMIFS('CDA'!$E$4:$E$53,'CDA'!$A$4:$A$53,C10,'CDA'!$D$4:$D$53,"C")&gt;0,"C",IF(SUMIFS('CDA'!$E$4:$E$53,'CDA'!$A$4:$A$53,C10,'CDA'!$D$4:$D$53,"B")&gt;0,"B",IF(SUMIFS('CDA'!$E$4:$E$53,'CDA'!$A$4:$A$53,C10,'CDA'!$D$4:$D$53,"A")&gt;0,"A","")))),PARAMS_Ksat,2,FALSE),0),0)</f>
        <v/>
      </c>
      <c r="W10" s="17">
        <f>IFERROR(P10*(Q10*R10+S10*T10+U10),0)</f>
        <v/>
      </c>
      <c r="X10" s="28">
        <f>IFERROR(IF(V10=0,"",(Q10+S10)/V10),"")</f>
        <v/>
      </c>
      <c r="Y10" s="4" t="n"/>
      <c r="Z10" s="4" t="n"/>
      <c r="AA10" s="28">
        <f>IFERROR(Y10+Z10,0)</f>
        <v/>
      </c>
      <c r="AB10" s="4" t="n">
        <v>0</v>
      </c>
      <c r="AC10" s="4" t="n">
        <v>8</v>
      </c>
      <c r="AD10" s="4" t="n">
        <v>0</v>
      </c>
      <c r="AE10" s="4" t="n">
        <v>2</v>
      </c>
      <c r="AF10" s="4" t="n">
        <v>0</v>
      </c>
      <c r="AG10" s="4" t="n">
        <v>0</v>
      </c>
      <c r="AH10" s="28">
        <f>IFERROR(AB10*INDEX(PARAMS_Trees,1,3)+AC10*INDEX(PARAMS_Trees,2,3)+AD10*INDEX(PARAMS_Trees,3,3)+AE10*INDEX(PARAMS_Trees,4,3)+AF10*INDEX(PARAMS_Trees,5,3)+AG10*INDEX(PARAMS_Trees,6,3),0)</f>
        <v/>
      </c>
      <c r="AI10" s="17">
        <f>IFERROR(K10+W10+AA10,0)</f>
        <v/>
      </c>
      <c r="AJ10" s="17">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17">
        <f>IFERROR(AI10*AJ10+AH10,0)</f>
        <v/>
      </c>
      <c r="AL10" s="17">
        <f>IFERROR(VLOOKUP(C10,'CDA'!$A$58:$D$67,4,FALSE),0)</f>
        <v/>
      </c>
      <c r="AM10" s="28">
        <f>IFERROR(IF(AL10=0,AK10,MIN(AK10,AL10)),0)</f>
        <v/>
      </c>
    </row>
    <row r="11">
      <c r="A11" s="4" t="inlineStr">
        <is>
          <t>BMP-06-A</t>
        </is>
      </c>
      <c r="B11" s="4" t="inlineStr">
        <is>
          <t>SDA-6</t>
        </is>
      </c>
      <c r="C11" s="4" t="inlineStr">
        <is>
          <t>CDA-6</t>
        </is>
      </c>
      <c r="D11" s="4" t="inlineStr">
        <is>
          <t>Bioretention</t>
        </is>
      </c>
      <c r="E11" s="27" t="inlineStr">
        <is>
          <t>Enhanced</t>
        </is>
      </c>
      <c r="F11" s="4" t="n"/>
      <c r="G11" s="4" t="n"/>
      <c r="H11" s="4" t="n"/>
      <c r="I11" s="4">
        <f>IFERROR(IF(OR(E11="Enhanced",E11="Underdrained Enhanced"),VLOOKUP(IF(SUMIFS('CDA'!$E$4:$E$53,'CDA'!$A$4:$A$53,C11,'CDA'!$D$4:$D$53,"D")&gt;0,"D",IF(SUMIFS('CDA'!$E$4:$E$53,'CDA'!$A$4:$A$53,C11,'CDA'!$D$4:$D$53,"C")&gt;0,"C",IF(SUMIFS('CDA'!$E$4:$E$53,'CDA'!$A$4:$A$53,C11,'CDA'!$D$4:$D$53,"B")&gt;0,"B",IF(SUMIFS('CDA'!$E$4:$E$53,'CDA'!$A$4:$A$53,C11,'CDA'!$D$4:$D$53,"A")&gt;0,"A","")))),PARAMS_Ksat,2,FALSE),0),0)</f>
        <v/>
      </c>
      <c r="J11" s="17">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17">
        <f>IFERROR(F11*G11*J11,0)</f>
        <v/>
      </c>
      <c r="L11" s="17">
        <f>IFERROR(IF(I11=0,"",G11/I11),"")</f>
        <v/>
      </c>
      <c r="M11" s="28">
        <f>IFERROR(IF(L11="","",IF(L11&lt;=2,"✓","✗")),"")</f>
        <v/>
      </c>
      <c r="N11" s="4" t="n">
        <v>225</v>
      </c>
      <c r="O11" s="4" t="n">
        <v>225</v>
      </c>
      <c r="P11" s="17">
        <f>IFERROR((N11+O11)/2,0)</f>
        <v/>
      </c>
      <c r="Q11" s="4" t="n">
        <v>2</v>
      </c>
      <c r="R11" s="17">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 t="n">
        <v>0.5</v>
      </c>
      <c r="T11" s="17">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 t="n">
        <v>0.5</v>
      </c>
      <c r="V11" s="4">
        <f>IFERROR(IF(OR(E11="Enhanced",E11="Enhanced w/ Underdrain"),VLOOKUP(IF(SUMIFS('CDA'!$E$4:$E$53,'CDA'!$A$4:$A$53,C11,'CDA'!$D$4:$D$53,"D")&gt;0,"D",IF(SUMIFS('CDA'!$E$4:$E$53,'CDA'!$A$4:$A$53,C11,'CDA'!$D$4:$D$53,"C")&gt;0,"C",IF(SUMIFS('CDA'!$E$4:$E$53,'CDA'!$A$4:$A$53,C11,'CDA'!$D$4:$D$53,"B")&gt;0,"B",IF(SUMIFS('CDA'!$E$4:$E$53,'CDA'!$A$4:$A$53,C11,'CDA'!$D$4:$D$53,"A")&gt;0,"A","")))),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17">
        <f>IFERROR(AI11*AJ11+AH11,0)</f>
        <v/>
      </c>
      <c r="AL11" s="17">
        <f>IFERROR(VLOOKUP(C11,'CDA'!$A$58:$D$67,4,FALSE),0)</f>
        <v/>
      </c>
      <c r="AM11" s="28">
        <f>IFERROR(IF(AL11=0,AK11,MIN(AK11,AL11)),0)</f>
        <v/>
      </c>
    </row>
    <row r="12">
      <c r="A12" s="4" t="inlineStr">
        <is>
          <t>BMP-06-T</t>
        </is>
      </c>
      <c r="B12" s="4" t="inlineStr">
        <is>
          <t>SDA-6</t>
        </is>
      </c>
      <c r="C12" s="4" t="n"/>
      <c r="D12" s="4" t="inlineStr">
        <is>
          <t>Planted Trees</t>
        </is>
      </c>
      <c r="E12" s="27" t="inlineStr">
        <is>
          <t>—</t>
        </is>
      </c>
      <c r="F12" s="4" t="n"/>
      <c r="G12" s="4" t="n"/>
      <c r="H12" s="4" t="n"/>
      <c r="I12" s="4">
        <f>IFERROR(IF(OR(E12="Enhanced",E12="Underdrained Enhanced"),VLOOKUP(IF(SUMIFS('CDA'!$E$4:$E$53,'CDA'!$A$4:$A$53,C12,'CDA'!$D$4:$D$53,"D")&gt;0,"D",IF(SUMIFS('CDA'!$E$4:$E$53,'CDA'!$A$4:$A$53,C12,'CDA'!$D$4:$D$53,"C")&gt;0,"C",IF(SUMIFS('CDA'!$E$4:$E$53,'CDA'!$A$4:$A$53,C12,'CDA'!$D$4:$D$53,"B")&gt;0,"B",IF(SUMIFS('CDA'!$E$4:$E$53,'CDA'!$A$4:$A$53,C12,'CDA'!$D$4:$D$53,"A")&gt;0,"A","")))),PARAMS_Ksat,2,FALSE),0),0)</f>
        <v/>
      </c>
      <c r="J12" s="17">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17">
        <f>IFERROR(F12*G12*J12,0)</f>
        <v/>
      </c>
      <c r="L12" s="17">
        <f>IFERROR(IF(I12=0,"",G12/I12),"")</f>
        <v/>
      </c>
      <c r="M12" s="28">
        <f>IFERROR(IF(L12="","",IF(L12&lt;=2,"✓","✗")),"")</f>
        <v/>
      </c>
      <c r="N12" s="4" t="n"/>
      <c r="O12" s="4" t="n"/>
      <c r="P12" s="17">
        <f>IFERROR((N12+O12)/2,0)</f>
        <v/>
      </c>
      <c r="Q12" s="4" t="n"/>
      <c r="R12" s="17">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 t="n"/>
      <c r="T12" s="17">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 t="n"/>
      <c r="V12" s="4">
        <f>IFERROR(IF(OR(E12="Enhanced",E12="Enhanced w/ Underdrain"),VLOOKUP(IF(SUMIFS('CDA'!$E$4:$E$53,'CDA'!$A$4:$A$53,C12,'CDA'!$D$4:$D$53,"D")&gt;0,"D",IF(SUMIFS('CDA'!$E$4:$E$53,'CDA'!$A$4:$A$53,C12,'CDA'!$D$4:$D$53,"C")&gt;0,"C",IF(SUMIFS('CDA'!$E$4:$E$53,'CDA'!$A$4:$A$53,C12,'CDA'!$D$4:$D$53,"B")&gt;0,"B",IF(SUMIFS('CDA'!$E$4:$E$53,'CDA'!$A$4:$A$53,C12,'CDA'!$D$4:$D$53,"A")&gt;0,"A","")))),PARAMS_Ksat,2,FALSE),0),0)</f>
        <v/>
      </c>
      <c r="W12" s="17">
        <f>IFERROR(P12*(Q12*R12+S12*T12+U12),0)</f>
        <v/>
      </c>
      <c r="X12" s="28">
        <f>IFERROR(IF(V12=0,"",(Q12+S12)/V12),"")</f>
        <v/>
      </c>
      <c r="Y12" s="4" t="n"/>
      <c r="Z12" s="4" t="n"/>
      <c r="AA12" s="28">
        <f>IFERROR(Y12+Z12,0)</f>
        <v/>
      </c>
      <c r="AB12" s="4" t="n">
        <v>0</v>
      </c>
      <c r="AC12" s="4" t="n">
        <v>2</v>
      </c>
      <c r="AD12" s="4" t="n">
        <v>0</v>
      </c>
      <c r="AE12" s="4" t="n">
        <v>0</v>
      </c>
      <c r="AF12" s="4" t="n">
        <v>0</v>
      </c>
      <c r="AG12" s="4" t="n">
        <v>0</v>
      </c>
      <c r="AH12" s="28">
        <f>IFERROR(AB12*INDEX(PARAMS_Trees,1,3)+AC12*INDEX(PARAMS_Trees,2,3)+AD12*INDEX(PARAMS_Trees,3,3)+AE12*INDEX(PARAMS_Trees,4,3)+AF12*INDEX(PARAMS_Trees,5,3)+AG12*INDEX(PARAMS_Trees,6,3),0)</f>
        <v/>
      </c>
      <c r="AI12" s="17">
        <f>IFERROR(K12+W12+AA12,0)</f>
        <v/>
      </c>
      <c r="AJ12" s="17">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17">
        <f>IFERROR(AI12*AJ12+AH12,0)</f>
        <v/>
      </c>
      <c r="AL12" s="17">
        <f>IFERROR(VLOOKUP(C12,'CDA'!$A$58:$D$67,4,FALSE),0)</f>
        <v/>
      </c>
      <c r="AM12" s="28">
        <f>IFERROR(IF(AL12=0,AK12,MIN(AK12,AL12)),0)</f>
        <v/>
      </c>
    </row>
    <row r="13">
      <c r="A13" s="4" t="inlineStr">
        <is>
          <t>BMP-07-A</t>
        </is>
      </c>
      <c r="B13" s="4" t="inlineStr">
        <is>
          <t>SDA-7</t>
        </is>
      </c>
      <c r="C13" s="4" t="inlineStr">
        <is>
          <t>CDA-7</t>
        </is>
      </c>
      <c r="D13" s="4" t="inlineStr">
        <is>
          <t>Bioretention</t>
        </is>
      </c>
      <c r="E13" s="27" t="inlineStr">
        <is>
          <t>Enhanced</t>
        </is>
      </c>
      <c r="F13" s="4" t="n"/>
      <c r="G13" s="4" t="n"/>
      <c r="H13" s="4" t="n"/>
      <c r="I13" s="4">
        <f>IFERROR(IF(OR(E13="Enhanced",E13="Underdrained Enhanced"),VLOOKUP(IF(SUMIFS('CDA'!$E$4:$E$53,'CDA'!$A$4:$A$53,C13,'CDA'!$D$4:$D$53,"D")&gt;0,"D",IF(SUMIFS('CDA'!$E$4:$E$53,'CDA'!$A$4:$A$53,C13,'CDA'!$D$4:$D$53,"C")&gt;0,"C",IF(SUMIFS('CDA'!$E$4:$E$53,'CDA'!$A$4:$A$53,C13,'CDA'!$D$4:$D$53,"B")&gt;0,"B",IF(SUMIFS('CDA'!$E$4:$E$53,'CDA'!$A$4:$A$53,C13,'CDA'!$D$4:$D$53,"A")&gt;0,"A","")))),PARAMS_Ksat,2,FALSE),0),0)</f>
        <v/>
      </c>
      <c r="J13" s="17">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17">
        <f>IFERROR(F13*G13*J13,0)</f>
        <v/>
      </c>
      <c r="L13" s="17">
        <f>IFERROR(IF(I13=0,"",G13/I13),"")</f>
        <v/>
      </c>
      <c r="M13" s="28">
        <f>IFERROR(IF(L13="","",IF(L13&lt;=2,"✓","✗")),"")</f>
        <v/>
      </c>
      <c r="N13" s="4" t="n">
        <v>220</v>
      </c>
      <c r="O13" s="4" t="n">
        <v>220</v>
      </c>
      <c r="P13" s="17">
        <f>IFERROR((N13+O13)/2,0)</f>
        <v/>
      </c>
      <c r="Q13" s="4" t="n">
        <v>2</v>
      </c>
      <c r="R13" s="17">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 t="n">
        <v>0.5</v>
      </c>
      <c r="T13" s="17">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 t="n">
        <v>0.5</v>
      </c>
      <c r="V13" s="4">
        <f>IFERROR(IF(OR(E13="Enhanced",E13="Enhanced w/ Underdrain"),VLOOKUP(IF(SUMIFS('CDA'!$E$4:$E$53,'CDA'!$A$4:$A$53,C13,'CDA'!$D$4:$D$53,"D")&gt;0,"D",IF(SUMIFS('CDA'!$E$4:$E$53,'CDA'!$A$4:$A$53,C13,'CDA'!$D$4:$D$53,"C")&gt;0,"C",IF(SUMIFS('CDA'!$E$4:$E$53,'CDA'!$A$4:$A$53,C13,'CDA'!$D$4:$D$53,"B")&gt;0,"B",IF(SUMIFS('CDA'!$E$4:$E$53,'CDA'!$A$4:$A$53,C13,'CDA'!$D$4:$D$53,"A")&gt;0,"A","")))),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17">
        <f>IFERROR(AI13*AJ13+AH13,0)</f>
        <v/>
      </c>
      <c r="AL13" s="17">
        <f>IFERROR(VLOOKUP(C13,'CDA'!$A$58:$D$67,4,FALSE),0)</f>
        <v/>
      </c>
      <c r="AM13" s="28">
        <f>IFERROR(IF(AL13=0,AK13,MIN(AK13,AL13)),0)</f>
        <v/>
      </c>
    </row>
    <row r="14">
      <c r="A14" s="4" t="inlineStr">
        <is>
          <t>BMP-07-T</t>
        </is>
      </c>
      <c r="B14" s="4" t="inlineStr">
        <is>
          <t>SDA-7</t>
        </is>
      </c>
      <c r="C14" s="4" t="n"/>
      <c r="D14" s="4" t="inlineStr">
        <is>
          <t>Planted Trees</t>
        </is>
      </c>
      <c r="E14" s="27" t="inlineStr">
        <is>
          <t>—</t>
        </is>
      </c>
      <c r="F14" s="4" t="n"/>
      <c r="G14" s="4" t="n"/>
      <c r="H14" s="4" t="n"/>
      <c r="I14" s="4">
        <f>IFERROR(IF(OR(E14="Enhanced",E14="Underdrained Enhanced"),VLOOKUP(IF(SUMIFS('CDA'!$E$4:$E$53,'CDA'!$A$4:$A$53,C14,'CDA'!$D$4:$D$53,"D")&gt;0,"D",IF(SUMIFS('CDA'!$E$4:$E$53,'CDA'!$A$4:$A$53,C14,'CDA'!$D$4:$D$53,"C")&gt;0,"C",IF(SUMIFS('CDA'!$E$4:$E$53,'CDA'!$A$4:$A$53,C14,'CDA'!$D$4:$D$53,"B")&gt;0,"B",IF(SUMIFS('CDA'!$E$4:$E$53,'CDA'!$A$4:$A$53,C14,'CDA'!$D$4:$D$53,"A")&gt;0,"A","")))),PARAMS_Ksat,2,FALSE),0),0)</f>
        <v/>
      </c>
      <c r="J14" s="17">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17">
        <f>IFERROR(F14*G14*J14,0)</f>
        <v/>
      </c>
      <c r="L14" s="17">
        <f>IFERROR(IF(I14=0,"",G14/I14),"")</f>
        <v/>
      </c>
      <c r="M14" s="28">
        <f>IFERROR(IF(L14="","",IF(L14&lt;=2,"✓","✗")),"")</f>
        <v/>
      </c>
      <c r="N14" s="4" t="n"/>
      <c r="O14" s="4" t="n"/>
      <c r="P14" s="17">
        <f>IFERROR((N14+O14)/2,0)</f>
        <v/>
      </c>
      <c r="Q14" s="4" t="n"/>
      <c r="R14" s="17">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 t="n"/>
      <c r="T14" s="17">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 t="n"/>
      <c r="V14" s="4">
        <f>IFERROR(IF(OR(E14="Enhanced",E14="Enhanced w/ Underdrain"),VLOOKUP(IF(SUMIFS('CDA'!$E$4:$E$53,'CDA'!$A$4:$A$53,C14,'CDA'!$D$4:$D$53,"D")&gt;0,"D",IF(SUMIFS('CDA'!$E$4:$E$53,'CDA'!$A$4:$A$53,C14,'CDA'!$D$4:$D$53,"C")&gt;0,"C",IF(SUMIFS('CDA'!$E$4:$E$53,'CDA'!$A$4:$A$53,C14,'CDA'!$D$4:$D$53,"B")&gt;0,"B",IF(SUMIFS('CDA'!$E$4:$E$53,'CDA'!$A$4:$A$53,C14,'CDA'!$D$4:$D$53,"A")&gt;0,"A","")))),PARAMS_Ksat,2,FALSE),0),0)</f>
        <v/>
      </c>
      <c r="W14" s="17">
        <f>IFERROR(P14*(Q14*R14+S14*T14+U14),0)</f>
        <v/>
      </c>
      <c r="X14" s="28">
        <f>IFERROR(IF(V14=0,"",(Q14+S14)/V14),"")</f>
        <v/>
      </c>
      <c r="Y14" s="4" t="n"/>
      <c r="Z14" s="4" t="n"/>
      <c r="AA14" s="28">
        <f>IFERROR(Y14+Z14,0)</f>
        <v/>
      </c>
      <c r="AB14" s="4" t="n">
        <v>0</v>
      </c>
      <c r="AC14" s="4" t="n">
        <v>1</v>
      </c>
      <c r="AD14" s="4" t="n">
        <v>0</v>
      </c>
      <c r="AE14" s="4" t="n">
        <v>0</v>
      </c>
      <c r="AF14" s="4" t="n">
        <v>0</v>
      </c>
      <c r="AG14" s="4" t="n">
        <v>0</v>
      </c>
      <c r="AH14" s="28">
        <f>IFERROR(AB14*INDEX(PARAMS_Trees,1,3)+AC14*INDEX(PARAMS_Trees,2,3)+AD14*INDEX(PARAMS_Trees,3,3)+AE14*INDEX(PARAMS_Trees,4,3)+AF14*INDEX(PARAMS_Trees,5,3)+AG14*INDEX(PARAMS_Trees,6,3),0)</f>
        <v/>
      </c>
      <c r="AI14" s="17">
        <f>IFERROR(K14+W14+AA14,0)</f>
        <v/>
      </c>
      <c r="AJ14" s="17">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17">
        <f>IFERROR(AI14*AJ14+AH14,0)</f>
        <v/>
      </c>
      <c r="AL14" s="17">
        <f>IFERROR(VLOOKUP(C14,'CDA'!$A$58:$D$67,4,FALSE),0)</f>
        <v/>
      </c>
      <c r="AM14" s="28">
        <f>IFERROR(IF(AL14=0,AK14,MIN(AK14,AL14)),0)</f>
        <v/>
      </c>
    </row>
    <row r="15">
      <c r="A15" s="4" t="inlineStr">
        <is>
          <t>BMP-08-A</t>
        </is>
      </c>
      <c r="B15" s="4" t="inlineStr">
        <is>
          <t>SDA-8</t>
        </is>
      </c>
      <c r="C15" s="4" t="inlineStr">
        <is>
          <t>CDA-8</t>
        </is>
      </c>
      <c r="D15" s="4" t="inlineStr">
        <is>
          <t>Bioretention</t>
        </is>
      </c>
      <c r="E15" s="27" t="inlineStr">
        <is>
          <t>Enhanced</t>
        </is>
      </c>
      <c r="F15" s="4" t="n"/>
      <c r="G15" s="4" t="n"/>
      <c r="H15" s="4" t="n"/>
      <c r="I15" s="4">
        <f>IFERROR(IF(OR(E15="Enhanced",E15="Underdrained Enhanced"),VLOOKUP(IF(SUMIFS('CDA'!$E$4:$E$53,'CDA'!$A$4:$A$53,C15,'CDA'!$D$4:$D$53,"D")&gt;0,"D",IF(SUMIFS('CDA'!$E$4:$E$53,'CDA'!$A$4:$A$53,C15,'CDA'!$D$4:$D$53,"C")&gt;0,"C",IF(SUMIFS('CDA'!$E$4:$E$53,'CDA'!$A$4:$A$53,C15,'CDA'!$D$4:$D$53,"B")&gt;0,"B",IF(SUMIFS('CDA'!$E$4:$E$53,'CDA'!$A$4:$A$53,C15,'CDA'!$D$4:$D$53,"A")&gt;0,"A","")))),PARAMS_Ksat,2,FALSE),0),0)</f>
        <v/>
      </c>
      <c r="J15" s="17">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17">
        <f>IFERROR(F15*G15*J15,0)</f>
        <v/>
      </c>
      <c r="L15" s="17">
        <f>IFERROR(IF(I15=0,"",G15/I15),"")</f>
        <v/>
      </c>
      <c r="M15" s="28">
        <f>IFERROR(IF(L15="","",IF(L15&lt;=2,"✓","✗")),"")</f>
        <v/>
      </c>
      <c r="N15" s="4" t="n">
        <v>1000</v>
      </c>
      <c r="O15" s="4" t="n">
        <v>1000</v>
      </c>
      <c r="P15" s="17">
        <f>IFERROR((N15+O15)/2,0)</f>
        <v/>
      </c>
      <c r="Q15" s="4" t="n">
        <v>2</v>
      </c>
      <c r="R15" s="17">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 t="n">
        <v>0.5</v>
      </c>
      <c r="T15" s="17">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 t="n">
        <v>0.5</v>
      </c>
      <c r="V15" s="4">
        <f>IFERROR(IF(OR(E15="Enhanced",E15="Enhanced w/ Underdrain"),VLOOKUP(IF(SUMIFS('CDA'!$E$4:$E$53,'CDA'!$A$4:$A$53,C15,'CDA'!$D$4:$D$53,"D")&gt;0,"D",IF(SUMIFS('CDA'!$E$4:$E$53,'CDA'!$A$4:$A$53,C15,'CDA'!$D$4:$D$53,"C")&gt;0,"C",IF(SUMIFS('CDA'!$E$4:$E$53,'CDA'!$A$4:$A$53,C15,'CDA'!$D$4:$D$53,"B")&gt;0,"B",IF(SUMIFS('CDA'!$E$4:$E$53,'CDA'!$A$4:$A$53,C15,'CDA'!$D$4:$D$53,"A")&gt;0,"A","")))),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17">
        <f>IFERROR(AI15*AJ15+AH15,0)</f>
        <v/>
      </c>
      <c r="AL15" s="17">
        <f>IFERROR(VLOOKUP(C15,'CDA'!$A$58:$D$67,4,FALSE),0)</f>
        <v/>
      </c>
      <c r="AM15" s="28">
        <f>IFERROR(IF(AL15=0,AK15,MIN(AK15,AL15)),0)</f>
        <v/>
      </c>
    </row>
    <row r="16">
      <c r="A16" s="4" t="inlineStr">
        <is>
          <t>BMP-08-T</t>
        </is>
      </c>
      <c r="B16" s="4" t="inlineStr">
        <is>
          <t>SDA-8</t>
        </is>
      </c>
      <c r="C16" s="4" t="n"/>
      <c r="D16" s="4" t="inlineStr">
        <is>
          <t>Planted Trees</t>
        </is>
      </c>
      <c r="E16" s="27" t="inlineStr">
        <is>
          <t>—</t>
        </is>
      </c>
      <c r="F16" s="4" t="n"/>
      <c r="G16" s="4" t="n"/>
      <c r="H16" s="4" t="n"/>
      <c r="I16" s="4">
        <f>IFERROR(IF(OR(E16="Enhanced",E16="Underdrained Enhanced"),VLOOKUP(IF(SUMIFS('CDA'!$E$4:$E$53,'CDA'!$A$4:$A$53,C16,'CDA'!$D$4:$D$53,"D")&gt;0,"D",IF(SUMIFS('CDA'!$E$4:$E$53,'CDA'!$A$4:$A$53,C16,'CDA'!$D$4:$D$53,"C")&gt;0,"C",IF(SUMIFS('CDA'!$E$4:$E$53,'CDA'!$A$4:$A$53,C16,'CDA'!$D$4:$D$53,"B")&gt;0,"B",IF(SUMIFS('CDA'!$E$4:$E$53,'CDA'!$A$4:$A$53,C16,'CDA'!$D$4:$D$53,"A")&gt;0,"A","")))),PARAMS_Ksat,2,FALSE),0),0)</f>
        <v/>
      </c>
      <c r="J16" s="17">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17">
        <f>IFERROR(F16*G16*J16,0)</f>
        <v/>
      </c>
      <c r="L16" s="17">
        <f>IFERROR(IF(I16=0,"",G16/I16),"")</f>
        <v/>
      </c>
      <c r="M16" s="28">
        <f>IFERROR(IF(L16="","",IF(L16&lt;=2,"✓","✗")),"")</f>
        <v/>
      </c>
      <c r="N16" s="4" t="n"/>
      <c r="O16" s="4" t="n"/>
      <c r="P16" s="17">
        <f>IFERROR((N16+O16)/2,0)</f>
        <v/>
      </c>
      <c r="Q16" s="4" t="n"/>
      <c r="R16" s="17">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 t="n"/>
      <c r="T16" s="17">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 t="n"/>
      <c r="V16" s="4">
        <f>IFERROR(IF(OR(E16="Enhanced",E16="Enhanced w/ Underdrain"),VLOOKUP(IF(SUMIFS('CDA'!$E$4:$E$53,'CDA'!$A$4:$A$53,C16,'CDA'!$D$4:$D$53,"D")&gt;0,"D",IF(SUMIFS('CDA'!$E$4:$E$53,'CDA'!$A$4:$A$53,C16,'CDA'!$D$4:$D$53,"C")&gt;0,"C",IF(SUMIFS('CDA'!$E$4:$E$53,'CDA'!$A$4:$A$53,C16,'CDA'!$D$4:$D$53,"B")&gt;0,"B",IF(SUMIFS('CDA'!$E$4:$E$53,'CDA'!$A$4:$A$53,C16,'CDA'!$D$4:$D$53,"A")&gt;0,"A","")))),PARAMS_Ksat,2,FALSE),0),0)</f>
        <v/>
      </c>
      <c r="W16" s="17">
        <f>IFERROR(P16*(Q16*R16+S16*T16+U16),0)</f>
        <v/>
      </c>
      <c r="X16" s="28">
        <f>IFERROR(IF(V16=0,"",(Q16+S16)/V16),"")</f>
        <v/>
      </c>
      <c r="Y16" s="4" t="n"/>
      <c r="Z16" s="4" t="n"/>
      <c r="AA16" s="28">
        <f>IFERROR(Y16+Z16,0)</f>
        <v/>
      </c>
      <c r="AB16" s="4" t="n">
        <v>0</v>
      </c>
      <c r="AC16" s="4" t="n">
        <v>3</v>
      </c>
      <c r="AD16" s="4" t="n">
        <v>0</v>
      </c>
      <c r="AE16" s="4" t="n">
        <v>0</v>
      </c>
      <c r="AF16" s="4" t="n">
        <v>0</v>
      </c>
      <c r="AG16" s="4" t="n">
        <v>0</v>
      </c>
      <c r="AH16" s="28">
        <f>IFERROR(AB16*INDEX(PARAMS_Trees,1,3)+AC16*INDEX(PARAMS_Trees,2,3)+AD16*INDEX(PARAMS_Trees,3,3)+AE16*INDEX(PARAMS_Trees,4,3)+AF16*INDEX(PARAMS_Trees,5,3)+AG16*INDEX(PARAMS_Trees,6,3),0)</f>
        <v/>
      </c>
      <c r="AI16" s="17">
        <f>IFERROR(K16+W16+AA16,0)</f>
        <v/>
      </c>
      <c r="AJ16" s="17">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17">
        <f>IFERROR(AI16*AJ16+AH16,0)</f>
        <v/>
      </c>
      <c r="AL16" s="17">
        <f>IFERROR(VLOOKUP(C16,'CDA'!$A$58:$D$67,4,FALSE),0)</f>
        <v/>
      </c>
      <c r="AM16" s="28">
        <f>IFERROR(IF(AL16=0,AK16,MIN(AK16,AL16)),0)</f>
        <v/>
      </c>
    </row>
    <row r="17">
      <c r="A17" s="4" t="inlineStr">
        <is>
          <t>BMP-09-T</t>
        </is>
      </c>
      <c r="B17" s="4" t="inlineStr">
        <is>
          <t>SDA-9</t>
        </is>
      </c>
      <c r="C17" s="4" t="n"/>
      <c r="D17" s="4" t="inlineStr">
        <is>
          <t>Planted Trees</t>
        </is>
      </c>
      <c r="E17" s="27" t="inlineStr">
        <is>
          <t>—</t>
        </is>
      </c>
      <c r="F17" s="4" t="n"/>
      <c r="G17" s="4" t="n"/>
      <c r="H17" s="4" t="n"/>
      <c r="I17" s="4">
        <f>IFERROR(IF(OR(E17="Enhanced",E17="Underdrained Enhanced"),VLOOKUP(IF(SUMIFS('CDA'!$E$4:$E$53,'CDA'!$A$4:$A$53,C17,'CDA'!$D$4:$D$53,"D")&gt;0,"D",IF(SUMIFS('CDA'!$E$4:$E$53,'CDA'!$A$4:$A$53,C17,'CDA'!$D$4:$D$53,"C")&gt;0,"C",IF(SUMIFS('CDA'!$E$4:$E$53,'CDA'!$A$4:$A$53,C17,'CDA'!$D$4:$D$53,"B")&gt;0,"B",IF(SUMIFS('CDA'!$E$4:$E$53,'CDA'!$A$4:$A$53,C17,'CDA'!$D$4:$D$53,"A")&gt;0,"A","")))),PARAMS_Ksat,2,FALSE),0),0)</f>
        <v/>
      </c>
      <c r="J17" s="17">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17">
        <f>IFERROR(F17*G17*J17,0)</f>
        <v/>
      </c>
      <c r="L17" s="17">
        <f>IFERROR(IF(I17=0,"",G17/I17),"")</f>
        <v/>
      </c>
      <c r="M17" s="28">
        <f>IFERROR(IF(L17="","",IF(L17&lt;=2,"✓","✗")),"")</f>
        <v/>
      </c>
      <c r="N17" s="4" t="n"/>
      <c r="O17" s="4" t="n"/>
      <c r="P17" s="17">
        <f>IFERROR((N17+O17)/2,0)</f>
        <v/>
      </c>
      <c r="Q17" s="4" t="n"/>
      <c r="R17" s="17">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 t="n"/>
      <c r="T17" s="17">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 t="n"/>
      <c r="V17" s="4">
        <f>IFERROR(IF(OR(E17="Enhanced",E17="Enhanced w/ Underdrain"),VLOOKUP(IF(SUMIFS('CDA'!$E$4:$E$53,'CDA'!$A$4:$A$53,C17,'CDA'!$D$4:$D$53,"D")&gt;0,"D",IF(SUMIFS('CDA'!$E$4:$E$53,'CDA'!$A$4:$A$53,C17,'CDA'!$D$4:$D$53,"C")&gt;0,"C",IF(SUMIFS('CDA'!$E$4:$E$53,'CDA'!$A$4:$A$53,C17,'CDA'!$D$4:$D$53,"B")&gt;0,"B",IF(SUMIFS('CDA'!$E$4:$E$53,'CDA'!$A$4:$A$53,C17,'CDA'!$D$4:$D$53,"A")&gt;0,"A","")))),PARAMS_Ksat,2,FALSE),0),0)</f>
        <v/>
      </c>
      <c r="W17" s="17">
        <f>IFERROR(P17*(Q17*R17+S17*T17+U17),0)</f>
        <v/>
      </c>
      <c r="X17" s="28">
        <f>IFERROR(IF(V17=0,"",(Q17+S17)/V17),"")</f>
        <v/>
      </c>
      <c r="Y17" s="4" t="n"/>
      <c r="Z17" s="4" t="n"/>
      <c r="AA17" s="28">
        <f>IFERROR(Y17+Z17,0)</f>
        <v/>
      </c>
      <c r="AB17" s="4" t="n">
        <v>0</v>
      </c>
      <c r="AC17" s="4" t="n">
        <v>3</v>
      </c>
      <c r="AD17" s="4" t="n">
        <v>0</v>
      </c>
      <c r="AE17" s="4" t="n">
        <v>0</v>
      </c>
      <c r="AF17" s="4" t="n">
        <v>0</v>
      </c>
      <c r="AG17" s="4" t="n">
        <v>0</v>
      </c>
      <c r="AH17" s="28">
        <f>IFERROR(AB17*INDEX(PARAMS_Trees,1,3)+AC17*INDEX(PARAMS_Trees,2,3)+AD17*INDEX(PARAMS_Trees,3,3)+AE17*INDEX(PARAMS_Trees,4,3)+AF17*INDEX(PARAMS_Trees,5,3)+AG17*INDEX(PARAMS_Trees,6,3),0)</f>
        <v/>
      </c>
      <c r="AI17" s="17">
        <f>IFERROR(K17+W17+AA17,0)</f>
        <v/>
      </c>
      <c r="AJ17" s="17">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17">
        <f>IFERROR(AI17*AJ17+AH17,0)</f>
        <v/>
      </c>
      <c r="AL17" s="17">
        <f>IFERROR(VLOOKUP(C17,'CDA'!$A$58:$D$67,4,FALSE),0)</f>
        <v/>
      </c>
      <c r="AM17" s="28">
        <f>IFERROR(IF(AL17=0,AK17,MIN(AK17,AL17)),0)</f>
        <v/>
      </c>
    </row>
    <row r="18">
      <c r="A18" s="4" t="inlineStr">
        <is>
          <t>BMP-10-T</t>
        </is>
      </c>
      <c r="B18" s="4" t="inlineStr">
        <is>
          <t>SDA-10</t>
        </is>
      </c>
      <c r="C18" s="4" t="n"/>
      <c r="D18" s="4" t="inlineStr">
        <is>
          <t>Planted Trees</t>
        </is>
      </c>
      <c r="E18" s="27" t="inlineStr">
        <is>
          <t>—</t>
        </is>
      </c>
      <c r="F18" s="4" t="n"/>
      <c r="G18" s="4" t="n"/>
      <c r="H18" s="4" t="n"/>
      <c r="I18" s="4">
        <f>IFERROR(IF(OR(E18="Enhanced",E18="Underdrained Enhanced"),VLOOKUP(IF(SUMIFS('CDA'!$E$4:$E$53,'CDA'!$A$4:$A$53,C18,'CDA'!$D$4:$D$53,"D")&gt;0,"D",IF(SUMIFS('CDA'!$E$4:$E$53,'CDA'!$A$4:$A$53,C18,'CDA'!$D$4:$D$53,"C")&gt;0,"C",IF(SUMIFS('CDA'!$E$4:$E$53,'CDA'!$A$4:$A$53,C18,'CDA'!$D$4:$D$53,"B")&gt;0,"B",IF(SUMIFS('CDA'!$E$4:$E$53,'CDA'!$A$4:$A$53,C18,'CDA'!$D$4:$D$53,"A")&gt;0,"A","")))),PARAMS_Ksat,2,FALSE),0),0)</f>
        <v/>
      </c>
      <c r="J18" s="17">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17">
        <f>IFERROR(F18*G18*J18,0)</f>
        <v/>
      </c>
      <c r="L18" s="17">
        <f>IFERROR(IF(I18=0,"",G18/I18),"")</f>
        <v/>
      </c>
      <c r="M18" s="28">
        <f>IFERROR(IF(L18="","",IF(L18&lt;=2,"✓","✗")),"")</f>
        <v/>
      </c>
      <c r="N18" s="4" t="n"/>
      <c r="O18" s="4" t="n"/>
      <c r="P18" s="17">
        <f>IFERROR((N18+O18)/2,0)</f>
        <v/>
      </c>
      <c r="Q18" s="4" t="n"/>
      <c r="R18" s="17">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 t="n"/>
      <c r="T18" s="17">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 t="n"/>
      <c r="V18" s="4">
        <f>IFERROR(IF(OR(E18="Enhanced",E18="Enhanced w/ Underdrain"),VLOOKUP(IF(SUMIFS('CDA'!$E$4:$E$53,'CDA'!$A$4:$A$53,C18,'CDA'!$D$4:$D$53,"D")&gt;0,"D",IF(SUMIFS('CDA'!$E$4:$E$53,'CDA'!$A$4:$A$53,C18,'CDA'!$D$4:$D$53,"C")&gt;0,"C",IF(SUMIFS('CDA'!$E$4:$E$53,'CDA'!$A$4:$A$53,C18,'CDA'!$D$4:$D$53,"B")&gt;0,"B",IF(SUMIFS('CDA'!$E$4:$E$53,'CDA'!$A$4:$A$53,C18,'CDA'!$D$4:$D$53,"A")&gt;0,"A","")))),PARAMS_Ksat,2,FALSE),0),0)</f>
        <v/>
      </c>
      <c r="W18" s="17">
        <f>IFERROR(P18*(Q18*R18+S18*T18+U18),0)</f>
        <v/>
      </c>
      <c r="X18" s="28">
        <f>IFERROR(IF(V18=0,"",(Q18+S18)/V18),"")</f>
        <v/>
      </c>
      <c r="Y18" s="4" t="n"/>
      <c r="Z18" s="4" t="n"/>
      <c r="AA18" s="28">
        <f>IFERROR(Y18+Z18,0)</f>
        <v/>
      </c>
      <c r="AB18" s="4" t="n">
        <v>0</v>
      </c>
      <c r="AC18" s="4" t="n">
        <v>2</v>
      </c>
      <c r="AD18" s="4" t="n">
        <v>0</v>
      </c>
      <c r="AE18" s="4" t="n">
        <v>0</v>
      </c>
      <c r="AF18" s="4" t="n">
        <v>0</v>
      </c>
      <c r="AG18" s="4" t="n">
        <v>0</v>
      </c>
      <c r="AH18" s="28">
        <f>IFERROR(AB18*INDEX(PARAMS_Trees,1,3)+AC18*INDEX(PARAMS_Trees,2,3)+AD18*INDEX(PARAMS_Trees,3,3)+AE18*INDEX(PARAMS_Trees,4,3)+AF18*INDEX(PARAMS_Trees,5,3)+AG18*INDEX(PARAMS_Trees,6,3),0)</f>
        <v/>
      </c>
      <c r="AI18" s="17">
        <f>IFERROR(K18+W18+AA18,0)</f>
        <v/>
      </c>
      <c r="AJ18" s="17">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UMIFS('CDA'!$E$4:$E$53,'CDA'!$A$4:$A$53,C19,'CDA'!$D$4:$D$53,"D")&gt;0,"D",IF(SUMIFS('CDA'!$E$4:$E$53,'CDA'!$A$4:$A$53,C19,'CDA'!$D$4:$D$53,"C")&gt;0,"C",IF(SUMIFS('CDA'!$E$4:$E$53,'CDA'!$A$4:$A$53,C19,'CDA'!$D$4:$D$53,"B")&gt;0,"B",IF(SUMIFS('CDA'!$E$4:$E$53,'CDA'!$A$4:$A$53,C19,'CDA'!$D$4:$D$53,"A")&gt;0,"A","")))),PARAMS_Ksat,2,FALSE),0),0)</f>
        <v/>
      </c>
      <c r="J19" s="17">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17">
        <f>IFERROR(F19*G19*J19,0)</f>
        <v/>
      </c>
      <c r="L19" s="17">
        <f>IFERROR(IF(I19=0,"",G19/I19),"")</f>
        <v/>
      </c>
      <c r="M19" s="28">
        <f>IFERROR(IF(L19="","",IF(L19&lt;=2,"✓","✗")),"")</f>
        <v/>
      </c>
      <c r="N19" s="4" t="n"/>
      <c r="O19" s="4" t="n"/>
      <c r="P19" s="17">
        <f>IFERROR((N19+O19)/2,0)</f>
        <v/>
      </c>
      <c r="Q19" s="4" t="n"/>
      <c r="R19" s="17">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 t="n"/>
      <c r="T19" s="17">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 t="n"/>
      <c r="V19" s="4">
        <f>IFERROR(IF(OR(E19="Enhanced",E19="Enhanced w/ Underdrain"),VLOOKUP(IF(SUMIFS('CDA'!$E$4:$E$53,'CDA'!$A$4:$A$53,C19,'CDA'!$D$4:$D$53,"D")&gt;0,"D",IF(SUMIFS('CDA'!$E$4:$E$53,'CDA'!$A$4:$A$53,C19,'CDA'!$D$4:$D$53,"C")&gt;0,"C",IF(SUMIFS('CDA'!$E$4:$E$53,'CDA'!$A$4:$A$53,C19,'CDA'!$D$4:$D$53,"B")&gt;0,"B",IF(SUMIFS('CDA'!$E$4:$E$53,'CDA'!$A$4:$A$53,C19,'CDA'!$D$4:$D$53,"A")&gt;0,"A","")))),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UMIFS('CDA'!$E$4:$E$53,'CDA'!$A$4:$A$53,C20,'CDA'!$D$4:$D$53,"D")&gt;0,"D",IF(SUMIFS('CDA'!$E$4:$E$53,'CDA'!$A$4:$A$53,C20,'CDA'!$D$4:$D$53,"C")&gt;0,"C",IF(SUMIFS('CDA'!$E$4:$E$53,'CDA'!$A$4:$A$53,C20,'CDA'!$D$4:$D$53,"B")&gt;0,"B",IF(SUMIFS('CDA'!$E$4:$E$53,'CDA'!$A$4:$A$53,C20,'CDA'!$D$4:$D$53,"A")&gt;0,"A","")))),PARAMS_Ksat,2,FALSE),0),0)</f>
        <v/>
      </c>
      <c r="J20" s="17">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17">
        <f>IFERROR(F20*G20*J20,0)</f>
        <v/>
      </c>
      <c r="L20" s="17">
        <f>IFERROR(IF(I20=0,"",G20/I20),"")</f>
        <v/>
      </c>
      <c r="M20" s="28">
        <f>IFERROR(IF(L20="","",IF(L20&lt;=2,"✓","✗")),"")</f>
        <v/>
      </c>
      <c r="N20" s="4" t="n"/>
      <c r="O20" s="4" t="n"/>
      <c r="P20" s="17">
        <f>IFERROR((N20+O20)/2,0)</f>
        <v/>
      </c>
      <c r="Q20" s="4" t="n"/>
      <c r="R20" s="17">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 t="n"/>
      <c r="T20" s="17">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 t="n"/>
      <c r="V20" s="4">
        <f>IFERROR(IF(OR(E20="Enhanced",E20="Enhanced w/ Underdrain"),VLOOKUP(IF(SUMIFS('CDA'!$E$4:$E$53,'CDA'!$A$4:$A$53,C20,'CDA'!$D$4:$D$53,"D")&gt;0,"D",IF(SUMIFS('CDA'!$E$4:$E$53,'CDA'!$A$4:$A$53,C20,'CDA'!$D$4:$D$53,"C")&gt;0,"C",IF(SUMIFS('CDA'!$E$4:$E$53,'CDA'!$A$4:$A$53,C20,'CDA'!$D$4:$D$53,"B")&gt;0,"B",IF(SUMIFS('CDA'!$E$4:$E$53,'CDA'!$A$4:$A$53,C20,'CDA'!$D$4:$D$53,"A")&gt;0,"A","")))),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UMIFS('CDA'!$E$4:$E$53,'CDA'!$A$4:$A$53,C21,'CDA'!$D$4:$D$53,"D")&gt;0,"D",IF(SUMIFS('CDA'!$E$4:$E$53,'CDA'!$A$4:$A$53,C21,'CDA'!$D$4:$D$53,"C")&gt;0,"C",IF(SUMIFS('CDA'!$E$4:$E$53,'CDA'!$A$4:$A$53,C21,'CDA'!$D$4:$D$53,"B")&gt;0,"B",IF(SUMIFS('CDA'!$E$4:$E$53,'CDA'!$A$4:$A$53,C21,'CDA'!$D$4:$D$53,"A")&gt;0,"A","")))),PARAMS_Ksat,2,FALSE),0),0)</f>
        <v/>
      </c>
      <c r="J21" s="17">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17">
        <f>IFERROR(F21*G21*J21,0)</f>
        <v/>
      </c>
      <c r="L21" s="17">
        <f>IFERROR(IF(I21=0,"",G21/I21),"")</f>
        <v/>
      </c>
      <c r="M21" s="28">
        <f>IFERROR(IF(L21="","",IF(L21&lt;=2,"✓","✗")),"")</f>
        <v/>
      </c>
      <c r="N21" s="4" t="n"/>
      <c r="O21" s="4" t="n"/>
      <c r="P21" s="17">
        <f>IFERROR((N21+O21)/2,0)</f>
        <v/>
      </c>
      <c r="Q21" s="4" t="n"/>
      <c r="R21" s="17">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 t="n"/>
      <c r="T21" s="17">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 t="n"/>
      <c r="V21" s="4">
        <f>IFERROR(IF(OR(E21="Enhanced",E21="Enhanced w/ Underdrain"),VLOOKUP(IF(SUMIFS('CDA'!$E$4:$E$53,'CDA'!$A$4:$A$53,C21,'CDA'!$D$4:$D$53,"D")&gt;0,"D",IF(SUMIFS('CDA'!$E$4:$E$53,'CDA'!$A$4:$A$53,C21,'CDA'!$D$4:$D$53,"C")&gt;0,"C",IF(SUMIFS('CDA'!$E$4:$E$53,'CDA'!$A$4:$A$53,C21,'CDA'!$D$4:$D$53,"B")&gt;0,"B",IF(SUMIFS('CDA'!$E$4:$E$53,'CDA'!$A$4:$A$53,C21,'CDA'!$D$4:$D$53,"A")&gt;0,"A","")))),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UMIFS('CDA'!$E$4:$E$53,'CDA'!$A$4:$A$53,C22,'CDA'!$D$4:$D$53,"D")&gt;0,"D",IF(SUMIFS('CDA'!$E$4:$E$53,'CDA'!$A$4:$A$53,C22,'CDA'!$D$4:$D$53,"C")&gt;0,"C",IF(SUMIFS('CDA'!$E$4:$E$53,'CDA'!$A$4:$A$53,C22,'CDA'!$D$4:$D$53,"B")&gt;0,"B",IF(SUMIFS('CDA'!$E$4:$E$53,'CDA'!$A$4:$A$53,C22,'CDA'!$D$4:$D$53,"A")&gt;0,"A","")))),PARAMS_Ksat,2,FALSE),0),0)</f>
        <v/>
      </c>
      <c r="J22" s="17">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17">
        <f>IFERROR(F22*G22*J22,0)</f>
        <v/>
      </c>
      <c r="L22" s="17">
        <f>IFERROR(IF(I22=0,"",G22/I22),"")</f>
        <v/>
      </c>
      <c r="M22" s="28">
        <f>IFERROR(IF(L22="","",IF(L22&lt;=2,"✓","✗")),"")</f>
        <v/>
      </c>
      <c r="N22" s="4" t="n"/>
      <c r="O22" s="4" t="n"/>
      <c r="P22" s="17">
        <f>IFERROR((N22+O22)/2,0)</f>
        <v/>
      </c>
      <c r="Q22" s="4" t="n"/>
      <c r="R22" s="17">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 t="n"/>
      <c r="T22" s="17">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 t="n"/>
      <c r="V22" s="4">
        <f>IFERROR(IF(OR(E22="Enhanced",E22="Enhanced w/ Underdrain"),VLOOKUP(IF(SUMIFS('CDA'!$E$4:$E$53,'CDA'!$A$4:$A$53,C22,'CDA'!$D$4:$D$53,"D")&gt;0,"D",IF(SUMIFS('CDA'!$E$4:$E$53,'CDA'!$A$4:$A$53,C22,'CDA'!$D$4:$D$53,"C")&gt;0,"C",IF(SUMIFS('CDA'!$E$4:$E$53,'CDA'!$A$4:$A$53,C22,'CDA'!$D$4:$D$53,"B")&gt;0,"B",IF(SUMIFS('CDA'!$E$4:$E$53,'CDA'!$A$4:$A$53,C22,'CDA'!$D$4:$D$53,"A")&gt;0,"A","")))),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UMIFS('CDA'!$E$4:$E$53,'CDA'!$A$4:$A$53,C23,'CDA'!$D$4:$D$53,"D")&gt;0,"D",IF(SUMIFS('CDA'!$E$4:$E$53,'CDA'!$A$4:$A$53,C23,'CDA'!$D$4:$D$53,"C")&gt;0,"C",IF(SUMIFS('CDA'!$E$4:$E$53,'CDA'!$A$4:$A$53,C23,'CDA'!$D$4:$D$53,"B")&gt;0,"B",IF(SUMIFS('CDA'!$E$4:$E$53,'CDA'!$A$4:$A$53,C23,'CDA'!$D$4:$D$53,"A")&gt;0,"A","")))),PARAMS_Ksat,2,FALSE),0),0)</f>
        <v/>
      </c>
      <c r="J23" s="17">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17">
        <f>IFERROR(F23*G23*J23,0)</f>
        <v/>
      </c>
      <c r="L23" s="17">
        <f>IFERROR(IF(I23=0,"",G23/I23),"")</f>
        <v/>
      </c>
      <c r="M23" s="28">
        <f>IFERROR(IF(L23="","",IF(L23&lt;=2,"✓","✗")),"")</f>
        <v/>
      </c>
      <c r="N23" s="4" t="n"/>
      <c r="O23" s="4" t="n"/>
      <c r="P23" s="17">
        <f>IFERROR((N23+O23)/2,0)</f>
        <v/>
      </c>
      <c r="Q23" s="4" t="n"/>
      <c r="R23" s="17">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 t="n"/>
      <c r="T23" s="17">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 t="n"/>
      <c r="V23" s="4">
        <f>IFERROR(IF(OR(E23="Enhanced",E23="Enhanced w/ Underdrain"),VLOOKUP(IF(SUMIFS('CDA'!$E$4:$E$53,'CDA'!$A$4:$A$53,C23,'CDA'!$D$4:$D$53,"D")&gt;0,"D",IF(SUMIFS('CDA'!$E$4:$E$53,'CDA'!$A$4:$A$53,C23,'CDA'!$D$4:$D$53,"C")&gt;0,"C",IF(SUMIFS('CDA'!$E$4:$E$53,'CDA'!$A$4:$A$53,C23,'CDA'!$D$4:$D$53,"B")&gt;0,"B",IF(SUMIFS('CDA'!$E$4:$E$53,'CDA'!$A$4:$A$53,C23,'CDA'!$D$4:$D$53,"A")&gt;0,"A","")))),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UMIFS('CDA'!$E$4:$E$53,'CDA'!$A$4:$A$53,C24,'CDA'!$D$4:$D$53,"D")&gt;0,"D",IF(SUMIFS('CDA'!$E$4:$E$53,'CDA'!$A$4:$A$53,C24,'CDA'!$D$4:$D$53,"C")&gt;0,"C",IF(SUMIFS('CDA'!$E$4:$E$53,'CDA'!$A$4:$A$53,C24,'CDA'!$D$4:$D$53,"B")&gt;0,"B",IF(SUMIFS('CDA'!$E$4:$E$53,'CDA'!$A$4:$A$53,C24,'CDA'!$D$4:$D$53,"A")&gt;0,"A","")))),PARAMS_Ksat,2,FALSE),0),0)</f>
        <v/>
      </c>
      <c r="J24" s="17">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17">
        <f>IFERROR(F24*G24*J24,0)</f>
        <v/>
      </c>
      <c r="L24" s="17">
        <f>IFERROR(IF(I24=0,"",G24/I24),"")</f>
        <v/>
      </c>
      <c r="M24" s="28">
        <f>IFERROR(IF(L24="","",IF(L24&lt;=2,"✓","✗")),"")</f>
        <v/>
      </c>
      <c r="N24" s="4" t="n"/>
      <c r="O24" s="4" t="n"/>
      <c r="P24" s="17">
        <f>IFERROR((N24+O24)/2,0)</f>
        <v/>
      </c>
      <c r="Q24" s="4" t="n"/>
      <c r="R24" s="17">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 t="n"/>
      <c r="T24" s="17">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 t="n"/>
      <c r="V24" s="4">
        <f>IFERROR(IF(OR(E24="Enhanced",E24="Enhanced w/ Underdrain"),VLOOKUP(IF(SUMIFS('CDA'!$E$4:$E$53,'CDA'!$A$4:$A$53,C24,'CDA'!$D$4:$D$53,"D")&gt;0,"D",IF(SUMIFS('CDA'!$E$4:$E$53,'CDA'!$A$4:$A$53,C24,'CDA'!$D$4:$D$53,"C")&gt;0,"C",IF(SUMIFS('CDA'!$E$4:$E$53,'CDA'!$A$4:$A$53,C24,'CDA'!$D$4:$D$53,"B")&gt;0,"B",IF(SUMIFS('CDA'!$E$4:$E$53,'CDA'!$A$4:$A$53,C24,'CDA'!$D$4:$D$53,"A")&gt;0,"A","")))),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UMIFS('CDA'!$E$4:$E$53,'CDA'!$A$4:$A$53,C25,'CDA'!$D$4:$D$53,"D")&gt;0,"D",IF(SUMIFS('CDA'!$E$4:$E$53,'CDA'!$A$4:$A$53,C25,'CDA'!$D$4:$D$53,"C")&gt;0,"C",IF(SUMIFS('CDA'!$E$4:$E$53,'CDA'!$A$4:$A$53,C25,'CDA'!$D$4:$D$53,"B")&gt;0,"B",IF(SUMIFS('CDA'!$E$4:$E$53,'CDA'!$A$4:$A$53,C25,'CDA'!$D$4:$D$53,"A")&gt;0,"A","")))),PARAMS_Ksat,2,FALSE),0),0)</f>
        <v/>
      </c>
      <c r="J25" s="17">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17">
        <f>IFERROR(F25*G25*J25,0)</f>
        <v/>
      </c>
      <c r="L25" s="17">
        <f>IFERROR(IF(I25=0,"",G25/I25),"")</f>
        <v/>
      </c>
      <c r="M25" s="28">
        <f>IFERROR(IF(L25="","",IF(L25&lt;=2,"✓","✗")),"")</f>
        <v/>
      </c>
      <c r="N25" s="4" t="n"/>
      <c r="O25" s="4" t="n"/>
      <c r="P25" s="17">
        <f>IFERROR((N25+O25)/2,0)</f>
        <v/>
      </c>
      <c r="Q25" s="4" t="n"/>
      <c r="R25" s="17">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 t="n"/>
      <c r="T25" s="17">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 t="n"/>
      <c r="V25" s="4">
        <f>IFERROR(IF(OR(E25="Enhanced",E25="Enhanced w/ Underdrain"),VLOOKUP(IF(SUMIFS('CDA'!$E$4:$E$53,'CDA'!$A$4:$A$53,C25,'CDA'!$D$4:$D$53,"D")&gt;0,"D",IF(SUMIFS('CDA'!$E$4:$E$53,'CDA'!$A$4:$A$53,C25,'CDA'!$D$4:$D$53,"C")&gt;0,"C",IF(SUMIFS('CDA'!$E$4:$E$53,'CDA'!$A$4:$A$53,C25,'CDA'!$D$4:$D$53,"B")&gt;0,"B",IF(SUMIFS('CDA'!$E$4:$E$53,'CDA'!$A$4:$A$53,C25,'CDA'!$D$4:$D$53,"A")&gt;0,"A","")))),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UMIFS('CDA'!$E$4:$E$53,'CDA'!$A$4:$A$53,C26,'CDA'!$D$4:$D$53,"D")&gt;0,"D",IF(SUMIFS('CDA'!$E$4:$E$53,'CDA'!$A$4:$A$53,C26,'CDA'!$D$4:$D$53,"C")&gt;0,"C",IF(SUMIFS('CDA'!$E$4:$E$53,'CDA'!$A$4:$A$53,C26,'CDA'!$D$4:$D$53,"B")&gt;0,"B",IF(SUMIFS('CDA'!$E$4:$E$53,'CDA'!$A$4:$A$53,C26,'CDA'!$D$4:$D$53,"A")&gt;0,"A","")))),PARAMS_Ksat,2,FALSE),0),0)</f>
        <v/>
      </c>
      <c r="J26" s="17">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17">
        <f>IFERROR(F26*G26*J26,0)</f>
        <v/>
      </c>
      <c r="L26" s="17">
        <f>IFERROR(IF(I26=0,"",G26/I26),"")</f>
        <v/>
      </c>
      <c r="M26" s="28">
        <f>IFERROR(IF(L26="","",IF(L26&lt;=2,"✓","✗")),"")</f>
        <v/>
      </c>
      <c r="N26" s="4" t="n"/>
      <c r="O26" s="4" t="n"/>
      <c r="P26" s="17">
        <f>IFERROR((N26+O26)/2,0)</f>
        <v/>
      </c>
      <c r="Q26" s="4" t="n"/>
      <c r="R26" s="17">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 t="n"/>
      <c r="T26" s="17">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 t="n"/>
      <c r="V26" s="4">
        <f>IFERROR(IF(OR(E26="Enhanced",E26="Enhanced w/ Underdrain"),VLOOKUP(IF(SUMIFS('CDA'!$E$4:$E$53,'CDA'!$A$4:$A$53,C26,'CDA'!$D$4:$D$53,"D")&gt;0,"D",IF(SUMIFS('CDA'!$E$4:$E$53,'CDA'!$A$4:$A$53,C26,'CDA'!$D$4:$D$53,"C")&gt;0,"C",IF(SUMIFS('CDA'!$E$4:$E$53,'CDA'!$A$4:$A$53,C26,'CDA'!$D$4:$D$53,"B")&gt;0,"B",IF(SUMIFS('CDA'!$E$4:$E$53,'CDA'!$A$4:$A$53,C26,'CDA'!$D$4:$D$53,"A")&gt;0,"A","")))),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UMIFS('CDA'!$E$4:$E$53,'CDA'!$A$4:$A$53,C27,'CDA'!$D$4:$D$53,"D")&gt;0,"D",IF(SUMIFS('CDA'!$E$4:$E$53,'CDA'!$A$4:$A$53,C27,'CDA'!$D$4:$D$53,"C")&gt;0,"C",IF(SUMIFS('CDA'!$E$4:$E$53,'CDA'!$A$4:$A$53,C27,'CDA'!$D$4:$D$53,"B")&gt;0,"B",IF(SUMIFS('CDA'!$E$4:$E$53,'CDA'!$A$4:$A$53,C27,'CDA'!$D$4:$D$53,"A")&gt;0,"A","")))),PARAMS_Ksat,2,FALSE),0),0)</f>
        <v/>
      </c>
      <c r="J27" s="17">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17">
        <f>IFERROR(F27*G27*J27,0)</f>
        <v/>
      </c>
      <c r="L27" s="17">
        <f>IFERROR(IF(I27=0,"",G27/I27),"")</f>
        <v/>
      </c>
      <c r="M27" s="28">
        <f>IFERROR(IF(L27="","",IF(L27&lt;=2,"✓","✗")),"")</f>
        <v/>
      </c>
      <c r="N27" s="4" t="n"/>
      <c r="O27" s="4" t="n"/>
      <c r="P27" s="17">
        <f>IFERROR((N27+O27)/2,0)</f>
        <v/>
      </c>
      <c r="Q27" s="4" t="n"/>
      <c r="R27" s="17">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 t="n"/>
      <c r="T27" s="17">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 t="n"/>
      <c r="V27" s="4">
        <f>IFERROR(IF(OR(E27="Enhanced",E27="Enhanced w/ Underdrain"),VLOOKUP(IF(SUMIFS('CDA'!$E$4:$E$53,'CDA'!$A$4:$A$53,C27,'CDA'!$D$4:$D$53,"D")&gt;0,"D",IF(SUMIFS('CDA'!$E$4:$E$53,'CDA'!$A$4:$A$53,C27,'CDA'!$D$4:$D$53,"C")&gt;0,"C",IF(SUMIFS('CDA'!$E$4:$E$53,'CDA'!$A$4:$A$53,C27,'CDA'!$D$4:$D$53,"B")&gt;0,"B",IF(SUMIFS('CDA'!$E$4:$E$53,'CDA'!$A$4:$A$53,C27,'CDA'!$D$4:$D$53,"A")&gt;0,"A","")))),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UMIFS('CDA'!$E$4:$E$53,'CDA'!$A$4:$A$53,C28,'CDA'!$D$4:$D$53,"D")&gt;0,"D",IF(SUMIFS('CDA'!$E$4:$E$53,'CDA'!$A$4:$A$53,C28,'CDA'!$D$4:$D$53,"C")&gt;0,"C",IF(SUMIFS('CDA'!$E$4:$E$53,'CDA'!$A$4:$A$53,C28,'CDA'!$D$4:$D$53,"B")&gt;0,"B",IF(SUMIFS('CDA'!$E$4:$E$53,'CDA'!$A$4:$A$53,C28,'CDA'!$D$4:$D$53,"A")&gt;0,"A","")))),PARAMS_Ksat,2,FALSE),0),0)</f>
        <v/>
      </c>
      <c r="J28" s="17">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17">
        <f>IFERROR(F28*G28*J28,0)</f>
        <v/>
      </c>
      <c r="L28" s="17">
        <f>IFERROR(IF(I28=0,"",G28/I28),"")</f>
        <v/>
      </c>
      <c r="M28" s="28">
        <f>IFERROR(IF(L28="","",IF(L28&lt;=2,"✓","✗")),"")</f>
        <v/>
      </c>
      <c r="N28" s="4" t="n"/>
      <c r="O28" s="4" t="n"/>
      <c r="P28" s="17">
        <f>IFERROR((N28+O28)/2,0)</f>
        <v/>
      </c>
      <c r="Q28" s="4" t="n"/>
      <c r="R28" s="17">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 t="n"/>
      <c r="T28" s="17">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 t="n"/>
      <c r="V28" s="4">
        <f>IFERROR(IF(OR(E28="Enhanced",E28="Enhanced w/ Underdrain"),VLOOKUP(IF(SUMIFS('CDA'!$E$4:$E$53,'CDA'!$A$4:$A$53,C28,'CDA'!$D$4:$D$53,"D")&gt;0,"D",IF(SUMIFS('CDA'!$E$4:$E$53,'CDA'!$A$4:$A$53,C28,'CDA'!$D$4:$D$53,"C")&gt;0,"C",IF(SUMIFS('CDA'!$E$4:$E$53,'CDA'!$A$4:$A$53,C28,'CDA'!$D$4:$D$53,"B")&gt;0,"B",IF(SUMIFS('CDA'!$E$4:$E$53,'CDA'!$A$4:$A$53,C28,'CDA'!$D$4:$D$53,"A")&gt;0,"A","")))),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UMIFS('CDA'!$E$4:$E$53,'CDA'!$A$4:$A$53,C29,'CDA'!$D$4:$D$53,"D")&gt;0,"D",IF(SUMIFS('CDA'!$E$4:$E$53,'CDA'!$A$4:$A$53,C29,'CDA'!$D$4:$D$53,"C")&gt;0,"C",IF(SUMIFS('CDA'!$E$4:$E$53,'CDA'!$A$4:$A$53,C29,'CDA'!$D$4:$D$53,"B")&gt;0,"B",IF(SUMIFS('CDA'!$E$4:$E$53,'CDA'!$A$4:$A$53,C29,'CDA'!$D$4:$D$53,"A")&gt;0,"A","")))),PARAMS_Ksat,2,FALSE),0),0)</f>
        <v/>
      </c>
      <c r="J29" s="17">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17">
        <f>IFERROR(F29*G29*J29,0)</f>
        <v/>
      </c>
      <c r="L29" s="17">
        <f>IFERROR(IF(I29=0,"",G29/I29),"")</f>
        <v/>
      </c>
      <c r="M29" s="28">
        <f>IFERROR(IF(L29="","",IF(L29&lt;=2,"✓","✗")),"")</f>
        <v/>
      </c>
      <c r="N29" s="4" t="n"/>
      <c r="O29" s="4" t="n"/>
      <c r="P29" s="17">
        <f>IFERROR((N29+O29)/2,0)</f>
        <v/>
      </c>
      <c r="Q29" s="4" t="n"/>
      <c r="R29" s="17">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 t="n"/>
      <c r="T29" s="17">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 t="n"/>
      <c r="V29" s="4">
        <f>IFERROR(IF(OR(E29="Enhanced",E29="Enhanced w/ Underdrain"),VLOOKUP(IF(SUMIFS('CDA'!$E$4:$E$53,'CDA'!$A$4:$A$53,C29,'CDA'!$D$4:$D$53,"D")&gt;0,"D",IF(SUMIFS('CDA'!$E$4:$E$53,'CDA'!$A$4:$A$53,C29,'CDA'!$D$4:$D$53,"C")&gt;0,"C",IF(SUMIFS('CDA'!$E$4:$E$53,'CDA'!$A$4:$A$53,C29,'CDA'!$D$4:$D$53,"B")&gt;0,"B",IF(SUMIFS('CDA'!$E$4:$E$53,'CDA'!$A$4:$A$53,C29,'CDA'!$D$4:$D$53,"A")&gt;0,"A","")))),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UMIFS('CDA'!$E$4:$E$53,'CDA'!$A$4:$A$53,C30,'CDA'!$D$4:$D$53,"D")&gt;0,"D",IF(SUMIFS('CDA'!$E$4:$E$53,'CDA'!$A$4:$A$53,C30,'CDA'!$D$4:$D$53,"C")&gt;0,"C",IF(SUMIFS('CDA'!$E$4:$E$53,'CDA'!$A$4:$A$53,C30,'CDA'!$D$4:$D$53,"B")&gt;0,"B",IF(SUMIFS('CDA'!$E$4:$E$53,'CDA'!$A$4:$A$53,C30,'CDA'!$D$4:$D$53,"A")&gt;0,"A","")))),PARAMS_Ksat,2,FALSE),0),0)</f>
        <v/>
      </c>
      <c r="J30" s="17">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17">
        <f>IFERROR(F30*G30*J30,0)</f>
        <v/>
      </c>
      <c r="L30" s="17">
        <f>IFERROR(IF(I30=0,"",G30/I30),"")</f>
        <v/>
      </c>
      <c r="M30" s="28">
        <f>IFERROR(IF(L30="","",IF(L30&lt;=2,"✓","✗")),"")</f>
        <v/>
      </c>
      <c r="N30" s="4" t="n"/>
      <c r="O30" s="4" t="n"/>
      <c r="P30" s="17">
        <f>IFERROR((N30+O30)/2,0)</f>
        <v/>
      </c>
      <c r="Q30" s="4" t="n"/>
      <c r="R30" s="17">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 t="n"/>
      <c r="T30" s="17">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 t="n"/>
      <c r="V30" s="4">
        <f>IFERROR(IF(OR(E30="Enhanced",E30="Enhanced w/ Underdrain"),VLOOKUP(IF(SUMIFS('CDA'!$E$4:$E$53,'CDA'!$A$4:$A$53,C30,'CDA'!$D$4:$D$53,"D")&gt;0,"D",IF(SUMIFS('CDA'!$E$4:$E$53,'CDA'!$A$4:$A$53,C30,'CDA'!$D$4:$D$53,"C")&gt;0,"C",IF(SUMIFS('CDA'!$E$4:$E$53,'CDA'!$A$4:$A$53,C30,'CDA'!$D$4:$D$53,"B")&gt;0,"B",IF(SUMIFS('CDA'!$E$4:$E$53,'CDA'!$A$4:$A$53,C30,'CDA'!$D$4:$D$53,"A")&gt;0,"A","")))),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UMIFS('CDA'!$E$4:$E$53,'CDA'!$A$4:$A$53,C31,'CDA'!$D$4:$D$53,"D")&gt;0,"D",IF(SUMIFS('CDA'!$E$4:$E$53,'CDA'!$A$4:$A$53,C31,'CDA'!$D$4:$D$53,"C")&gt;0,"C",IF(SUMIFS('CDA'!$E$4:$E$53,'CDA'!$A$4:$A$53,C31,'CDA'!$D$4:$D$53,"B")&gt;0,"B",IF(SUMIFS('CDA'!$E$4:$E$53,'CDA'!$A$4:$A$53,C31,'CDA'!$D$4:$D$53,"A")&gt;0,"A","")))),PARAMS_Ksat,2,FALSE),0),0)</f>
        <v/>
      </c>
      <c r="J31" s="17">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17">
        <f>IFERROR(F31*G31*J31,0)</f>
        <v/>
      </c>
      <c r="L31" s="17">
        <f>IFERROR(IF(I31=0,"",G31/I31),"")</f>
        <v/>
      </c>
      <c r="M31" s="28">
        <f>IFERROR(IF(L31="","",IF(L31&lt;=2,"✓","✗")),"")</f>
        <v/>
      </c>
      <c r="N31" s="4" t="n"/>
      <c r="O31" s="4" t="n"/>
      <c r="P31" s="17">
        <f>IFERROR((N31+O31)/2,0)</f>
        <v/>
      </c>
      <c r="Q31" s="4" t="n"/>
      <c r="R31" s="17">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 t="n"/>
      <c r="T31" s="17">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 t="n"/>
      <c r="V31" s="4">
        <f>IFERROR(IF(OR(E31="Enhanced",E31="Enhanced w/ Underdrain"),VLOOKUP(IF(SUMIFS('CDA'!$E$4:$E$53,'CDA'!$A$4:$A$53,C31,'CDA'!$D$4:$D$53,"D")&gt;0,"D",IF(SUMIFS('CDA'!$E$4:$E$53,'CDA'!$A$4:$A$53,C31,'CDA'!$D$4:$D$53,"C")&gt;0,"C",IF(SUMIFS('CDA'!$E$4:$E$53,'CDA'!$A$4:$A$53,C31,'CDA'!$D$4:$D$53,"B")&gt;0,"B",IF(SUMIFS('CDA'!$E$4:$E$53,'CDA'!$A$4:$A$53,C31,'CDA'!$D$4:$D$53,"A")&gt;0,"A","")))),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UMIFS('CDA'!$E$4:$E$53,'CDA'!$A$4:$A$53,C32,'CDA'!$D$4:$D$53,"D")&gt;0,"D",IF(SUMIFS('CDA'!$E$4:$E$53,'CDA'!$A$4:$A$53,C32,'CDA'!$D$4:$D$53,"C")&gt;0,"C",IF(SUMIFS('CDA'!$E$4:$E$53,'CDA'!$A$4:$A$53,C32,'CDA'!$D$4:$D$53,"B")&gt;0,"B",IF(SUMIFS('CDA'!$E$4:$E$53,'CDA'!$A$4:$A$53,C32,'CDA'!$D$4:$D$53,"A")&gt;0,"A","")))),PARAMS_Ksat,2,FALSE),0),0)</f>
        <v/>
      </c>
      <c r="J32" s="17">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17">
        <f>IFERROR(F32*G32*J32,0)</f>
        <v/>
      </c>
      <c r="L32" s="17">
        <f>IFERROR(IF(I32=0,"",G32/I32),"")</f>
        <v/>
      </c>
      <c r="M32" s="28">
        <f>IFERROR(IF(L32="","",IF(L32&lt;=2,"✓","✗")),"")</f>
        <v/>
      </c>
      <c r="N32" s="4" t="n"/>
      <c r="O32" s="4" t="n"/>
      <c r="P32" s="17">
        <f>IFERROR((N32+O32)/2,0)</f>
        <v/>
      </c>
      <c r="Q32" s="4" t="n"/>
      <c r="R32" s="17">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 t="n"/>
      <c r="T32" s="17">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 t="n"/>
      <c r="V32" s="4">
        <f>IFERROR(IF(OR(E32="Enhanced",E32="Enhanced w/ Underdrain"),VLOOKUP(IF(SUMIFS('CDA'!$E$4:$E$53,'CDA'!$A$4:$A$53,C32,'CDA'!$D$4:$D$53,"D")&gt;0,"D",IF(SUMIFS('CDA'!$E$4:$E$53,'CDA'!$A$4:$A$53,C32,'CDA'!$D$4:$D$53,"C")&gt;0,"C",IF(SUMIFS('CDA'!$E$4:$E$53,'CDA'!$A$4:$A$53,C32,'CDA'!$D$4:$D$53,"B")&gt;0,"B",IF(SUMIFS('CDA'!$E$4:$E$53,'CDA'!$A$4:$A$53,C32,'CDA'!$D$4:$D$53,"A")&gt;0,"A","")))),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UMIFS('CDA'!$E$4:$E$53,'CDA'!$A$4:$A$53,C33,'CDA'!$D$4:$D$53,"D")&gt;0,"D",IF(SUMIFS('CDA'!$E$4:$E$53,'CDA'!$A$4:$A$53,C33,'CDA'!$D$4:$D$53,"C")&gt;0,"C",IF(SUMIFS('CDA'!$E$4:$E$53,'CDA'!$A$4:$A$53,C33,'CDA'!$D$4:$D$53,"B")&gt;0,"B",IF(SUMIFS('CDA'!$E$4:$E$53,'CDA'!$A$4:$A$53,C33,'CDA'!$D$4:$D$53,"A")&gt;0,"A","")))),PARAMS_Ksat,2,FALSE),0),0)</f>
        <v/>
      </c>
      <c r="J33" s="17">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17">
        <f>IFERROR(F33*G33*J33,0)</f>
        <v/>
      </c>
      <c r="L33" s="17">
        <f>IFERROR(IF(I33=0,"",G33/I33),"")</f>
        <v/>
      </c>
      <c r="M33" s="28">
        <f>IFERROR(IF(L33="","",IF(L33&lt;=2,"✓","✗")),"")</f>
        <v/>
      </c>
      <c r="N33" s="4" t="n"/>
      <c r="O33" s="4" t="n"/>
      <c r="P33" s="17">
        <f>IFERROR((N33+O33)/2,0)</f>
        <v/>
      </c>
      <c r="Q33" s="4" t="n"/>
      <c r="R33" s="17">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 t="n"/>
      <c r="T33" s="17">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 t="n"/>
      <c r="V33" s="4">
        <f>IFERROR(IF(OR(E33="Enhanced",E33="Enhanced w/ Underdrain"),VLOOKUP(IF(SUMIFS('CDA'!$E$4:$E$53,'CDA'!$A$4:$A$53,C33,'CDA'!$D$4:$D$53,"D")&gt;0,"D",IF(SUMIFS('CDA'!$E$4:$E$53,'CDA'!$A$4:$A$53,C33,'CDA'!$D$4:$D$53,"C")&gt;0,"C",IF(SUMIFS('CDA'!$E$4:$E$53,'CDA'!$A$4:$A$53,C33,'CDA'!$D$4:$D$53,"B")&gt;0,"B",IF(SUMIFS('CDA'!$E$4:$E$53,'CDA'!$A$4:$A$53,C33,'CDA'!$D$4:$D$53,"A")&gt;0,"A","")))),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UMIFS('CDA'!$E$4:$E$53,'CDA'!$A$4:$A$53,C34,'CDA'!$D$4:$D$53,"D")&gt;0,"D",IF(SUMIFS('CDA'!$E$4:$E$53,'CDA'!$A$4:$A$53,C34,'CDA'!$D$4:$D$53,"C")&gt;0,"C",IF(SUMIFS('CDA'!$E$4:$E$53,'CDA'!$A$4:$A$53,C34,'CDA'!$D$4:$D$53,"B")&gt;0,"B",IF(SUMIFS('CDA'!$E$4:$E$53,'CDA'!$A$4:$A$53,C34,'CDA'!$D$4:$D$53,"A")&gt;0,"A","")))),PARAMS_Ksat,2,FALSE),0),0)</f>
        <v/>
      </c>
      <c r="J34" s="17">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17">
        <f>IFERROR(F34*G34*J34,0)</f>
        <v/>
      </c>
      <c r="L34" s="17">
        <f>IFERROR(IF(I34=0,"",G34/I34),"")</f>
        <v/>
      </c>
      <c r="M34" s="28">
        <f>IFERROR(IF(L34="","",IF(L34&lt;=2,"✓","✗")),"")</f>
        <v/>
      </c>
      <c r="N34" s="4" t="n"/>
      <c r="O34" s="4" t="n"/>
      <c r="P34" s="17">
        <f>IFERROR((N34+O34)/2,0)</f>
        <v/>
      </c>
      <c r="Q34" s="4" t="n"/>
      <c r="R34" s="17">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 t="n"/>
      <c r="T34" s="17">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 t="n"/>
      <c r="V34" s="4">
        <f>IFERROR(IF(OR(E34="Enhanced",E34="Enhanced w/ Underdrain"),VLOOKUP(IF(SUMIFS('CDA'!$E$4:$E$53,'CDA'!$A$4:$A$53,C34,'CDA'!$D$4:$D$53,"D")&gt;0,"D",IF(SUMIFS('CDA'!$E$4:$E$53,'CDA'!$A$4:$A$53,C34,'CDA'!$D$4:$D$53,"C")&gt;0,"C",IF(SUMIFS('CDA'!$E$4:$E$53,'CDA'!$A$4:$A$53,C34,'CDA'!$D$4:$D$53,"B")&gt;0,"B",IF(SUMIFS('CDA'!$E$4:$E$53,'CDA'!$A$4:$A$53,C34,'CDA'!$D$4:$D$53,"A")&gt;0,"A","")))),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UMIFS('CDA'!$E$4:$E$53,'CDA'!$A$4:$A$53,C35,'CDA'!$D$4:$D$53,"D")&gt;0,"D",IF(SUMIFS('CDA'!$E$4:$E$53,'CDA'!$A$4:$A$53,C35,'CDA'!$D$4:$D$53,"C")&gt;0,"C",IF(SUMIFS('CDA'!$E$4:$E$53,'CDA'!$A$4:$A$53,C35,'CDA'!$D$4:$D$53,"B")&gt;0,"B",IF(SUMIFS('CDA'!$E$4:$E$53,'CDA'!$A$4:$A$53,C35,'CDA'!$D$4:$D$53,"A")&gt;0,"A","")))),PARAMS_Ksat,2,FALSE),0),0)</f>
        <v/>
      </c>
      <c r="J35" s="17">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17">
        <f>IFERROR(F35*G35*J35,0)</f>
        <v/>
      </c>
      <c r="L35" s="17">
        <f>IFERROR(IF(I35=0,"",G35/I35),"")</f>
        <v/>
      </c>
      <c r="M35" s="28">
        <f>IFERROR(IF(L35="","",IF(L35&lt;=2,"✓","✗")),"")</f>
        <v/>
      </c>
      <c r="N35" s="4" t="n"/>
      <c r="O35" s="4" t="n"/>
      <c r="P35" s="17">
        <f>IFERROR((N35+O35)/2,0)</f>
        <v/>
      </c>
      <c r="Q35" s="4" t="n"/>
      <c r="R35" s="17">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 t="n"/>
      <c r="T35" s="17">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 t="n"/>
      <c r="V35" s="4">
        <f>IFERROR(IF(OR(E35="Enhanced",E35="Enhanced w/ Underdrain"),VLOOKUP(IF(SUMIFS('CDA'!$E$4:$E$53,'CDA'!$A$4:$A$53,C35,'CDA'!$D$4:$D$53,"D")&gt;0,"D",IF(SUMIFS('CDA'!$E$4:$E$53,'CDA'!$A$4:$A$53,C35,'CDA'!$D$4:$D$53,"C")&gt;0,"C",IF(SUMIFS('CDA'!$E$4:$E$53,'CDA'!$A$4:$A$53,C35,'CDA'!$D$4:$D$53,"B")&gt;0,"B",IF(SUMIFS('CDA'!$E$4:$E$53,'CDA'!$A$4:$A$53,C35,'CDA'!$D$4:$D$53,"A")&gt;0,"A","")))),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UMIFS('CDA'!$E$4:$E$53,'CDA'!$A$4:$A$53,C36,'CDA'!$D$4:$D$53,"D")&gt;0,"D",IF(SUMIFS('CDA'!$E$4:$E$53,'CDA'!$A$4:$A$53,C36,'CDA'!$D$4:$D$53,"C")&gt;0,"C",IF(SUMIFS('CDA'!$E$4:$E$53,'CDA'!$A$4:$A$53,C36,'CDA'!$D$4:$D$53,"B")&gt;0,"B",IF(SUMIFS('CDA'!$E$4:$E$53,'CDA'!$A$4:$A$53,C36,'CDA'!$D$4:$D$53,"A")&gt;0,"A","")))),PARAMS_Ksat,2,FALSE),0),0)</f>
        <v/>
      </c>
      <c r="J36" s="17">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17">
        <f>IFERROR(F36*G36*J36,0)</f>
        <v/>
      </c>
      <c r="L36" s="17">
        <f>IFERROR(IF(I36=0,"",G36/I36),"")</f>
        <v/>
      </c>
      <c r="M36" s="28">
        <f>IFERROR(IF(L36="","",IF(L36&lt;=2,"✓","✗")),"")</f>
        <v/>
      </c>
      <c r="N36" s="4" t="n"/>
      <c r="O36" s="4" t="n"/>
      <c r="P36" s="17">
        <f>IFERROR((N36+O36)/2,0)</f>
        <v/>
      </c>
      <c r="Q36" s="4" t="n"/>
      <c r="R36" s="17">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 t="n"/>
      <c r="T36" s="17">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 t="n"/>
      <c r="V36" s="4">
        <f>IFERROR(IF(OR(E36="Enhanced",E36="Enhanced w/ Underdrain"),VLOOKUP(IF(SUMIFS('CDA'!$E$4:$E$53,'CDA'!$A$4:$A$53,C36,'CDA'!$D$4:$D$53,"D")&gt;0,"D",IF(SUMIFS('CDA'!$E$4:$E$53,'CDA'!$A$4:$A$53,C36,'CDA'!$D$4:$D$53,"C")&gt;0,"C",IF(SUMIFS('CDA'!$E$4:$E$53,'CDA'!$A$4:$A$53,C36,'CDA'!$D$4:$D$53,"B")&gt;0,"B",IF(SUMIFS('CDA'!$E$4:$E$53,'CDA'!$A$4:$A$53,C36,'CDA'!$D$4:$D$53,"A")&gt;0,"A","")))),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UMIFS('CDA'!$E$4:$E$53,'CDA'!$A$4:$A$53,C37,'CDA'!$D$4:$D$53,"D")&gt;0,"D",IF(SUMIFS('CDA'!$E$4:$E$53,'CDA'!$A$4:$A$53,C37,'CDA'!$D$4:$D$53,"C")&gt;0,"C",IF(SUMIFS('CDA'!$E$4:$E$53,'CDA'!$A$4:$A$53,C37,'CDA'!$D$4:$D$53,"B")&gt;0,"B",IF(SUMIFS('CDA'!$E$4:$E$53,'CDA'!$A$4:$A$53,C37,'CDA'!$D$4:$D$53,"A")&gt;0,"A","")))),PARAMS_Ksat,2,FALSE),0),0)</f>
        <v/>
      </c>
      <c r="J37" s="17">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17">
        <f>IFERROR(F37*G37*J37,0)</f>
        <v/>
      </c>
      <c r="L37" s="17">
        <f>IFERROR(IF(I37=0,"",G37/I37),"")</f>
        <v/>
      </c>
      <c r="M37" s="28">
        <f>IFERROR(IF(L37="","",IF(L37&lt;=2,"✓","✗")),"")</f>
        <v/>
      </c>
      <c r="N37" s="4" t="n"/>
      <c r="O37" s="4" t="n"/>
      <c r="P37" s="17">
        <f>IFERROR((N37+O37)/2,0)</f>
        <v/>
      </c>
      <c r="Q37" s="4" t="n"/>
      <c r="R37" s="17">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 t="n"/>
      <c r="T37" s="17">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 t="n"/>
      <c r="V37" s="4">
        <f>IFERROR(IF(OR(E37="Enhanced",E37="Enhanced w/ Underdrain"),VLOOKUP(IF(SUMIFS('CDA'!$E$4:$E$53,'CDA'!$A$4:$A$53,C37,'CDA'!$D$4:$D$53,"D")&gt;0,"D",IF(SUMIFS('CDA'!$E$4:$E$53,'CDA'!$A$4:$A$53,C37,'CDA'!$D$4:$D$53,"C")&gt;0,"C",IF(SUMIFS('CDA'!$E$4:$E$53,'CDA'!$A$4:$A$53,C37,'CDA'!$D$4:$D$53,"B")&gt;0,"B",IF(SUMIFS('CDA'!$E$4:$E$53,'CDA'!$A$4:$A$53,C37,'CDA'!$D$4:$D$53,"A")&gt;0,"A","")))),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UMIFS('CDA'!$E$4:$E$53,'CDA'!$A$4:$A$53,C38,'CDA'!$D$4:$D$53,"D")&gt;0,"D",IF(SUMIFS('CDA'!$E$4:$E$53,'CDA'!$A$4:$A$53,C38,'CDA'!$D$4:$D$53,"C")&gt;0,"C",IF(SUMIFS('CDA'!$E$4:$E$53,'CDA'!$A$4:$A$53,C38,'CDA'!$D$4:$D$53,"B")&gt;0,"B",IF(SUMIFS('CDA'!$E$4:$E$53,'CDA'!$A$4:$A$53,C38,'CDA'!$D$4:$D$53,"A")&gt;0,"A","")))),PARAMS_Ksat,2,FALSE),0),0)</f>
        <v/>
      </c>
      <c r="J38" s="17">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17">
        <f>IFERROR(F38*G38*J38,0)</f>
        <v/>
      </c>
      <c r="L38" s="17">
        <f>IFERROR(IF(I38=0,"",G38/I38),"")</f>
        <v/>
      </c>
      <c r="M38" s="28">
        <f>IFERROR(IF(L38="","",IF(L38&lt;=2,"✓","✗")),"")</f>
        <v/>
      </c>
      <c r="N38" s="4" t="n"/>
      <c r="O38" s="4" t="n"/>
      <c r="P38" s="17">
        <f>IFERROR((N38+O38)/2,0)</f>
        <v/>
      </c>
      <c r="Q38" s="4" t="n"/>
      <c r="R38" s="17">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 t="n"/>
      <c r="T38" s="17">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 t="n"/>
      <c r="V38" s="4">
        <f>IFERROR(IF(OR(E38="Enhanced",E38="Enhanced w/ Underdrain"),VLOOKUP(IF(SUMIFS('CDA'!$E$4:$E$53,'CDA'!$A$4:$A$53,C38,'CDA'!$D$4:$D$53,"D")&gt;0,"D",IF(SUMIFS('CDA'!$E$4:$E$53,'CDA'!$A$4:$A$53,C38,'CDA'!$D$4:$D$53,"C")&gt;0,"C",IF(SUMIFS('CDA'!$E$4:$E$53,'CDA'!$A$4:$A$53,C38,'CDA'!$D$4:$D$53,"B")&gt;0,"B",IF(SUMIFS('CDA'!$E$4:$E$53,'CDA'!$A$4:$A$53,C38,'CDA'!$D$4:$D$53,"A")&gt;0,"A","")))),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UMIFS('CDA'!$E$4:$E$53,'CDA'!$A$4:$A$53,C39,'CDA'!$D$4:$D$53,"D")&gt;0,"D",IF(SUMIFS('CDA'!$E$4:$E$53,'CDA'!$A$4:$A$53,C39,'CDA'!$D$4:$D$53,"C")&gt;0,"C",IF(SUMIFS('CDA'!$E$4:$E$53,'CDA'!$A$4:$A$53,C39,'CDA'!$D$4:$D$53,"B")&gt;0,"B",IF(SUMIFS('CDA'!$E$4:$E$53,'CDA'!$A$4:$A$53,C39,'CDA'!$D$4:$D$53,"A")&gt;0,"A","")))),PARAMS_Ksat,2,FALSE),0),0)</f>
        <v/>
      </c>
      <c r="J39" s="17">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17">
        <f>IFERROR(F39*G39*J39,0)</f>
        <v/>
      </c>
      <c r="L39" s="17">
        <f>IFERROR(IF(I39=0,"",G39/I39),"")</f>
        <v/>
      </c>
      <c r="M39" s="28">
        <f>IFERROR(IF(L39="","",IF(L39&lt;=2,"✓","✗")),"")</f>
        <v/>
      </c>
      <c r="N39" s="4" t="n"/>
      <c r="O39" s="4" t="n"/>
      <c r="P39" s="17">
        <f>IFERROR((N39+O39)/2,0)</f>
        <v/>
      </c>
      <c r="Q39" s="4" t="n"/>
      <c r="R39" s="17">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 t="n"/>
      <c r="T39" s="17">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 t="n"/>
      <c r="V39" s="4">
        <f>IFERROR(IF(OR(E39="Enhanced",E39="Enhanced w/ Underdrain"),VLOOKUP(IF(SUMIFS('CDA'!$E$4:$E$53,'CDA'!$A$4:$A$53,C39,'CDA'!$D$4:$D$53,"D")&gt;0,"D",IF(SUMIFS('CDA'!$E$4:$E$53,'CDA'!$A$4:$A$53,C39,'CDA'!$D$4:$D$53,"C")&gt;0,"C",IF(SUMIFS('CDA'!$E$4:$E$53,'CDA'!$A$4:$A$53,C39,'CDA'!$D$4:$D$53,"B")&gt;0,"B",IF(SUMIFS('CDA'!$E$4:$E$53,'CDA'!$A$4:$A$53,C39,'CDA'!$D$4:$D$53,"A")&gt;0,"A","")))),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UMIFS('CDA'!$E$4:$E$53,'CDA'!$A$4:$A$53,C40,'CDA'!$D$4:$D$53,"D")&gt;0,"D",IF(SUMIFS('CDA'!$E$4:$E$53,'CDA'!$A$4:$A$53,C40,'CDA'!$D$4:$D$53,"C")&gt;0,"C",IF(SUMIFS('CDA'!$E$4:$E$53,'CDA'!$A$4:$A$53,C40,'CDA'!$D$4:$D$53,"B")&gt;0,"B",IF(SUMIFS('CDA'!$E$4:$E$53,'CDA'!$A$4:$A$53,C40,'CDA'!$D$4:$D$53,"A")&gt;0,"A","")))),PARAMS_Ksat,2,FALSE),0),0)</f>
        <v/>
      </c>
      <c r="J40" s="17">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17">
        <f>IFERROR(F40*G40*J40,0)</f>
        <v/>
      </c>
      <c r="L40" s="17">
        <f>IFERROR(IF(I40=0,"",G40/I40),"")</f>
        <v/>
      </c>
      <c r="M40" s="28">
        <f>IFERROR(IF(L40="","",IF(L40&lt;=2,"✓","✗")),"")</f>
        <v/>
      </c>
      <c r="N40" s="4" t="n"/>
      <c r="O40" s="4" t="n"/>
      <c r="P40" s="17">
        <f>IFERROR((N40+O40)/2,0)</f>
        <v/>
      </c>
      <c r="Q40" s="4" t="n"/>
      <c r="R40" s="17">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 t="n"/>
      <c r="T40" s="17">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 t="n"/>
      <c r="V40" s="4">
        <f>IFERROR(IF(OR(E40="Enhanced",E40="Enhanced w/ Underdrain"),VLOOKUP(IF(SUMIFS('CDA'!$E$4:$E$53,'CDA'!$A$4:$A$53,C40,'CDA'!$D$4:$D$53,"D")&gt;0,"D",IF(SUMIFS('CDA'!$E$4:$E$53,'CDA'!$A$4:$A$53,C40,'CDA'!$D$4:$D$53,"C")&gt;0,"C",IF(SUMIFS('CDA'!$E$4:$E$53,'CDA'!$A$4:$A$53,C40,'CDA'!$D$4:$D$53,"B")&gt;0,"B",IF(SUMIFS('CDA'!$E$4:$E$53,'CDA'!$A$4:$A$53,C40,'CDA'!$D$4:$D$53,"A")&gt;0,"A","")))),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UMIFS('CDA'!$E$4:$E$53,'CDA'!$A$4:$A$53,C41,'CDA'!$D$4:$D$53,"D")&gt;0,"D",IF(SUMIFS('CDA'!$E$4:$E$53,'CDA'!$A$4:$A$53,C41,'CDA'!$D$4:$D$53,"C")&gt;0,"C",IF(SUMIFS('CDA'!$E$4:$E$53,'CDA'!$A$4:$A$53,C41,'CDA'!$D$4:$D$53,"B")&gt;0,"B",IF(SUMIFS('CDA'!$E$4:$E$53,'CDA'!$A$4:$A$53,C41,'CDA'!$D$4:$D$53,"A")&gt;0,"A","")))),PARAMS_Ksat,2,FALSE),0),0)</f>
        <v/>
      </c>
      <c r="J41" s="17">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17">
        <f>IFERROR(F41*G41*J41,0)</f>
        <v/>
      </c>
      <c r="L41" s="17">
        <f>IFERROR(IF(I41=0,"",G41/I41),"")</f>
        <v/>
      </c>
      <c r="M41" s="28">
        <f>IFERROR(IF(L41="","",IF(L41&lt;=2,"✓","✗")),"")</f>
        <v/>
      </c>
      <c r="N41" s="4" t="n"/>
      <c r="O41" s="4" t="n"/>
      <c r="P41" s="17">
        <f>IFERROR((N41+O41)/2,0)</f>
        <v/>
      </c>
      <c r="Q41" s="4" t="n"/>
      <c r="R41" s="17">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 t="n"/>
      <c r="T41" s="17">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 t="n"/>
      <c r="V41" s="4">
        <f>IFERROR(IF(OR(E41="Enhanced",E41="Enhanced w/ Underdrain"),VLOOKUP(IF(SUMIFS('CDA'!$E$4:$E$53,'CDA'!$A$4:$A$53,C41,'CDA'!$D$4:$D$53,"D")&gt;0,"D",IF(SUMIFS('CDA'!$E$4:$E$53,'CDA'!$A$4:$A$53,C41,'CDA'!$D$4:$D$53,"C")&gt;0,"C",IF(SUMIFS('CDA'!$E$4:$E$53,'CDA'!$A$4:$A$53,C41,'CDA'!$D$4:$D$53,"B")&gt;0,"B",IF(SUMIFS('CDA'!$E$4:$E$53,'CDA'!$A$4:$A$53,C41,'CDA'!$D$4:$D$53,"A")&gt;0,"A","")))),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UMIFS('CDA'!$E$4:$E$53,'CDA'!$A$4:$A$53,C42,'CDA'!$D$4:$D$53,"D")&gt;0,"D",IF(SUMIFS('CDA'!$E$4:$E$53,'CDA'!$A$4:$A$53,C42,'CDA'!$D$4:$D$53,"C")&gt;0,"C",IF(SUMIFS('CDA'!$E$4:$E$53,'CDA'!$A$4:$A$53,C42,'CDA'!$D$4:$D$53,"B")&gt;0,"B",IF(SUMIFS('CDA'!$E$4:$E$53,'CDA'!$A$4:$A$53,C42,'CDA'!$D$4:$D$53,"A")&gt;0,"A","")))),PARAMS_Ksat,2,FALSE),0),0)</f>
        <v/>
      </c>
      <c r="J42" s="17">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17">
        <f>IFERROR(F42*G42*J42,0)</f>
        <v/>
      </c>
      <c r="L42" s="17">
        <f>IFERROR(IF(I42=0,"",G42/I42),"")</f>
        <v/>
      </c>
      <c r="M42" s="28">
        <f>IFERROR(IF(L42="","",IF(L42&lt;=2,"✓","✗")),"")</f>
        <v/>
      </c>
      <c r="N42" s="4" t="n"/>
      <c r="O42" s="4" t="n"/>
      <c r="P42" s="17">
        <f>IFERROR((N42+O42)/2,0)</f>
        <v/>
      </c>
      <c r="Q42" s="4" t="n"/>
      <c r="R42" s="17">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 t="n"/>
      <c r="T42" s="17">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 t="n"/>
      <c r="V42" s="4">
        <f>IFERROR(IF(OR(E42="Enhanced",E42="Enhanced w/ Underdrain"),VLOOKUP(IF(SUMIFS('CDA'!$E$4:$E$53,'CDA'!$A$4:$A$53,C42,'CDA'!$D$4:$D$53,"D")&gt;0,"D",IF(SUMIFS('CDA'!$E$4:$E$53,'CDA'!$A$4:$A$53,C42,'CDA'!$D$4:$D$53,"C")&gt;0,"C",IF(SUMIFS('CDA'!$E$4:$E$53,'CDA'!$A$4:$A$53,C42,'CDA'!$D$4:$D$53,"B")&gt;0,"B",IF(SUMIFS('CDA'!$E$4:$E$53,'CDA'!$A$4:$A$53,C42,'CDA'!$D$4:$D$53,"A")&gt;0,"A","")))),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UMIFS('CDA'!$E$4:$E$53,'CDA'!$A$4:$A$53,C43,'CDA'!$D$4:$D$53,"D")&gt;0,"D",IF(SUMIFS('CDA'!$E$4:$E$53,'CDA'!$A$4:$A$53,C43,'CDA'!$D$4:$D$53,"C")&gt;0,"C",IF(SUMIFS('CDA'!$E$4:$E$53,'CDA'!$A$4:$A$53,C43,'CDA'!$D$4:$D$53,"B")&gt;0,"B",IF(SUMIFS('CDA'!$E$4:$E$53,'CDA'!$A$4:$A$53,C43,'CDA'!$D$4:$D$53,"A")&gt;0,"A","")))),PARAMS_Ksat,2,FALSE),0),0)</f>
        <v/>
      </c>
      <c r="J43" s="17">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17">
        <f>IFERROR(F43*G43*J43,0)</f>
        <v/>
      </c>
      <c r="L43" s="17">
        <f>IFERROR(IF(I43=0,"",G43/I43),"")</f>
        <v/>
      </c>
      <c r="M43" s="28">
        <f>IFERROR(IF(L43="","",IF(L43&lt;=2,"✓","✗")),"")</f>
        <v/>
      </c>
      <c r="N43" s="4" t="n"/>
      <c r="O43" s="4" t="n"/>
      <c r="P43" s="17">
        <f>IFERROR((N43+O43)/2,0)</f>
        <v/>
      </c>
      <c r="Q43" s="4" t="n"/>
      <c r="R43" s="17">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 t="n"/>
      <c r="T43" s="17">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 t="n"/>
      <c r="V43" s="4">
        <f>IFERROR(IF(OR(E43="Enhanced",E43="Enhanced w/ Underdrain"),VLOOKUP(IF(SUMIFS('CDA'!$E$4:$E$53,'CDA'!$A$4:$A$53,C43,'CDA'!$D$4:$D$53,"D")&gt;0,"D",IF(SUMIFS('CDA'!$E$4:$E$53,'CDA'!$A$4:$A$53,C43,'CDA'!$D$4:$D$53,"C")&gt;0,"C",IF(SUMIFS('CDA'!$E$4:$E$53,'CDA'!$A$4:$A$53,C43,'CDA'!$D$4:$D$53,"B")&gt;0,"B",IF(SUMIFS('CDA'!$E$4:$E$53,'CDA'!$A$4:$A$53,C43,'CDA'!$D$4:$D$53,"A")&gt;0,"A","")))),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UMIFS('CDA'!$E$4:$E$53,'CDA'!$A$4:$A$53,C44,'CDA'!$D$4:$D$53,"D")&gt;0,"D",IF(SUMIFS('CDA'!$E$4:$E$53,'CDA'!$A$4:$A$53,C44,'CDA'!$D$4:$D$53,"C")&gt;0,"C",IF(SUMIFS('CDA'!$E$4:$E$53,'CDA'!$A$4:$A$53,C44,'CDA'!$D$4:$D$53,"B")&gt;0,"B",IF(SUMIFS('CDA'!$E$4:$E$53,'CDA'!$A$4:$A$53,C44,'CDA'!$D$4:$D$53,"A")&gt;0,"A","")))),PARAMS_Ksat,2,FALSE),0),0)</f>
        <v/>
      </c>
      <c r="J44" s="17">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17">
        <f>IFERROR(F44*G44*J44,0)</f>
        <v/>
      </c>
      <c r="L44" s="17">
        <f>IFERROR(IF(I44=0,"",G44/I44),"")</f>
        <v/>
      </c>
      <c r="M44" s="28">
        <f>IFERROR(IF(L44="","",IF(L44&lt;=2,"✓","✗")),"")</f>
        <v/>
      </c>
      <c r="N44" s="4" t="n"/>
      <c r="O44" s="4" t="n"/>
      <c r="P44" s="17">
        <f>IFERROR((N44+O44)/2,0)</f>
        <v/>
      </c>
      <c r="Q44" s="4" t="n"/>
      <c r="R44" s="17">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 t="n"/>
      <c r="T44" s="17">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 t="n"/>
      <c r="V44" s="4">
        <f>IFERROR(IF(OR(E44="Enhanced",E44="Enhanced w/ Underdrain"),VLOOKUP(IF(SUMIFS('CDA'!$E$4:$E$53,'CDA'!$A$4:$A$53,C44,'CDA'!$D$4:$D$53,"D")&gt;0,"D",IF(SUMIFS('CDA'!$E$4:$E$53,'CDA'!$A$4:$A$53,C44,'CDA'!$D$4:$D$53,"C")&gt;0,"C",IF(SUMIFS('CDA'!$E$4:$E$53,'CDA'!$A$4:$A$53,C44,'CDA'!$D$4:$D$53,"B")&gt;0,"B",IF(SUMIFS('CDA'!$E$4:$E$53,'CDA'!$A$4:$A$53,C44,'CDA'!$D$4:$D$53,"A")&gt;0,"A","")))),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UMIFS('CDA'!$E$4:$E$53,'CDA'!$A$4:$A$53,C45,'CDA'!$D$4:$D$53,"D")&gt;0,"D",IF(SUMIFS('CDA'!$E$4:$E$53,'CDA'!$A$4:$A$53,C45,'CDA'!$D$4:$D$53,"C")&gt;0,"C",IF(SUMIFS('CDA'!$E$4:$E$53,'CDA'!$A$4:$A$53,C45,'CDA'!$D$4:$D$53,"B")&gt;0,"B",IF(SUMIFS('CDA'!$E$4:$E$53,'CDA'!$A$4:$A$53,C45,'CDA'!$D$4:$D$53,"A")&gt;0,"A","")))),PARAMS_Ksat,2,FALSE),0),0)</f>
        <v/>
      </c>
      <c r="J45" s="17">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17">
        <f>IFERROR(F45*G45*J45,0)</f>
        <v/>
      </c>
      <c r="L45" s="17">
        <f>IFERROR(IF(I45=0,"",G45/I45),"")</f>
        <v/>
      </c>
      <c r="M45" s="28">
        <f>IFERROR(IF(L45="","",IF(L45&lt;=2,"✓","✗")),"")</f>
        <v/>
      </c>
      <c r="N45" s="4" t="n"/>
      <c r="O45" s="4" t="n"/>
      <c r="P45" s="17">
        <f>IFERROR((N45+O45)/2,0)</f>
        <v/>
      </c>
      <c r="Q45" s="4" t="n"/>
      <c r="R45" s="17">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 t="n"/>
      <c r="T45" s="17">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 t="n"/>
      <c r="V45" s="4">
        <f>IFERROR(IF(OR(E45="Enhanced",E45="Enhanced w/ Underdrain"),VLOOKUP(IF(SUMIFS('CDA'!$E$4:$E$53,'CDA'!$A$4:$A$53,C45,'CDA'!$D$4:$D$53,"D")&gt;0,"D",IF(SUMIFS('CDA'!$E$4:$E$53,'CDA'!$A$4:$A$53,C45,'CDA'!$D$4:$D$53,"C")&gt;0,"C",IF(SUMIFS('CDA'!$E$4:$E$53,'CDA'!$A$4:$A$53,C45,'CDA'!$D$4:$D$53,"B")&gt;0,"B",IF(SUMIFS('CDA'!$E$4:$E$53,'CDA'!$A$4:$A$53,C45,'CDA'!$D$4:$D$53,"A")&gt;0,"A","")))),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UMIFS('CDA'!$E$4:$E$53,'CDA'!$A$4:$A$53,C46,'CDA'!$D$4:$D$53,"D")&gt;0,"D",IF(SUMIFS('CDA'!$E$4:$E$53,'CDA'!$A$4:$A$53,C46,'CDA'!$D$4:$D$53,"C")&gt;0,"C",IF(SUMIFS('CDA'!$E$4:$E$53,'CDA'!$A$4:$A$53,C46,'CDA'!$D$4:$D$53,"B")&gt;0,"B",IF(SUMIFS('CDA'!$E$4:$E$53,'CDA'!$A$4:$A$53,C46,'CDA'!$D$4:$D$53,"A")&gt;0,"A","")))),PARAMS_Ksat,2,FALSE),0),0)</f>
        <v/>
      </c>
      <c r="J46" s="17">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17">
        <f>IFERROR(F46*G46*J46,0)</f>
        <v/>
      </c>
      <c r="L46" s="17">
        <f>IFERROR(IF(I46=0,"",G46/I46),"")</f>
        <v/>
      </c>
      <c r="M46" s="28">
        <f>IFERROR(IF(L46="","",IF(L46&lt;=2,"✓","✗")),"")</f>
        <v/>
      </c>
      <c r="N46" s="4" t="n"/>
      <c r="O46" s="4" t="n"/>
      <c r="P46" s="17">
        <f>IFERROR((N46+O46)/2,0)</f>
        <v/>
      </c>
      <c r="Q46" s="4" t="n"/>
      <c r="R46" s="17">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 t="n"/>
      <c r="T46" s="17">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 t="n"/>
      <c r="V46" s="4">
        <f>IFERROR(IF(OR(E46="Enhanced",E46="Enhanced w/ Underdrain"),VLOOKUP(IF(SUMIFS('CDA'!$E$4:$E$53,'CDA'!$A$4:$A$53,C46,'CDA'!$D$4:$D$53,"D")&gt;0,"D",IF(SUMIFS('CDA'!$E$4:$E$53,'CDA'!$A$4:$A$53,C46,'CDA'!$D$4:$D$53,"C")&gt;0,"C",IF(SUMIFS('CDA'!$E$4:$E$53,'CDA'!$A$4:$A$53,C46,'CDA'!$D$4:$D$53,"B")&gt;0,"B",IF(SUMIFS('CDA'!$E$4:$E$53,'CDA'!$A$4:$A$53,C46,'CDA'!$D$4:$D$53,"A")&gt;0,"A","")))),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UMIFS('CDA'!$E$4:$E$53,'CDA'!$A$4:$A$53,C47,'CDA'!$D$4:$D$53,"D")&gt;0,"D",IF(SUMIFS('CDA'!$E$4:$E$53,'CDA'!$A$4:$A$53,C47,'CDA'!$D$4:$D$53,"C")&gt;0,"C",IF(SUMIFS('CDA'!$E$4:$E$53,'CDA'!$A$4:$A$53,C47,'CDA'!$D$4:$D$53,"B")&gt;0,"B",IF(SUMIFS('CDA'!$E$4:$E$53,'CDA'!$A$4:$A$53,C47,'CDA'!$D$4:$D$53,"A")&gt;0,"A","")))),PARAMS_Ksat,2,FALSE),0),0)</f>
        <v/>
      </c>
      <c r="J47" s="17">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17">
        <f>IFERROR(F47*G47*J47,0)</f>
        <v/>
      </c>
      <c r="L47" s="17">
        <f>IFERROR(IF(I47=0,"",G47/I47),"")</f>
        <v/>
      </c>
      <c r="M47" s="28">
        <f>IFERROR(IF(L47="","",IF(L47&lt;=2,"✓","✗")),"")</f>
        <v/>
      </c>
      <c r="N47" s="4" t="n"/>
      <c r="O47" s="4" t="n"/>
      <c r="P47" s="17">
        <f>IFERROR((N47+O47)/2,0)</f>
        <v/>
      </c>
      <c r="Q47" s="4" t="n"/>
      <c r="R47" s="17">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 t="n"/>
      <c r="T47" s="17">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 t="n"/>
      <c r="V47" s="4">
        <f>IFERROR(IF(OR(E47="Enhanced",E47="Enhanced w/ Underdrain"),VLOOKUP(IF(SUMIFS('CDA'!$E$4:$E$53,'CDA'!$A$4:$A$53,C47,'CDA'!$D$4:$D$53,"D")&gt;0,"D",IF(SUMIFS('CDA'!$E$4:$E$53,'CDA'!$A$4:$A$53,C47,'CDA'!$D$4:$D$53,"C")&gt;0,"C",IF(SUMIFS('CDA'!$E$4:$E$53,'CDA'!$A$4:$A$53,C47,'CDA'!$D$4:$D$53,"B")&gt;0,"B",IF(SUMIFS('CDA'!$E$4:$E$53,'CDA'!$A$4:$A$53,C47,'CDA'!$D$4:$D$53,"A")&gt;0,"A","")))),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UMIFS('CDA'!$E$4:$E$53,'CDA'!$A$4:$A$53,C48,'CDA'!$D$4:$D$53,"D")&gt;0,"D",IF(SUMIFS('CDA'!$E$4:$E$53,'CDA'!$A$4:$A$53,C48,'CDA'!$D$4:$D$53,"C")&gt;0,"C",IF(SUMIFS('CDA'!$E$4:$E$53,'CDA'!$A$4:$A$53,C48,'CDA'!$D$4:$D$53,"B")&gt;0,"B",IF(SUMIFS('CDA'!$E$4:$E$53,'CDA'!$A$4:$A$53,C48,'CDA'!$D$4:$D$53,"A")&gt;0,"A","")))),PARAMS_Ksat,2,FALSE),0),0)</f>
        <v/>
      </c>
      <c r="J48" s="17">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17">
        <f>IFERROR(F48*G48*J48,0)</f>
        <v/>
      </c>
      <c r="L48" s="17">
        <f>IFERROR(IF(I48=0,"",G48/I48),"")</f>
        <v/>
      </c>
      <c r="M48" s="28">
        <f>IFERROR(IF(L48="","",IF(L48&lt;=2,"✓","✗")),"")</f>
        <v/>
      </c>
      <c r="N48" s="4" t="n"/>
      <c r="O48" s="4" t="n"/>
      <c r="P48" s="17">
        <f>IFERROR((N48+O48)/2,0)</f>
        <v/>
      </c>
      <c r="Q48" s="4" t="n"/>
      <c r="R48" s="17">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 t="n"/>
      <c r="T48" s="17">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 t="n"/>
      <c r="V48" s="4">
        <f>IFERROR(IF(OR(E48="Enhanced",E48="Enhanced w/ Underdrain"),VLOOKUP(IF(SUMIFS('CDA'!$E$4:$E$53,'CDA'!$A$4:$A$53,C48,'CDA'!$D$4:$D$53,"D")&gt;0,"D",IF(SUMIFS('CDA'!$E$4:$E$53,'CDA'!$A$4:$A$53,C48,'CDA'!$D$4:$D$53,"C")&gt;0,"C",IF(SUMIFS('CDA'!$E$4:$E$53,'CDA'!$A$4:$A$53,C48,'CDA'!$D$4:$D$53,"B")&gt;0,"B",IF(SUMIFS('CDA'!$E$4:$E$53,'CDA'!$A$4:$A$53,C48,'CDA'!$D$4:$D$53,"A")&gt;0,"A","")))),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UMIFS('CDA'!$E$4:$E$53,'CDA'!$A$4:$A$53,C49,'CDA'!$D$4:$D$53,"D")&gt;0,"D",IF(SUMIFS('CDA'!$E$4:$E$53,'CDA'!$A$4:$A$53,C49,'CDA'!$D$4:$D$53,"C")&gt;0,"C",IF(SUMIFS('CDA'!$E$4:$E$53,'CDA'!$A$4:$A$53,C49,'CDA'!$D$4:$D$53,"B")&gt;0,"B",IF(SUMIFS('CDA'!$E$4:$E$53,'CDA'!$A$4:$A$53,C49,'CDA'!$D$4:$D$53,"A")&gt;0,"A","")))),PARAMS_Ksat,2,FALSE),0),0)</f>
        <v/>
      </c>
      <c r="J49" s="17">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17">
        <f>IFERROR(F49*G49*J49,0)</f>
        <v/>
      </c>
      <c r="L49" s="17">
        <f>IFERROR(IF(I49=0,"",G49/I49),"")</f>
        <v/>
      </c>
      <c r="M49" s="28">
        <f>IFERROR(IF(L49="","",IF(L49&lt;=2,"✓","✗")),"")</f>
        <v/>
      </c>
      <c r="N49" s="4" t="n"/>
      <c r="O49" s="4" t="n"/>
      <c r="P49" s="17">
        <f>IFERROR((N49+O49)/2,0)</f>
        <v/>
      </c>
      <c r="Q49" s="4" t="n"/>
      <c r="R49" s="17">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 t="n"/>
      <c r="T49" s="17">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 t="n"/>
      <c r="V49" s="4">
        <f>IFERROR(IF(OR(E49="Enhanced",E49="Enhanced w/ Underdrain"),VLOOKUP(IF(SUMIFS('CDA'!$E$4:$E$53,'CDA'!$A$4:$A$53,C49,'CDA'!$D$4:$D$53,"D")&gt;0,"D",IF(SUMIFS('CDA'!$E$4:$E$53,'CDA'!$A$4:$A$53,C49,'CDA'!$D$4:$D$53,"C")&gt;0,"C",IF(SUMIFS('CDA'!$E$4:$E$53,'CDA'!$A$4:$A$53,C49,'CDA'!$D$4:$D$53,"B")&gt;0,"B",IF(SUMIFS('CDA'!$E$4:$E$53,'CDA'!$A$4:$A$53,C49,'CDA'!$D$4:$D$53,"A")&gt;0,"A","")))),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UMIFS('CDA'!$E$4:$E$53,'CDA'!$A$4:$A$53,C50,'CDA'!$D$4:$D$53,"D")&gt;0,"D",IF(SUMIFS('CDA'!$E$4:$E$53,'CDA'!$A$4:$A$53,C50,'CDA'!$D$4:$D$53,"C")&gt;0,"C",IF(SUMIFS('CDA'!$E$4:$E$53,'CDA'!$A$4:$A$53,C50,'CDA'!$D$4:$D$53,"B")&gt;0,"B",IF(SUMIFS('CDA'!$E$4:$E$53,'CDA'!$A$4:$A$53,C50,'CDA'!$D$4:$D$53,"A")&gt;0,"A","")))),PARAMS_Ksat,2,FALSE),0),0)</f>
        <v/>
      </c>
      <c r="J50" s="17">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17">
        <f>IFERROR(F50*G50*J50,0)</f>
        <v/>
      </c>
      <c r="L50" s="17">
        <f>IFERROR(IF(I50=0,"",G50/I50),"")</f>
        <v/>
      </c>
      <c r="M50" s="28">
        <f>IFERROR(IF(L50="","",IF(L50&lt;=2,"✓","✗")),"")</f>
        <v/>
      </c>
      <c r="N50" s="4" t="n"/>
      <c r="O50" s="4" t="n"/>
      <c r="P50" s="17">
        <f>IFERROR((N50+O50)/2,0)</f>
        <v/>
      </c>
      <c r="Q50" s="4" t="n"/>
      <c r="R50" s="17">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 t="n"/>
      <c r="T50" s="17">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 t="n"/>
      <c r="V50" s="4">
        <f>IFERROR(IF(OR(E50="Enhanced",E50="Enhanced w/ Underdrain"),VLOOKUP(IF(SUMIFS('CDA'!$E$4:$E$53,'CDA'!$A$4:$A$53,C50,'CDA'!$D$4:$D$53,"D")&gt;0,"D",IF(SUMIFS('CDA'!$E$4:$E$53,'CDA'!$A$4:$A$53,C50,'CDA'!$D$4:$D$53,"C")&gt;0,"C",IF(SUMIFS('CDA'!$E$4:$E$53,'CDA'!$A$4:$A$53,C50,'CDA'!$D$4:$D$53,"B")&gt;0,"B",IF(SUMIFS('CDA'!$E$4:$E$53,'CDA'!$A$4:$A$53,C50,'CDA'!$D$4:$D$53,"A")&gt;0,"A","")))),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UMIFS('CDA'!$E$4:$E$53,'CDA'!$A$4:$A$53,C51,'CDA'!$D$4:$D$53,"D")&gt;0,"D",IF(SUMIFS('CDA'!$E$4:$E$53,'CDA'!$A$4:$A$53,C51,'CDA'!$D$4:$D$53,"C")&gt;0,"C",IF(SUMIFS('CDA'!$E$4:$E$53,'CDA'!$A$4:$A$53,C51,'CDA'!$D$4:$D$53,"B")&gt;0,"B",IF(SUMIFS('CDA'!$E$4:$E$53,'CDA'!$A$4:$A$53,C51,'CDA'!$D$4:$D$53,"A")&gt;0,"A","")))),PARAMS_Ksat,2,FALSE),0),0)</f>
        <v/>
      </c>
      <c r="J51" s="17">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17">
        <f>IFERROR(F51*G51*J51,0)</f>
        <v/>
      </c>
      <c r="L51" s="17">
        <f>IFERROR(IF(I51=0,"",G51/I51),"")</f>
        <v/>
      </c>
      <c r="M51" s="28">
        <f>IFERROR(IF(L51="","",IF(L51&lt;=2,"✓","✗")),"")</f>
        <v/>
      </c>
      <c r="N51" s="4" t="n"/>
      <c r="O51" s="4" t="n"/>
      <c r="P51" s="17">
        <f>IFERROR((N51+O51)/2,0)</f>
        <v/>
      </c>
      <c r="Q51" s="4" t="n"/>
      <c r="R51" s="17">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 t="n"/>
      <c r="T51" s="17">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 t="n"/>
      <c r="V51" s="4">
        <f>IFERROR(IF(OR(E51="Enhanced",E51="Enhanced w/ Underdrain"),VLOOKUP(IF(SUMIFS('CDA'!$E$4:$E$53,'CDA'!$A$4:$A$53,C51,'CDA'!$D$4:$D$53,"D")&gt;0,"D",IF(SUMIFS('CDA'!$E$4:$E$53,'CDA'!$A$4:$A$53,C51,'CDA'!$D$4:$D$53,"C")&gt;0,"C",IF(SUMIFS('CDA'!$E$4:$E$53,'CDA'!$A$4:$A$53,C51,'CDA'!$D$4:$D$53,"B")&gt;0,"B",IF(SUMIFS('CDA'!$E$4:$E$53,'CDA'!$A$4:$A$53,C51,'CDA'!$D$4:$D$53,"A")&gt;0,"A","")))),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UMIFS('CDA'!$E$4:$E$53,'CDA'!$A$4:$A$53,C52,'CDA'!$D$4:$D$53,"D")&gt;0,"D",IF(SUMIFS('CDA'!$E$4:$E$53,'CDA'!$A$4:$A$53,C52,'CDA'!$D$4:$D$53,"C")&gt;0,"C",IF(SUMIFS('CDA'!$E$4:$E$53,'CDA'!$A$4:$A$53,C52,'CDA'!$D$4:$D$53,"B")&gt;0,"B",IF(SUMIFS('CDA'!$E$4:$E$53,'CDA'!$A$4:$A$53,C52,'CDA'!$D$4:$D$53,"A")&gt;0,"A","")))),PARAMS_Ksat,2,FALSE),0),0)</f>
        <v/>
      </c>
      <c r="J52" s="17">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17">
        <f>IFERROR(F52*G52*J52,0)</f>
        <v/>
      </c>
      <c r="L52" s="17">
        <f>IFERROR(IF(I52=0,"",G52/I52),"")</f>
        <v/>
      </c>
      <c r="M52" s="28">
        <f>IFERROR(IF(L52="","",IF(L52&lt;=2,"✓","✗")),"")</f>
        <v/>
      </c>
      <c r="N52" s="4" t="n"/>
      <c r="O52" s="4" t="n"/>
      <c r="P52" s="17">
        <f>IFERROR((N52+O52)/2,0)</f>
        <v/>
      </c>
      <c r="Q52" s="4" t="n"/>
      <c r="R52" s="17">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 t="n"/>
      <c r="T52" s="17">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 t="n"/>
      <c r="V52" s="4">
        <f>IFERROR(IF(OR(E52="Enhanced",E52="Enhanced w/ Underdrain"),VLOOKUP(IF(SUMIFS('CDA'!$E$4:$E$53,'CDA'!$A$4:$A$53,C52,'CDA'!$D$4:$D$53,"D")&gt;0,"D",IF(SUMIFS('CDA'!$E$4:$E$53,'CDA'!$A$4:$A$53,C52,'CDA'!$D$4:$D$53,"C")&gt;0,"C",IF(SUMIFS('CDA'!$E$4:$E$53,'CDA'!$A$4:$A$53,C52,'CDA'!$D$4:$D$53,"B")&gt;0,"B",IF(SUMIFS('CDA'!$E$4:$E$53,'CDA'!$A$4:$A$53,C52,'CDA'!$D$4:$D$53,"A")&gt;0,"A","")))),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UMIFS('CDA'!$E$4:$E$53,'CDA'!$A$4:$A$53,C53,'CDA'!$D$4:$D$53,"D")&gt;0,"D",IF(SUMIFS('CDA'!$E$4:$E$53,'CDA'!$A$4:$A$53,C53,'CDA'!$D$4:$D$53,"C")&gt;0,"C",IF(SUMIFS('CDA'!$E$4:$E$53,'CDA'!$A$4:$A$53,C53,'CDA'!$D$4:$D$53,"B")&gt;0,"B",IF(SUMIFS('CDA'!$E$4:$E$53,'CDA'!$A$4:$A$53,C53,'CDA'!$D$4:$D$53,"A")&gt;0,"A","")))),PARAMS_Ksat,2,FALSE),0),0)</f>
        <v/>
      </c>
      <c r="J53" s="17">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17">
        <f>IFERROR(F53*G53*J53,0)</f>
        <v/>
      </c>
      <c r="L53" s="17">
        <f>IFERROR(IF(I53=0,"",G53/I53),"")</f>
        <v/>
      </c>
      <c r="M53" s="28">
        <f>IFERROR(IF(L53="","",IF(L53&lt;=2,"✓","✗")),"")</f>
        <v/>
      </c>
      <c r="N53" s="4" t="n"/>
      <c r="O53" s="4" t="n"/>
      <c r="P53" s="17">
        <f>IFERROR((N53+O53)/2,0)</f>
        <v/>
      </c>
      <c r="Q53" s="4" t="n"/>
      <c r="R53" s="17">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 t="n"/>
      <c r="T53" s="17">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 t="n"/>
      <c r="V53" s="4">
        <f>IFERROR(IF(OR(E53="Enhanced",E53="Enhanced w/ Underdrain"),VLOOKUP(IF(SUMIFS('CDA'!$E$4:$E$53,'CDA'!$A$4:$A$53,C53,'CDA'!$D$4:$D$53,"D")&gt;0,"D",IF(SUMIFS('CDA'!$E$4:$E$53,'CDA'!$A$4:$A$53,C53,'CDA'!$D$4:$D$53,"C")&gt;0,"C",IF(SUMIFS('CDA'!$E$4:$E$53,'CDA'!$A$4:$A$53,C53,'CDA'!$D$4:$D$53,"B")&gt;0,"B",IF(SUMIFS('CDA'!$E$4:$E$53,'CDA'!$A$4:$A$53,C53,'CDA'!$D$4:$D$53,"A")&gt;0,"A","")))),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SUMIFS('SDA'!$G$4:$G$53,'SDA'!$A$4:$A$53,A12,'SDA'!$D$4:$D$53,"D")&gt;0,"D",IF(SUMIFS('SDA'!$G$4:$G$53,'SDA'!$A$4:$A$53,A12,'SDA'!$D$4:$D$53,"C")&gt;0,"C",IF(SUMIFS('SDA'!$G$4:$G$53,'SDA'!$A$4:$A$53,A12,'SDA'!$D$4:$D$53,"B")&gt;0,"B",IF(SUMIFS('SDA'!$G$4:$G$53,'SDA'!$A$4:$A$53,A12,'SDA'!$D$4:$D$53,"A")&gt;0,"A","")))))</f>
        <v/>
      </c>
      <c r="M12" s="4" t="inlineStr">
        <is>
          <t>Yes</t>
        </is>
      </c>
      <c r="N12" s="4" t="inlineStr">
        <is>
          <t>Yes</t>
        </is>
      </c>
      <c r="O12" s="17">
        <f>IF(A12="","",IF(L12="A",2.5,IF(L12="B",0.3,IF(L12="C",0.1,IF(L12="D",0.05,"")))))</f>
        <v/>
      </c>
      <c r="P12" s="27" t="inlineStr">
        <is>
          <t>No</t>
        </is>
      </c>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SUMIFS('SDA'!$G$4:$G$53,'SDA'!$A$4:$A$53,A13,'SDA'!$D$4:$D$53,"D")&gt;0,"D",IF(SUMIFS('SDA'!$G$4:$G$53,'SDA'!$A$4:$A$53,A13,'SDA'!$D$4:$D$53,"C")&gt;0,"C",IF(SUMIFS('SDA'!$G$4:$G$53,'SDA'!$A$4:$A$53,A13,'SDA'!$D$4:$D$53,"B")&gt;0,"B",IF(SUMIFS('SDA'!$G$4:$G$53,'SDA'!$A$4:$A$53,A13,'SDA'!$D$4:$D$53,"A")&gt;0,"A","")))))</f>
        <v/>
      </c>
      <c r="M13" s="4" t="inlineStr">
        <is>
          <t>Yes</t>
        </is>
      </c>
      <c r="N13" s="4" t="inlineStr">
        <is>
          <t>Yes</t>
        </is>
      </c>
      <c r="O13" s="17">
        <f>IF(A13="","",IF(L13="A",2.5,IF(L13="B",0.3,IF(L13="C",0.1,IF(L13="D",0.05,"")))))</f>
        <v/>
      </c>
      <c r="P13" s="27" t="inlineStr">
        <is>
          <t>No</t>
        </is>
      </c>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SUMIFS('SDA'!$G$4:$G$53,'SDA'!$A$4:$A$53,A14,'SDA'!$D$4:$D$53,"D")&gt;0,"D",IF(SUMIFS('SDA'!$G$4:$G$53,'SDA'!$A$4:$A$53,A14,'SDA'!$D$4:$D$53,"C")&gt;0,"C",IF(SUMIFS('SDA'!$G$4:$G$53,'SDA'!$A$4:$A$53,A14,'SDA'!$D$4:$D$53,"B")&gt;0,"B",IF(SUMIFS('SDA'!$G$4:$G$53,'SDA'!$A$4:$A$53,A14,'SDA'!$D$4:$D$53,"A")&gt;0,"A","")))))</f>
        <v/>
      </c>
      <c r="M14" s="4" t="inlineStr">
        <is>
          <t>Yes</t>
        </is>
      </c>
      <c r="N14" s="4" t="inlineStr">
        <is>
          <t>Yes</t>
        </is>
      </c>
      <c r="O14" s="17">
        <f>IF(A14="","",IF(L14="A",2.5,IF(L14="B",0.3,IF(L14="C",0.1,IF(L14="D",0.05,"")))))</f>
        <v/>
      </c>
      <c r="P14" s="27" t="inlineStr">
        <is>
          <t>No</t>
        </is>
      </c>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SUMIFS('SDA'!$G$4:$G$53,'SDA'!$A$4:$A$53,A15,'SDA'!$D$4:$D$53,"D")&gt;0,"D",IF(SUMIFS('SDA'!$G$4:$G$53,'SDA'!$A$4:$A$53,A15,'SDA'!$D$4:$D$53,"C")&gt;0,"C",IF(SUMIFS('SDA'!$G$4:$G$53,'SDA'!$A$4:$A$53,A15,'SDA'!$D$4:$D$53,"B")&gt;0,"B",IF(SUMIFS('SDA'!$G$4:$G$53,'SDA'!$A$4:$A$53,A15,'SDA'!$D$4:$D$53,"A")&gt;0,"A","")))))</f>
        <v/>
      </c>
      <c r="M15" s="4" t="inlineStr">
        <is>
          <t>Yes</t>
        </is>
      </c>
      <c r="N15" s="4" t="inlineStr">
        <is>
          <t>Yes</t>
        </is>
      </c>
      <c r="O15" s="17">
        <f>IF(A15="","",IF(L15="A",2.5,IF(L15="B",0.3,IF(L15="C",0.1,IF(L15="D",0.05,"")))))</f>
        <v/>
      </c>
      <c r="P15" s="27" t="inlineStr">
        <is>
          <t>No</t>
        </is>
      </c>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SUMIFS('SDA'!$G$4:$G$53,'SDA'!$A$4:$A$53,A16,'SDA'!$D$4:$D$53,"D")&gt;0,"D",IF(SUMIFS('SDA'!$G$4:$G$53,'SDA'!$A$4:$A$53,A16,'SDA'!$D$4:$D$53,"C")&gt;0,"C",IF(SUMIFS('SDA'!$G$4:$G$53,'SDA'!$A$4:$A$53,A16,'SDA'!$D$4:$D$53,"B")&gt;0,"B",IF(SUMIFS('SDA'!$G$4:$G$53,'SDA'!$A$4:$A$53,A16,'SDA'!$D$4:$D$53,"A")&gt;0,"A","")))))</f>
        <v/>
      </c>
      <c r="M16" s="4" t="inlineStr">
        <is>
          <t>Yes</t>
        </is>
      </c>
      <c r="N16" s="4" t="inlineStr">
        <is>
          <t>Yes</t>
        </is>
      </c>
      <c r="O16" s="17">
        <f>IF(A16="","",IF(L16="A",2.5,IF(L16="B",0.3,IF(L16="C",0.1,IF(L16="D",0.05,"")))))</f>
        <v/>
      </c>
      <c r="P16" s="27" t="inlineStr">
        <is>
          <t>No</t>
        </is>
      </c>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SUMIFS('SDA'!$G$4:$G$53,'SDA'!$A$4:$A$53,A17,'SDA'!$D$4:$D$53,"D")&gt;0,"D",IF(SUMIFS('SDA'!$G$4:$G$53,'SDA'!$A$4:$A$53,A17,'SDA'!$D$4:$D$53,"C")&gt;0,"C",IF(SUMIFS('SDA'!$G$4:$G$53,'SDA'!$A$4:$A$53,A17,'SDA'!$D$4:$D$53,"B")&gt;0,"B",IF(SUMIFS('SDA'!$G$4:$G$53,'SDA'!$A$4:$A$53,A17,'SDA'!$D$4:$D$53,"A")&gt;0,"A","")))))</f>
        <v/>
      </c>
      <c r="M17" s="4" t="inlineStr">
        <is>
          <t>Yes</t>
        </is>
      </c>
      <c r="N17" s="4" t="inlineStr">
        <is>
          <t>Yes</t>
        </is>
      </c>
      <c r="O17" s="17">
        <f>IF(A17="","",IF(L17="A",2.5,IF(L17="B",0.3,IF(L17="C",0.1,IF(L17="D",0.05,"")))))</f>
        <v/>
      </c>
      <c r="P17" s="27" t="inlineStr">
        <is>
          <t>No</t>
        </is>
      </c>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SUMIFS('SDA'!$G$4:$G$53,'SDA'!$A$4:$A$53,A18,'SDA'!$D$4:$D$53,"D")&gt;0,"D",IF(SUMIFS('SDA'!$G$4:$G$53,'SDA'!$A$4:$A$53,A18,'SDA'!$D$4:$D$53,"C")&gt;0,"C",IF(SUMIFS('SDA'!$G$4:$G$53,'SDA'!$A$4:$A$53,A18,'SDA'!$D$4:$D$53,"B")&gt;0,"B",IF(SUMIFS('SDA'!$G$4:$G$53,'SDA'!$A$4:$A$53,A18,'SDA'!$D$4:$D$53,"A")&gt;0,"A","")))))</f>
        <v/>
      </c>
      <c r="M18" s="4" t="inlineStr">
        <is>
          <t>Yes</t>
        </is>
      </c>
      <c r="N18" s="4" t="inlineStr">
        <is>
          <t>Yes</t>
        </is>
      </c>
      <c r="O18" s="17">
        <f>IF(A18="","",IF(L18="A",2.5,IF(L18="B",0.3,IF(L18="C",0.1,IF(L18="D",0.05,"")))))</f>
        <v/>
      </c>
      <c r="P18" s="27" t="inlineStr">
        <is>
          <t>No</t>
        </is>
      </c>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SUMIFS('SDA'!$G$4:$G$53,'SDA'!$A$4:$A$53,A19,'SDA'!$D$4:$D$53,"D")&gt;0,"D",IF(SUMIFS('SDA'!$G$4:$G$53,'SDA'!$A$4:$A$53,A19,'SDA'!$D$4:$D$53,"C")&gt;0,"C",IF(SUMIFS('SDA'!$G$4:$G$53,'SDA'!$A$4:$A$53,A19,'SDA'!$D$4:$D$53,"B")&gt;0,"B",IF(SUMIFS('SDA'!$G$4:$G$53,'SDA'!$A$4:$A$53,A19,'SDA'!$D$4:$D$53,"A")&gt;0,"A","")))))</f>
        <v/>
      </c>
      <c r="M19" s="4" t="inlineStr">
        <is>
          <t>Yes</t>
        </is>
      </c>
      <c r="N19" s="4" t="inlineStr">
        <is>
          <t>Yes</t>
        </is>
      </c>
      <c r="O19" s="17">
        <f>IF(A19="","",IF(L19="A",2.5,IF(L19="B",0.3,IF(L19="C",0.1,IF(L19="D",0.05,"")))))</f>
        <v/>
      </c>
      <c r="P19" s="27" t="inlineStr">
        <is>
          <t>No</t>
        </is>
      </c>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SUMIFS('SDA'!$G$4:$G$53,'SDA'!$A$4:$A$53,A20,'SDA'!$D$4:$D$53,"D")&gt;0,"D",IF(SUMIFS('SDA'!$G$4:$G$53,'SDA'!$A$4:$A$53,A20,'SDA'!$D$4:$D$53,"C")&gt;0,"C",IF(SUMIFS('SDA'!$G$4:$G$53,'SDA'!$A$4:$A$53,A20,'SDA'!$D$4:$D$53,"B")&gt;0,"B",IF(SUMIFS('SDA'!$G$4:$G$53,'SDA'!$A$4:$A$53,A20,'SDA'!$D$4:$D$53,"A")&gt;0,"A","")))))</f>
        <v/>
      </c>
      <c r="M20" s="4" t="inlineStr">
        <is>
          <t>Yes</t>
        </is>
      </c>
      <c r="N20" s="4" t="inlineStr">
        <is>
          <t>Yes</t>
        </is>
      </c>
      <c r="O20" s="17">
        <f>IF(A20="","",IF(L20="A",2.5,IF(L20="B",0.3,IF(L20="C",0.1,IF(L20="D",0.05,"")))))</f>
        <v/>
      </c>
      <c r="P20" s="27" t="inlineStr">
        <is>
          <t>No</t>
        </is>
      </c>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SUMIFS('SDA'!$G$4:$G$53,'SDA'!$A$4:$A$53,A21,'SDA'!$D$4:$D$53,"D")&gt;0,"D",IF(SUMIFS('SDA'!$G$4:$G$53,'SDA'!$A$4:$A$53,A21,'SDA'!$D$4:$D$53,"C")&gt;0,"C",IF(SUMIFS('SDA'!$G$4:$G$53,'SDA'!$A$4:$A$53,A21,'SDA'!$D$4:$D$53,"B")&gt;0,"B",IF(SUMIFS('SDA'!$G$4:$G$53,'SDA'!$A$4:$A$53,A21,'SDA'!$D$4:$D$53,"A")&gt;0,"A","")))))</f>
        <v/>
      </c>
      <c r="M21" s="4" t="inlineStr">
        <is>
          <t>Yes</t>
        </is>
      </c>
      <c r="N21" s="4" t="inlineStr">
        <is>
          <t>Yes</t>
        </is>
      </c>
      <c r="O21" s="17">
        <f>IF(A21="","",IF(L21="A",2.5,IF(L21="B",0.3,IF(L21="C",0.1,IF(L21="D",0.05,"")))))</f>
        <v/>
      </c>
      <c r="P21" s="27" t="inlineStr">
        <is>
          <t>No</t>
        </is>
      </c>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SUMIFS('SDA'!$G$4:$G$53,'SDA'!$A$4:$A$53,A22,'SDA'!$D$4:$D$53,"D")&gt;0,"D",IF(SUMIFS('SDA'!$G$4:$G$53,'SDA'!$A$4:$A$53,A22,'SDA'!$D$4:$D$53,"C")&gt;0,"C",IF(SUMIFS('SDA'!$G$4:$G$53,'SDA'!$A$4:$A$53,A22,'SDA'!$D$4:$D$53,"B")&gt;0,"B",IF(SUMIFS('SDA'!$G$4:$G$53,'SDA'!$A$4:$A$53,A22,'SDA'!$D$4:$D$53,"A")&gt;0,"A","")))))</f>
        <v/>
      </c>
      <c r="M22" s="4" t="n"/>
      <c r="N22" s="4" t="n"/>
      <c r="O22" s="17">
        <f>IF(A22="","",IF(L22="A",2.5,IF(L22="B",0.3,IF(L22="C",0.1,IF(L22="D",0.05,"")))))</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SUMIFS('SDA'!$G$4:$G$53,'SDA'!$A$4:$A$53,A23,'SDA'!$D$4:$D$53,"D")&gt;0,"D",IF(SUMIFS('SDA'!$G$4:$G$53,'SDA'!$A$4:$A$53,A23,'SDA'!$D$4:$D$53,"C")&gt;0,"C",IF(SUMIFS('SDA'!$G$4:$G$53,'SDA'!$A$4:$A$53,A23,'SDA'!$D$4:$D$53,"B")&gt;0,"B",IF(SUMIFS('SDA'!$G$4:$G$53,'SDA'!$A$4:$A$53,A23,'SDA'!$D$4:$D$53,"A")&gt;0,"A","")))))</f>
        <v/>
      </c>
      <c r="M23" s="4" t="n"/>
      <c r="N23" s="4" t="n"/>
      <c r="O23" s="17">
        <f>IF(A23="","",IF(L23="A",2.5,IF(L23="B",0.3,IF(L23="C",0.1,IF(L23="D",0.05,"")))))</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SUMIFS('SDA'!$G$4:$G$53,'SDA'!$A$4:$A$53,A24,'SDA'!$D$4:$D$53,"D")&gt;0,"D",IF(SUMIFS('SDA'!$G$4:$G$53,'SDA'!$A$4:$A$53,A24,'SDA'!$D$4:$D$53,"C")&gt;0,"C",IF(SUMIFS('SDA'!$G$4:$G$53,'SDA'!$A$4:$A$53,A24,'SDA'!$D$4:$D$53,"B")&gt;0,"B",IF(SUMIFS('SDA'!$G$4:$G$53,'SDA'!$A$4:$A$53,A24,'SDA'!$D$4:$D$53,"A")&gt;0,"A","")))))</f>
        <v/>
      </c>
      <c r="M24" s="4" t="n"/>
      <c r="N24" s="4" t="n"/>
      <c r="O24" s="17">
        <f>IF(A24="","",IF(L24="A",2.5,IF(L24="B",0.3,IF(L24="C",0.1,IF(L24="D",0.05,"")))))</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SUMIFS('SDA'!$G$4:$G$53,'SDA'!$A$4:$A$53,A25,'SDA'!$D$4:$D$53,"D")&gt;0,"D",IF(SUMIFS('SDA'!$G$4:$G$53,'SDA'!$A$4:$A$53,A25,'SDA'!$D$4:$D$53,"C")&gt;0,"C",IF(SUMIFS('SDA'!$G$4:$G$53,'SDA'!$A$4:$A$53,A25,'SDA'!$D$4:$D$53,"B")&gt;0,"B",IF(SUMIFS('SDA'!$G$4:$G$53,'SDA'!$A$4:$A$53,A25,'SDA'!$D$4:$D$53,"A")&gt;0,"A","")))))</f>
        <v/>
      </c>
      <c r="M25" s="4" t="n"/>
      <c r="N25" s="4" t="n"/>
      <c r="O25" s="17">
        <f>IF(A25="","",IF(L25="A",2.5,IF(L25="B",0.3,IF(L25="C",0.1,IF(L25="D",0.05,"")))))</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SUMIFS('SDA'!$G$4:$G$53,'SDA'!$A$4:$A$53,A26,'SDA'!$D$4:$D$53,"D")&gt;0,"D",IF(SUMIFS('SDA'!$G$4:$G$53,'SDA'!$A$4:$A$53,A26,'SDA'!$D$4:$D$53,"C")&gt;0,"C",IF(SUMIFS('SDA'!$G$4:$G$53,'SDA'!$A$4:$A$53,A26,'SDA'!$D$4:$D$53,"B")&gt;0,"B",IF(SUMIFS('SDA'!$G$4:$G$53,'SDA'!$A$4:$A$53,A26,'SDA'!$D$4:$D$53,"A")&gt;0,"A","")))))</f>
        <v/>
      </c>
      <c r="M26" s="4" t="n"/>
      <c r="N26" s="4" t="n"/>
      <c r="O26" s="17">
        <f>IF(A26="","",IF(L26="A",2.5,IF(L26="B",0.3,IF(L26="C",0.1,IF(L26="D",0.05,"")))))</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SUMIFS('SDA'!$G$4:$G$53,'SDA'!$A$4:$A$53,A27,'SDA'!$D$4:$D$53,"D")&gt;0,"D",IF(SUMIFS('SDA'!$G$4:$G$53,'SDA'!$A$4:$A$53,A27,'SDA'!$D$4:$D$53,"C")&gt;0,"C",IF(SUMIFS('SDA'!$G$4:$G$53,'SDA'!$A$4:$A$53,A27,'SDA'!$D$4:$D$53,"B")&gt;0,"B",IF(SUMIFS('SDA'!$G$4:$G$53,'SDA'!$A$4:$A$53,A27,'SDA'!$D$4:$D$53,"A")&gt;0,"A","")))))</f>
        <v/>
      </c>
      <c r="M27" s="4" t="n"/>
      <c r="N27" s="4" t="n"/>
      <c r="O27" s="17">
        <f>IF(A27="","",IF(L27="A",2.5,IF(L27="B",0.3,IF(L27="C",0.1,IF(L27="D",0.05,"")))))</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SUMIFS('SDA'!$G$4:$G$53,'SDA'!$A$4:$A$53,A28,'SDA'!$D$4:$D$53,"D")&gt;0,"D",IF(SUMIFS('SDA'!$G$4:$G$53,'SDA'!$A$4:$A$53,A28,'SDA'!$D$4:$D$53,"C")&gt;0,"C",IF(SUMIFS('SDA'!$G$4:$G$53,'SDA'!$A$4:$A$53,A28,'SDA'!$D$4:$D$53,"B")&gt;0,"B",IF(SUMIFS('SDA'!$G$4:$G$53,'SDA'!$A$4:$A$53,A28,'SDA'!$D$4:$D$53,"A")&gt;0,"A","")))))</f>
        <v/>
      </c>
      <c r="M28" s="4" t="n"/>
      <c r="N28" s="4" t="n"/>
      <c r="O28" s="17">
        <f>IF(A28="","",IF(L28="A",2.5,IF(L28="B",0.3,IF(L28="C",0.1,IF(L28="D",0.05,"")))))</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SUMIFS('SDA'!$G$4:$G$53,'SDA'!$A$4:$A$53,A29,'SDA'!$D$4:$D$53,"D")&gt;0,"D",IF(SUMIFS('SDA'!$G$4:$G$53,'SDA'!$A$4:$A$53,A29,'SDA'!$D$4:$D$53,"C")&gt;0,"C",IF(SUMIFS('SDA'!$G$4:$G$53,'SDA'!$A$4:$A$53,A29,'SDA'!$D$4:$D$53,"B")&gt;0,"B",IF(SUMIFS('SDA'!$G$4:$G$53,'SDA'!$A$4:$A$53,A29,'SDA'!$D$4:$D$53,"A")&gt;0,"A","")))))</f>
        <v/>
      </c>
      <c r="M29" s="4" t="n"/>
      <c r="N29" s="4" t="n"/>
      <c r="O29" s="17">
        <f>IF(A29="","",IF(L29="A",2.5,IF(L29="B",0.3,IF(L29="C",0.1,IF(L29="D",0.05,"")))))</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SUMIFS('SDA'!$G$4:$G$53,'SDA'!$A$4:$A$53,A30,'SDA'!$D$4:$D$53,"D")&gt;0,"D",IF(SUMIFS('SDA'!$G$4:$G$53,'SDA'!$A$4:$A$53,A30,'SDA'!$D$4:$D$53,"C")&gt;0,"C",IF(SUMIFS('SDA'!$G$4:$G$53,'SDA'!$A$4:$A$53,A30,'SDA'!$D$4:$D$53,"B")&gt;0,"B",IF(SUMIFS('SDA'!$G$4:$G$53,'SDA'!$A$4:$A$53,A30,'SDA'!$D$4:$D$53,"A")&gt;0,"A","")))))</f>
        <v/>
      </c>
      <c r="M30" s="4" t="n"/>
      <c r="N30" s="4" t="n"/>
      <c r="O30" s="17">
        <f>IF(A30="","",IF(L30="A",2.5,IF(L30="B",0.3,IF(L30="C",0.1,IF(L30="D",0.05,"")))))</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SUMIFS('SDA'!$G$4:$G$53,'SDA'!$A$4:$A$53,A31,'SDA'!$D$4:$D$53,"D")&gt;0,"D",IF(SUMIFS('SDA'!$G$4:$G$53,'SDA'!$A$4:$A$53,A31,'SDA'!$D$4:$D$53,"C")&gt;0,"C",IF(SUMIFS('SDA'!$G$4:$G$53,'SDA'!$A$4:$A$53,A31,'SDA'!$D$4:$D$53,"B")&gt;0,"B",IF(SUMIFS('SDA'!$G$4:$G$53,'SDA'!$A$4:$A$53,A31,'SDA'!$D$4:$D$53,"A")&gt;0,"A","")))))</f>
        <v/>
      </c>
      <c r="M31" s="4" t="n"/>
      <c r="N31" s="4" t="n"/>
      <c r="O31" s="17">
        <f>IF(A31="","",IF(L31="A",2.5,IF(L31="B",0.3,IF(L31="C",0.1,IF(L31="D",0.05,"")))))</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SUMIFS('SDA'!$G$4:$G$53,'SDA'!$A$4:$A$53,A32,'SDA'!$D$4:$D$53,"D")&gt;0,"D",IF(SUMIFS('SDA'!$G$4:$G$53,'SDA'!$A$4:$A$53,A32,'SDA'!$D$4:$D$53,"C")&gt;0,"C",IF(SUMIFS('SDA'!$G$4:$G$53,'SDA'!$A$4:$A$53,A32,'SDA'!$D$4:$D$53,"B")&gt;0,"B",IF(SUMIFS('SDA'!$G$4:$G$53,'SDA'!$A$4:$A$53,A32,'SDA'!$D$4:$D$53,"A")&gt;0,"A","")))))</f>
        <v/>
      </c>
      <c r="M32" s="4" t="n"/>
      <c r="N32" s="4" t="n"/>
      <c r="O32" s="17">
        <f>IF(A32="","",IF(L32="A",2.5,IF(L32="B",0.3,IF(L32="C",0.1,IF(L32="D",0.05,"")))))</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SUMIFS('SDA'!$G$4:$G$53,'SDA'!$A$4:$A$53,A33,'SDA'!$D$4:$D$53,"D")&gt;0,"D",IF(SUMIFS('SDA'!$G$4:$G$53,'SDA'!$A$4:$A$53,A33,'SDA'!$D$4:$D$53,"C")&gt;0,"C",IF(SUMIFS('SDA'!$G$4:$G$53,'SDA'!$A$4:$A$53,A33,'SDA'!$D$4:$D$53,"B")&gt;0,"B",IF(SUMIFS('SDA'!$G$4:$G$53,'SDA'!$A$4:$A$53,A33,'SDA'!$D$4:$D$53,"A")&gt;0,"A","")))))</f>
        <v/>
      </c>
      <c r="M33" s="4" t="n"/>
      <c r="N33" s="4" t="n"/>
      <c r="O33" s="17">
        <f>IF(A33="","",IF(L33="A",2.5,IF(L33="B",0.3,IF(L33="C",0.1,IF(L33="D",0.05,"")))))</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SUMIFS('SDA'!$G$4:$G$53,'SDA'!$A$4:$A$53,A34,'SDA'!$D$4:$D$53,"D")&gt;0,"D",IF(SUMIFS('SDA'!$G$4:$G$53,'SDA'!$A$4:$A$53,A34,'SDA'!$D$4:$D$53,"C")&gt;0,"C",IF(SUMIFS('SDA'!$G$4:$G$53,'SDA'!$A$4:$A$53,A34,'SDA'!$D$4:$D$53,"B")&gt;0,"B",IF(SUMIFS('SDA'!$G$4:$G$53,'SDA'!$A$4:$A$53,A34,'SDA'!$D$4:$D$53,"A")&gt;0,"A","")))))</f>
        <v/>
      </c>
      <c r="M34" s="4" t="n"/>
      <c r="N34" s="4" t="n"/>
      <c r="O34" s="17">
        <f>IF(A34="","",IF(L34="A",2.5,IF(L34="B",0.3,IF(L34="C",0.1,IF(L34="D",0.05,"")))))</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SUMIFS('SDA'!$G$4:$G$53,'SDA'!$A$4:$A$53,A35,'SDA'!$D$4:$D$53,"D")&gt;0,"D",IF(SUMIFS('SDA'!$G$4:$G$53,'SDA'!$A$4:$A$53,A35,'SDA'!$D$4:$D$53,"C")&gt;0,"C",IF(SUMIFS('SDA'!$G$4:$G$53,'SDA'!$A$4:$A$53,A35,'SDA'!$D$4:$D$53,"B")&gt;0,"B",IF(SUMIFS('SDA'!$G$4:$G$53,'SDA'!$A$4:$A$53,A35,'SDA'!$D$4:$D$53,"A")&gt;0,"A","")))))</f>
        <v/>
      </c>
      <c r="M35" s="4" t="n"/>
      <c r="N35" s="4" t="n"/>
      <c r="O35" s="17">
        <f>IF(A35="","",IF(L35="A",2.5,IF(L35="B",0.3,IF(L35="C",0.1,IF(L35="D",0.05,"")))))</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SUMIFS('SDA'!$G$4:$G$53,'SDA'!$A$4:$A$53,A36,'SDA'!$D$4:$D$53,"D")&gt;0,"D",IF(SUMIFS('SDA'!$G$4:$G$53,'SDA'!$A$4:$A$53,A36,'SDA'!$D$4:$D$53,"C")&gt;0,"C",IF(SUMIFS('SDA'!$G$4:$G$53,'SDA'!$A$4:$A$53,A36,'SDA'!$D$4:$D$53,"B")&gt;0,"B",IF(SUMIFS('SDA'!$G$4:$G$53,'SDA'!$A$4:$A$53,A36,'SDA'!$D$4:$D$53,"A")&gt;0,"A","")))))</f>
        <v/>
      </c>
      <c r="M36" s="4" t="n"/>
      <c r="N36" s="4" t="n"/>
      <c r="O36" s="17">
        <f>IF(A36="","",IF(L36="A",2.5,IF(L36="B",0.3,IF(L36="C",0.1,IF(L36="D",0.05,"")))))</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SUMIFS('SDA'!$G$4:$G$53,'SDA'!$A$4:$A$53,A37,'SDA'!$D$4:$D$53,"D")&gt;0,"D",IF(SUMIFS('SDA'!$G$4:$G$53,'SDA'!$A$4:$A$53,A37,'SDA'!$D$4:$D$53,"C")&gt;0,"C",IF(SUMIFS('SDA'!$G$4:$G$53,'SDA'!$A$4:$A$53,A37,'SDA'!$D$4:$D$53,"B")&gt;0,"B",IF(SUMIFS('SDA'!$G$4:$G$53,'SDA'!$A$4:$A$53,A37,'SDA'!$D$4:$D$53,"A")&gt;0,"A","")))))</f>
        <v/>
      </c>
      <c r="M37" s="4" t="n"/>
      <c r="N37" s="4" t="n"/>
      <c r="O37" s="17">
        <f>IF(A37="","",IF(L37="A",2.5,IF(L37="B",0.3,IF(L37="C",0.1,IF(L37="D",0.05,"")))))</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SUMIFS('SDA'!$G$4:$G$53,'SDA'!$A$4:$A$53,A38,'SDA'!$D$4:$D$53,"D")&gt;0,"D",IF(SUMIFS('SDA'!$G$4:$G$53,'SDA'!$A$4:$A$53,A38,'SDA'!$D$4:$D$53,"C")&gt;0,"C",IF(SUMIFS('SDA'!$G$4:$G$53,'SDA'!$A$4:$A$53,A38,'SDA'!$D$4:$D$53,"B")&gt;0,"B",IF(SUMIFS('SDA'!$G$4:$G$53,'SDA'!$A$4:$A$53,A38,'SDA'!$D$4:$D$53,"A")&gt;0,"A","")))))</f>
        <v/>
      </c>
      <c r="M38" s="4" t="n"/>
      <c r="N38" s="4" t="n"/>
      <c r="O38" s="17">
        <f>IF(A38="","",IF(L38="A",2.5,IF(L38="B",0.3,IF(L38="C",0.1,IF(L38="D",0.05,"")))))</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SUMIFS('SDA'!$G$4:$G$53,'SDA'!$A$4:$A$53,A39,'SDA'!$D$4:$D$53,"D")&gt;0,"D",IF(SUMIFS('SDA'!$G$4:$G$53,'SDA'!$A$4:$A$53,A39,'SDA'!$D$4:$D$53,"C")&gt;0,"C",IF(SUMIFS('SDA'!$G$4:$G$53,'SDA'!$A$4:$A$53,A39,'SDA'!$D$4:$D$53,"B")&gt;0,"B",IF(SUMIFS('SDA'!$G$4:$G$53,'SDA'!$A$4:$A$53,A39,'SDA'!$D$4:$D$53,"A")&gt;0,"A","")))))</f>
        <v/>
      </c>
      <c r="M39" s="4" t="n"/>
      <c r="N39" s="4" t="n"/>
      <c r="O39" s="17">
        <f>IF(A39="","",IF(L39="A",2.5,IF(L39="B",0.3,IF(L39="C",0.1,IF(L39="D",0.05,"")))))</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SUMIFS('SDA'!$G$4:$G$53,'SDA'!$A$4:$A$53,A40,'SDA'!$D$4:$D$53,"D")&gt;0,"D",IF(SUMIFS('SDA'!$G$4:$G$53,'SDA'!$A$4:$A$53,A40,'SDA'!$D$4:$D$53,"C")&gt;0,"C",IF(SUMIFS('SDA'!$G$4:$G$53,'SDA'!$A$4:$A$53,A40,'SDA'!$D$4:$D$53,"B")&gt;0,"B",IF(SUMIFS('SDA'!$G$4:$G$53,'SDA'!$A$4:$A$53,A40,'SDA'!$D$4:$D$53,"A")&gt;0,"A","")))))</f>
        <v/>
      </c>
      <c r="M40" s="4" t="n"/>
      <c r="N40" s="4" t="n"/>
      <c r="O40" s="17">
        <f>IF(A40="","",IF(L40="A",2.5,IF(L40="B",0.3,IF(L40="C",0.1,IF(L40="D",0.05,"")))))</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SUMIFS('SDA'!$G$4:$G$53,'SDA'!$A$4:$A$53,A41,'SDA'!$D$4:$D$53,"D")&gt;0,"D",IF(SUMIFS('SDA'!$G$4:$G$53,'SDA'!$A$4:$A$53,A41,'SDA'!$D$4:$D$53,"C")&gt;0,"C",IF(SUMIFS('SDA'!$G$4:$G$53,'SDA'!$A$4:$A$53,A41,'SDA'!$D$4:$D$53,"B")&gt;0,"B",IF(SUMIFS('SDA'!$G$4:$G$53,'SDA'!$A$4:$A$53,A41,'SDA'!$D$4:$D$53,"A")&gt;0,"A","")))))</f>
        <v/>
      </c>
      <c r="M41" s="4" t="n"/>
      <c r="N41" s="4" t="n"/>
      <c r="O41" s="17">
        <f>IF(A41="","",IF(L41="A",2.5,IF(L41="B",0.3,IF(L41="C",0.1,IF(L41="D",0.05,"")))))</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SUMIFS('SDA'!$G$4:$G$53,'SDA'!$A$4:$A$53,A42,'SDA'!$D$4:$D$53,"D")&gt;0,"D",IF(SUMIFS('SDA'!$G$4:$G$53,'SDA'!$A$4:$A$53,A42,'SDA'!$D$4:$D$53,"C")&gt;0,"C",IF(SUMIFS('SDA'!$G$4:$G$53,'SDA'!$A$4:$A$53,A42,'SDA'!$D$4:$D$53,"B")&gt;0,"B",IF(SUMIFS('SDA'!$G$4:$G$53,'SDA'!$A$4:$A$53,A42,'SDA'!$D$4:$D$53,"A")&gt;0,"A","")))))</f>
        <v/>
      </c>
      <c r="M42" s="4" t="n"/>
      <c r="N42" s="4" t="n"/>
      <c r="O42" s="17">
        <f>IF(A42="","",IF(L42="A",2.5,IF(L42="B",0.3,IF(L42="C",0.1,IF(L42="D",0.05,"")))))</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SUMIFS('SDA'!$G$4:$G$53,'SDA'!$A$4:$A$53,A43,'SDA'!$D$4:$D$53,"D")&gt;0,"D",IF(SUMIFS('SDA'!$G$4:$G$53,'SDA'!$A$4:$A$53,A43,'SDA'!$D$4:$D$53,"C")&gt;0,"C",IF(SUMIFS('SDA'!$G$4:$G$53,'SDA'!$A$4:$A$53,A43,'SDA'!$D$4:$D$53,"B")&gt;0,"B",IF(SUMIFS('SDA'!$G$4:$G$53,'SDA'!$A$4:$A$53,A43,'SDA'!$D$4:$D$53,"A")&gt;0,"A","")))))</f>
        <v/>
      </c>
      <c r="M43" s="4" t="n"/>
      <c r="N43" s="4" t="n"/>
      <c r="O43" s="17">
        <f>IF(A43="","",IF(L43="A",2.5,IF(L43="B",0.3,IF(L43="C",0.1,IF(L43="D",0.05,"")))))</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SUMIFS('SDA'!$G$4:$G$53,'SDA'!$A$4:$A$53,A44,'SDA'!$D$4:$D$53,"D")&gt;0,"D",IF(SUMIFS('SDA'!$G$4:$G$53,'SDA'!$A$4:$A$53,A44,'SDA'!$D$4:$D$53,"C")&gt;0,"C",IF(SUMIFS('SDA'!$G$4:$G$53,'SDA'!$A$4:$A$53,A44,'SDA'!$D$4:$D$53,"B")&gt;0,"B",IF(SUMIFS('SDA'!$G$4:$G$53,'SDA'!$A$4:$A$53,A44,'SDA'!$D$4:$D$53,"A")&gt;0,"A","")))))</f>
        <v/>
      </c>
      <c r="M44" s="4" t="n"/>
      <c r="N44" s="4" t="n"/>
      <c r="O44" s="17">
        <f>IF(A44="","",IF(L44="A",2.5,IF(L44="B",0.3,IF(L44="C",0.1,IF(L44="D",0.05,"")))))</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2026-10-28T18:24:16Z</dcterms:created>
  <dcterms:modified xmlns:dcterms="http://purl.org/dc/terms/" xmlns:xsi="http://www.w3.org/2001/XMLSchema-instance" xsi:type="dcterms:W3CDTF">2026-10-28T18:24:17Z</dcterms:modified>
</cp:coreProperties>
</file>