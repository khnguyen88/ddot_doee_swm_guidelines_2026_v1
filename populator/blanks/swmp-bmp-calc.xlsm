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https://cwp.sharepoint.com/projects/Documents/T-18-015/2-8 Revision of Calculators and Spreadsheets/"/>
    </mc:Choice>
  </mc:AlternateContent>
  <xr:revisionPtr revIDLastSave="0" documentId="8_{A970EDAB-A638-4E81-8DED-DB8FB5D12A0E}" xr6:coauthVersionLast="45" xr6:coauthVersionMax="45" xr10:uidLastSave="{00000000-0000-0000-0000-000000000000}"/>
  <bookViews>
    <workbookView xWindow="-108" yWindow="-108" windowWidth="23256" windowHeight="12576" tabRatio="732" xr2:uid="{45E8549D-C6D1-440D-8971-9B494A46EFB3}"/>
  </bookViews>
  <sheets>
    <sheet name="Instructions" sheetId="15" r:id="rId1"/>
    <sheet name="3.2 Green Roof" sheetId="1" r:id="rId2"/>
    <sheet name="3.3 Rainwater Harvesting" sheetId="5" r:id="rId3"/>
    <sheet name="3.4 Impervious Surface Discon." sheetId="6" r:id="rId4"/>
    <sheet name="3.5 Permeable Pavement" sheetId="23" r:id="rId5"/>
    <sheet name="3.6 Bioretention" sheetId="2" r:id="rId6"/>
    <sheet name="3.8 Infiltration" sheetId="21" r:id="rId7"/>
    <sheet name="3.9 O-1 Grass Channel" sheetId="20" r:id="rId8"/>
    <sheet name="3.9 O-2 Dry Swale" sheetId="24" r:id="rId9"/>
    <sheet name="3.9 O-3 Wet Swale" sheetId="11" r:id="rId10"/>
    <sheet name="3.10, 3.11 SW Ponds + Wetlands" sheetId="19" r:id="rId11"/>
    <sheet name="3.14 Tree Planting Preservation" sheetId="13" r:id="rId12"/>
  </sheets>
  <definedNames>
    <definedName name="_xlnm.Print_Area" localSheetId="10">'3.10, 3.11 SW Ponds + Wetlands'!$B$2:$E$32</definedName>
    <definedName name="_xlnm.Print_Area" localSheetId="11">'3.14 Tree Planting Preservation'!$B$2:$G$43</definedName>
    <definedName name="_xlnm.Print_Area" localSheetId="1">'3.2 Green Roof'!$B$2:$E$37</definedName>
    <definedName name="_xlnm.Print_Area" localSheetId="3">'3.4 Impervious Surface Discon.'!$B$2:$E$30</definedName>
    <definedName name="_xlnm.Print_Area" localSheetId="4">'3.5 Permeable Pavement'!$B$2:$E$68</definedName>
    <definedName name="_xlnm.Print_Area" localSheetId="5">'3.6 Bioretention'!$B$2:$E$75</definedName>
    <definedName name="_xlnm.Print_Area" localSheetId="6">'3.8 Infiltration'!$B$2:$E$51</definedName>
    <definedName name="_xlnm.Print_Area" localSheetId="7">'3.9 O-1 Grass Channel'!$B$2:$F$27</definedName>
    <definedName name="_xlnm.Print_Area" localSheetId="8">'3.9 O-2 Dry Swale'!$B$2:$E$39</definedName>
    <definedName name="_xlnm.Print_Area" localSheetId="9">'3.9 O-3 Wet Swale'!$B$2:$G$25</definedName>
    <definedName name="_xlnm.Print_Area" localSheetId="0">Instructions!$B$2:$M$41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6" i="23" l="1"/>
  <c r="C35" i="1" l="1"/>
  <c r="G42" i="13" l="1"/>
  <c r="F42" i="13"/>
  <c r="C36" i="1"/>
  <c r="C31" i="24" l="1"/>
  <c r="C37" i="24" s="1"/>
  <c r="C38" i="24" s="1"/>
  <c r="C39" i="24" s="1"/>
  <c r="C65" i="23"/>
  <c r="C63" i="23"/>
  <c r="C64" i="23" s="1"/>
  <c r="C47" i="21"/>
  <c r="C48" i="21" s="1"/>
  <c r="C60" i="2"/>
  <c r="C67" i="2" s="1"/>
  <c r="C71" i="2"/>
  <c r="C73" i="2"/>
  <c r="C72" i="2"/>
  <c r="C74" i="2"/>
  <c r="C75" i="2" s="1"/>
  <c r="E20" i="11"/>
  <c r="F20" i="11" s="1"/>
  <c r="G20" i="11" s="1"/>
  <c r="E26" i="20"/>
  <c r="F26" i="20" s="1"/>
  <c r="E25" i="20"/>
  <c r="F25" i="20" s="1"/>
  <c r="E23" i="20"/>
  <c r="F23" i="20" s="1"/>
  <c r="E24" i="20"/>
  <c r="F24" i="20" s="1"/>
  <c r="E22" i="20"/>
  <c r="F22" i="20" s="1"/>
  <c r="E21" i="11"/>
  <c r="F21" i="11" s="1"/>
  <c r="G21" i="11" s="1"/>
  <c r="E22" i="11"/>
  <c r="F22" i="11" s="1"/>
  <c r="G22" i="11" s="1"/>
  <c r="E23" i="11"/>
  <c r="F23" i="11" s="1"/>
  <c r="G23" i="11" s="1"/>
  <c r="E24" i="11"/>
  <c r="F24" i="11" s="1"/>
  <c r="G24" i="11" s="1"/>
  <c r="C49" i="21"/>
  <c r="C50" i="21" s="1"/>
  <c r="C51" i="21" s="1"/>
  <c r="D27" i="20"/>
  <c r="D25" i="11"/>
  <c r="C25" i="11"/>
  <c r="D29" i="19"/>
  <c r="E29" i="19" s="1"/>
  <c r="D30" i="19"/>
  <c r="E30" i="19"/>
  <c r="D31" i="19"/>
  <c r="E31" i="19" s="1"/>
  <c r="D28" i="19"/>
  <c r="E28" i="19" s="1"/>
  <c r="D27" i="19"/>
  <c r="C32" i="19"/>
  <c r="G39" i="13"/>
  <c r="G40" i="13"/>
  <c r="G41" i="13"/>
  <c r="F39" i="13"/>
  <c r="F40" i="13"/>
  <c r="F41" i="13"/>
  <c r="G38" i="13"/>
  <c r="F38" i="13"/>
  <c r="G37" i="13"/>
  <c r="F37" i="13"/>
  <c r="C43" i="13"/>
  <c r="C37" i="1"/>
  <c r="C30" i="6"/>
  <c r="E28" i="6"/>
  <c r="E27" i="6"/>
  <c r="E29" i="6"/>
  <c r="E26" i="6"/>
  <c r="D29" i="6"/>
  <c r="D28" i="6"/>
  <c r="D27" i="6"/>
  <c r="D26" i="6"/>
  <c r="D30" i="6" s="1"/>
  <c r="E30" i="6" l="1"/>
  <c r="C67" i="23"/>
  <c r="C68" i="23" s="1"/>
  <c r="G43" i="13"/>
  <c r="F43" i="13"/>
  <c r="D32" i="19"/>
  <c r="E25" i="11"/>
  <c r="F25" i="11"/>
  <c r="F27" i="20"/>
  <c r="G25" i="11"/>
  <c r="E27" i="19"/>
  <c r="E32" i="19" s="1"/>
  <c r="E27" i="20"/>
</calcChain>
</file>

<file path=xl/sharedStrings.xml><?xml version="1.0" encoding="utf-8"?>
<sst xmlns="http://schemas.openxmlformats.org/spreadsheetml/2006/main" count="270" uniqueCount="145">
  <si>
    <t>Do Not Delete</t>
  </si>
  <si>
    <t>Irrigated</t>
  </si>
  <si>
    <t>Non-irrigated</t>
  </si>
  <si>
    <t xml:space="preserve"> </t>
  </si>
  <si>
    <t>Variable</t>
  </si>
  <si>
    <t>Value</t>
  </si>
  <si>
    <t>Units</t>
  </si>
  <si>
    <t>Notes on use</t>
  </si>
  <si>
    <t>SA</t>
  </si>
  <si>
    <r>
      <t>ft</t>
    </r>
    <r>
      <rPr>
        <vertAlign val="superscript"/>
        <sz val="11"/>
        <color theme="1"/>
        <rFont val="Calibri"/>
        <family val="2"/>
        <scheme val="minor"/>
      </rPr>
      <t>2</t>
    </r>
  </si>
  <si>
    <t>Total green roof area</t>
  </si>
  <si>
    <t>d</t>
  </si>
  <si>
    <t>in</t>
  </si>
  <si>
    <t>Minimum of 3 inches</t>
  </si>
  <si>
    <r>
      <t>ŋ</t>
    </r>
    <r>
      <rPr>
        <b/>
        <i/>
        <vertAlign val="subscript"/>
        <sz val="11"/>
        <color theme="1"/>
        <rFont val="Calibri"/>
        <family val="2"/>
        <scheme val="minor"/>
      </rPr>
      <t>1</t>
    </r>
  </si>
  <si>
    <t>unitless</t>
  </si>
  <si>
    <t>If unknown, enter 0.10 as a baseline default.</t>
  </si>
  <si>
    <t>DL</t>
  </si>
  <si>
    <t>If drainage and media layers are combined, enter 0.</t>
  </si>
  <si>
    <r>
      <t>ŋ</t>
    </r>
    <r>
      <rPr>
        <b/>
        <i/>
        <vertAlign val="subscript"/>
        <sz val="11"/>
        <color theme="1"/>
        <rFont val="Calibri"/>
        <family val="2"/>
        <scheme val="minor"/>
      </rPr>
      <t>2</t>
    </r>
  </si>
  <si>
    <t>If unknown, enter 0.0 as a baseline default.</t>
  </si>
  <si>
    <t>Sv</t>
  </si>
  <si>
    <r>
      <t>ft</t>
    </r>
    <r>
      <rPr>
        <vertAlign val="superscript"/>
        <sz val="11"/>
        <color theme="1"/>
        <rFont val="Calibri"/>
        <family val="2"/>
        <scheme val="minor"/>
      </rPr>
      <t>3</t>
    </r>
  </si>
  <si>
    <t>Irrigation</t>
  </si>
  <si>
    <t>n/a</t>
  </si>
  <si>
    <t>Select irrigation type from drop down list.</t>
  </si>
  <si>
    <t>Rv</t>
  </si>
  <si>
    <t>Calculated based on irrigation type selected.</t>
  </si>
  <si>
    <t>gallons</t>
  </si>
  <si>
    <t>Converted from cubic feet.</t>
  </si>
  <si>
    <t>3.3 RAINWATER HARVESTING</t>
  </si>
  <si>
    <t xml:space="preserve">Download and complete the 2019 Rainwater Harvesting Retention Calculator from: </t>
  </si>
  <si>
    <t>https://doee.dc.gov/swguidebook</t>
  </si>
  <si>
    <t>Type</t>
  </si>
  <si>
    <r>
      <t>SA</t>
    </r>
    <r>
      <rPr>
        <b/>
        <vertAlign val="subscript"/>
        <sz val="11"/>
        <color theme="1"/>
        <rFont val="Calibri"/>
        <family val="2"/>
        <scheme val="minor"/>
      </rPr>
      <t>p</t>
    </r>
    <r>
      <rPr>
        <b/>
        <sz val="11"/>
        <color theme="1"/>
        <rFont val="Calibri"/>
        <family val="2"/>
        <scheme val="minor"/>
      </rPr>
      <t xml:space="preserve"> (ft</t>
    </r>
    <r>
      <rPr>
        <b/>
        <vertAlign val="superscript"/>
        <sz val="11"/>
        <color theme="1"/>
        <rFont val="Calibri"/>
        <family val="2"/>
        <scheme val="minor"/>
      </rPr>
      <t>2</t>
    </r>
    <r>
      <rPr>
        <b/>
        <sz val="11"/>
        <color theme="1"/>
        <rFont val="Calibri"/>
        <family val="2"/>
        <scheme val="minor"/>
      </rPr>
      <t>)</t>
    </r>
  </si>
  <si>
    <r>
      <t>Rv (ft</t>
    </r>
    <r>
      <rPr>
        <b/>
        <vertAlign val="superscript"/>
        <sz val="11"/>
        <color theme="1"/>
        <rFont val="Calibri"/>
        <family val="2"/>
        <scheme val="minor"/>
      </rPr>
      <t>3</t>
    </r>
    <r>
      <rPr>
        <b/>
        <sz val="11"/>
        <color theme="1"/>
        <rFont val="Calibri"/>
        <family val="2"/>
        <scheme val="minor"/>
      </rPr>
      <t>)</t>
    </r>
  </si>
  <si>
    <t>Rv (gallons)</t>
  </si>
  <si>
    <t>D-1 (A/B)</t>
  </si>
  <si>
    <t>D-1 (C/D)</t>
  </si>
  <si>
    <t>D-2</t>
  </si>
  <si>
    <t>D-3</t>
  </si>
  <si>
    <t>Totals</t>
  </si>
  <si>
    <t>Enhanced</t>
  </si>
  <si>
    <t>Underdrained Enhanced</t>
  </si>
  <si>
    <t>Standard</t>
  </si>
  <si>
    <t>Design Type</t>
  </si>
  <si>
    <t>Select</t>
  </si>
  <si>
    <t>From drop down list, select design type</t>
  </si>
  <si>
    <r>
      <t>A</t>
    </r>
    <r>
      <rPr>
        <b/>
        <i/>
        <vertAlign val="subscript"/>
        <sz val="11"/>
        <color theme="1"/>
        <rFont val="Calibri"/>
        <family val="2"/>
        <scheme val="minor"/>
      </rPr>
      <t>p</t>
    </r>
  </si>
  <si>
    <t>Total permeable pavement surface area</t>
  </si>
  <si>
    <r>
      <t>d</t>
    </r>
    <r>
      <rPr>
        <b/>
        <i/>
        <vertAlign val="subscript"/>
        <sz val="11"/>
        <color theme="1"/>
        <rFont val="Calibri"/>
        <family val="2"/>
        <scheme val="minor"/>
      </rPr>
      <t>p</t>
    </r>
  </si>
  <si>
    <t>ft</t>
  </si>
  <si>
    <t>The reservoir layer depth (includes infiltration sump depth for underdrained Enhanced designs)</t>
  </si>
  <si>
    <r>
      <t>d</t>
    </r>
    <r>
      <rPr>
        <b/>
        <i/>
        <vertAlign val="subscript"/>
        <sz val="11"/>
        <color theme="1"/>
        <rFont val="Calibri"/>
        <family val="2"/>
        <scheme val="minor"/>
      </rPr>
      <t>sump</t>
    </r>
  </si>
  <si>
    <t>For Underdrained Enhanced designs , enter depth of infiltration sump.</t>
  </si>
  <si>
    <r>
      <t>ŋ</t>
    </r>
    <r>
      <rPr>
        <b/>
        <i/>
        <vertAlign val="subscript"/>
        <sz val="11"/>
        <color theme="1"/>
        <rFont val="Calibri"/>
        <family val="2"/>
        <scheme val="minor"/>
      </rPr>
      <t>r</t>
    </r>
  </si>
  <si>
    <t>0.4 for No. 57 stone</t>
  </si>
  <si>
    <r>
      <t>K</t>
    </r>
    <r>
      <rPr>
        <b/>
        <i/>
        <vertAlign val="subscript"/>
        <sz val="11"/>
        <color theme="1"/>
        <rFont val="Calibri"/>
        <family val="2"/>
        <scheme val="minor"/>
      </rPr>
      <t>sat</t>
    </r>
  </si>
  <si>
    <t>ft/day</t>
  </si>
  <si>
    <t xml:space="preserve">Field-verified. With impermeable liners, enter 0. </t>
  </si>
  <si>
    <r>
      <t>t</t>
    </r>
    <r>
      <rPr>
        <b/>
        <i/>
        <vertAlign val="subscript"/>
        <sz val="11"/>
        <color theme="1"/>
        <rFont val="Calibri"/>
        <family val="2"/>
        <scheme val="minor"/>
      </rPr>
      <t>f</t>
    </r>
  </si>
  <si>
    <t>days</t>
  </si>
  <si>
    <t>Assume 0.083 days (2 hours).</t>
  </si>
  <si>
    <r>
      <t>t</t>
    </r>
    <r>
      <rPr>
        <b/>
        <i/>
        <vertAlign val="subscript"/>
        <sz val="11"/>
        <color theme="1"/>
        <rFont val="Calibri"/>
        <family val="2"/>
        <scheme val="minor"/>
      </rPr>
      <t>d</t>
    </r>
  </si>
  <si>
    <t>Enhanced design volumes or Underdrained Enhanced sump volumes must drain within 48 hours. Calculated based on Design Type selected.</t>
  </si>
  <si>
    <r>
      <t>Check t</t>
    </r>
    <r>
      <rPr>
        <b/>
        <i/>
        <vertAlign val="subscript"/>
        <sz val="11"/>
        <color theme="1"/>
        <rFont val="Calibri"/>
        <family val="2"/>
        <scheme val="minor"/>
      </rPr>
      <t>d</t>
    </r>
  </si>
  <si>
    <t>Determines if drawdown time is less than 48 hours.</t>
  </si>
  <si>
    <r>
      <t>ft</t>
    </r>
    <r>
      <rPr>
        <vertAlign val="superscript"/>
        <sz val="11"/>
        <rFont val="Calibri"/>
        <family val="2"/>
        <scheme val="minor"/>
      </rPr>
      <t>3</t>
    </r>
  </si>
  <si>
    <t>Calculated based on design type selected.</t>
  </si>
  <si>
    <t>Enhanced with Underdrain</t>
  </si>
  <si>
    <t>From drop down list, select type of bioretention.</t>
  </si>
  <si>
    <r>
      <t>SA</t>
    </r>
    <r>
      <rPr>
        <b/>
        <i/>
        <vertAlign val="subscript"/>
        <sz val="11"/>
        <color rgb="FF000000"/>
        <rFont val="Calibri"/>
        <family val="2"/>
        <scheme val="minor"/>
      </rPr>
      <t>top</t>
    </r>
    <r>
      <rPr>
        <b/>
        <sz val="11"/>
        <color rgb="FF000000"/>
        <rFont val="Calibri"/>
        <family val="2"/>
        <scheme val="minor"/>
      </rPr>
      <t xml:space="preserve"> </t>
    </r>
  </si>
  <si>
    <r>
      <t>SA</t>
    </r>
    <r>
      <rPr>
        <b/>
        <i/>
        <vertAlign val="subscript"/>
        <sz val="11"/>
        <color rgb="FF000000"/>
        <rFont val="Calibri"/>
        <family val="2"/>
        <scheme val="minor"/>
      </rPr>
      <t>bottom</t>
    </r>
    <r>
      <rPr>
        <b/>
        <sz val="11"/>
        <color rgb="FF000000"/>
        <rFont val="Calibri"/>
        <family val="2"/>
        <scheme val="minor"/>
      </rPr>
      <t xml:space="preserve"> </t>
    </r>
  </si>
  <si>
    <r>
      <t>ft</t>
    </r>
    <r>
      <rPr>
        <vertAlign val="superscript"/>
        <sz val="11"/>
        <color rgb="FF000000"/>
        <rFont val="Calibri"/>
        <family val="2"/>
        <scheme val="minor"/>
      </rPr>
      <t>2</t>
    </r>
  </si>
  <si>
    <r>
      <t>SA</t>
    </r>
    <r>
      <rPr>
        <b/>
        <i/>
        <vertAlign val="subscript"/>
        <sz val="11"/>
        <color rgb="FF000000"/>
        <rFont val="Calibri"/>
        <family val="2"/>
        <scheme val="minor"/>
      </rPr>
      <t>average</t>
    </r>
  </si>
  <si>
    <t>Typical average</t>
  </si>
  <si>
    <r>
      <t>d</t>
    </r>
    <r>
      <rPr>
        <b/>
        <i/>
        <vertAlign val="subscript"/>
        <sz val="11"/>
        <color rgb="FF000000"/>
        <rFont val="Calibri"/>
        <family val="2"/>
        <scheme val="minor"/>
      </rPr>
      <t>media</t>
    </r>
  </si>
  <si>
    <r>
      <t>η</t>
    </r>
    <r>
      <rPr>
        <b/>
        <i/>
        <vertAlign val="subscript"/>
        <sz val="11"/>
        <color rgb="FF000000"/>
        <rFont val="Calibri"/>
        <family val="2"/>
        <scheme val="minor"/>
      </rPr>
      <t>media</t>
    </r>
    <r>
      <rPr>
        <b/>
        <sz val="11"/>
        <color rgb="FF000000"/>
        <rFont val="Calibri"/>
        <family val="2"/>
        <scheme val="minor"/>
      </rPr>
      <t xml:space="preserve"> </t>
    </r>
  </si>
  <si>
    <t>Typically 0.25</t>
  </si>
  <si>
    <r>
      <t>d</t>
    </r>
    <r>
      <rPr>
        <b/>
        <i/>
        <vertAlign val="subscript"/>
        <sz val="11"/>
        <color rgb="FF000000"/>
        <rFont val="Calibri"/>
        <family val="2"/>
        <scheme val="minor"/>
      </rPr>
      <t>gravel</t>
    </r>
  </si>
  <si>
    <r>
      <t>d</t>
    </r>
    <r>
      <rPr>
        <b/>
        <i/>
        <vertAlign val="subscript"/>
        <sz val="11"/>
        <color rgb="FF000000"/>
        <rFont val="Calibri"/>
        <family val="2"/>
        <scheme val="minor"/>
      </rPr>
      <t>sump</t>
    </r>
  </si>
  <si>
    <t>Depth of stone below underdrain (sump); only for Enhanced with Underdrain</t>
  </si>
  <si>
    <r>
      <t>η</t>
    </r>
    <r>
      <rPr>
        <b/>
        <i/>
        <vertAlign val="subscript"/>
        <sz val="11"/>
        <color rgb="FF000000"/>
        <rFont val="Calibri"/>
        <family val="2"/>
        <scheme val="minor"/>
      </rPr>
      <t>gravel</t>
    </r>
    <r>
      <rPr>
        <b/>
        <sz val="11"/>
        <color rgb="FF000000"/>
        <rFont val="Calibri"/>
        <family val="2"/>
        <scheme val="minor"/>
      </rPr>
      <t xml:space="preserve">  </t>
    </r>
  </si>
  <si>
    <t>Typically 0.40</t>
  </si>
  <si>
    <r>
      <t>d</t>
    </r>
    <r>
      <rPr>
        <b/>
        <i/>
        <vertAlign val="subscript"/>
        <sz val="11"/>
        <color rgb="FF000000"/>
        <rFont val="Calibri"/>
        <family val="2"/>
        <scheme val="minor"/>
      </rPr>
      <t>ponding</t>
    </r>
    <r>
      <rPr>
        <b/>
        <sz val="11"/>
        <color rgb="FF000000"/>
        <rFont val="Calibri"/>
        <family val="2"/>
        <scheme val="minor"/>
      </rPr>
      <t xml:space="preserve"> </t>
    </r>
  </si>
  <si>
    <t>Maximum depth is 1.5 ft; minimum depth is 0.25 ft.</t>
  </si>
  <si>
    <r>
      <t>ft</t>
    </r>
    <r>
      <rPr>
        <vertAlign val="superscript"/>
        <sz val="11"/>
        <color rgb="FF000000"/>
        <rFont val="Calibri"/>
        <family val="2"/>
        <scheme val="minor"/>
      </rPr>
      <t>3</t>
    </r>
  </si>
  <si>
    <r>
      <t>K</t>
    </r>
    <r>
      <rPr>
        <b/>
        <i/>
        <vertAlign val="subscript"/>
        <sz val="11"/>
        <color rgb="FF000000"/>
        <rFont val="Calibri"/>
        <family val="2"/>
        <scheme val="minor"/>
      </rPr>
      <t>sat</t>
    </r>
    <r>
      <rPr>
        <b/>
        <sz val="11"/>
        <color rgb="FF000000"/>
        <rFont val="Calibri"/>
        <family val="2"/>
        <scheme val="minor"/>
      </rPr>
      <t xml:space="preserve"> </t>
    </r>
  </si>
  <si>
    <t>Must exceed 0.1 ft/day</t>
  </si>
  <si>
    <r>
      <t>t</t>
    </r>
    <r>
      <rPr>
        <b/>
        <i/>
        <vertAlign val="subscript"/>
        <sz val="11"/>
        <color rgb="FF000000"/>
        <rFont val="Calibri"/>
        <family val="2"/>
        <scheme val="minor"/>
      </rPr>
      <t>d</t>
    </r>
  </si>
  <si>
    <t>Must be within 3 days</t>
  </si>
  <si>
    <r>
      <t>n</t>
    </r>
    <r>
      <rPr>
        <b/>
        <i/>
        <vertAlign val="subscript"/>
        <sz val="11"/>
        <color rgb="FF000000"/>
        <rFont val="Calibri"/>
        <family val="2"/>
        <scheme val="minor"/>
      </rPr>
      <t>r</t>
    </r>
  </si>
  <si>
    <t>Assumed to be 0.40</t>
  </si>
  <si>
    <t>Maximum depth of stone below underdrain (sump) allowed.</t>
  </si>
  <si>
    <r>
      <t>Sv</t>
    </r>
    <r>
      <rPr>
        <b/>
        <i/>
        <vertAlign val="subscript"/>
        <sz val="11"/>
        <color rgb="FF000000"/>
        <rFont val="Calibri"/>
        <family val="2"/>
        <scheme val="minor"/>
      </rPr>
      <t>infiltrate</t>
    </r>
  </si>
  <si>
    <r>
      <t>Check for Sv</t>
    </r>
    <r>
      <rPr>
        <b/>
        <i/>
        <vertAlign val="subscript"/>
        <sz val="11"/>
        <color rgb="FF000000"/>
        <rFont val="Calibri"/>
        <family val="2"/>
        <scheme val="minor"/>
      </rPr>
      <t>infiltrate</t>
    </r>
  </si>
  <si>
    <t>N/A</t>
  </si>
  <si>
    <r>
      <t>Sv</t>
    </r>
    <r>
      <rPr>
        <vertAlign val="subscript"/>
        <sz val="11"/>
        <color rgb="FFFF0000"/>
        <rFont val="Calibri"/>
        <family val="2"/>
        <scheme val="minor"/>
      </rPr>
      <t>infltrate</t>
    </r>
    <r>
      <rPr>
        <sz val="11"/>
        <color rgb="FFFF0000"/>
        <rFont val="Calibri"/>
        <family val="2"/>
        <scheme val="minor"/>
      </rPr>
      <t xml:space="preserve"> must be greater than or equal to Sv to ensure infiltration within 72 hours.</t>
    </r>
  </si>
  <si>
    <t>Calculated based on type selected.</t>
  </si>
  <si>
    <t>Trench</t>
  </si>
  <si>
    <t>Basin</t>
  </si>
  <si>
    <r>
      <t>η</t>
    </r>
    <r>
      <rPr>
        <b/>
        <i/>
        <vertAlign val="subscript"/>
        <sz val="11"/>
        <color rgb="FF000000"/>
        <rFont val="Calibri"/>
        <family val="2"/>
        <scheme val="minor"/>
      </rPr>
      <t>r</t>
    </r>
    <r>
      <rPr>
        <b/>
        <i/>
        <sz val="11"/>
        <color rgb="FF000000"/>
        <rFont val="Calibri"/>
        <family val="2"/>
        <scheme val="minor"/>
      </rPr>
      <t xml:space="preserve"> </t>
    </r>
  </si>
  <si>
    <r>
      <t>K</t>
    </r>
    <r>
      <rPr>
        <b/>
        <i/>
        <vertAlign val="subscript"/>
        <sz val="11"/>
        <color rgb="FF000000"/>
        <rFont val="Calibri"/>
        <family val="2"/>
        <scheme val="minor"/>
      </rPr>
      <t>sat</t>
    </r>
    <r>
      <rPr>
        <b/>
        <i/>
        <sz val="11"/>
        <color rgb="FF000000"/>
        <rFont val="Calibri"/>
        <family val="2"/>
        <scheme val="minor"/>
      </rPr>
      <t xml:space="preserve"> </t>
    </r>
  </si>
  <si>
    <r>
      <t>t</t>
    </r>
    <r>
      <rPr>
        <b/>
        <i/>
        <vertAlign val="subscript"/>
        <sz val="11"/>
        <color rgb="FF000000"/>
        <rFont val="Calibri"/>
        <family val="2"/>
        <scheme val="minor"/>
      </rPr>
      <t>f</t>
    </r>
  </si>
  <si>
    <t>Typically 2 hours, or 0.083 days</t>
  </si>
  <si>
    <t>Normally 3 days</t>
  </si>
  <si>
    <t>Selection</t>
  </si>
  <si>
    <t>From drop down list, select infiltration type</t>
  </si>
  <si>
    <r>
      <t>d</t>
    </r>
    <r>
      <rPr>
        <b/>
        <i/>
        <vertAlign val="subscript"/>
        <sz val="11"/>
        <color theme="1"/>
        <rFont val="Calibri"/>
        <family val="2"/>
        <scheme val="minor"/>
      </rPr>
      <t>max</t>
    </r>
  </si>
  <si>
    <t>Calculated based on infiltration type selected.</t>
  </si>
  <si>
    <r>
      <t>d</t>
    </r>
    <r>
      <rPr>
        <b/>
        <i/>
        <vertAlign val="subscript"/>
        <sz val="11"/>
        <color theme="1"/>
        <rFont val="Calibri"/>
        <family val="2"/>
        <scheme val="minor"/>
      </rPr>
      <t>max</t>
    </r>
    <r>
      <rPr>
        <b/>
        <i/>
        <sz val="11"/>
        <color theme="1"/>
        <rFont val="Calibri"/>
        <family val="2"/>
        <scheme val="minor"/>
      </rPr>
      <t xml:space="preserve"> check</t>
    </r>
  </si>
  <si>
    <t>Check</t>
  </si>
  <si>
    <t>Check to ensure depth is less than or equal to maximum allowable depth based on infiltration type seleced.</t>
  </si>
  <si>
    <t>Yes</t>
  </si>
  <si>
    <t>No</t>
  </si>
  <si>
    <t>O-1</t>
  </si>
  <si>
    <t>Amended? (Select)</t>
  </si>
  <si>
    <r>
      <t>Sv (ft</t>
    </r>
    <r>
      <rPr>
        <b/>
        <vertAlign val="superscript"/>
        <sz val="11"/>
        <color theme="1"/>
        <rFont val="Calibri"/>
        <family val="2"/>
        <scheme val="minor"/>
      </rPr>
      <t>3</t>
    </r>
    <r>
      <rPr>
        <b/>
        <sz val="11"/>
        <color theme="1"/>
        <rFont val="Calibri"/>
        <family val="2"/>
        <scheme val="minor"/>
      </rPr>
      <t>)</t>
    </r>
  </si>
  <si>
    <t>O-3</t>
  </si>
  <si>
    <r>
      <t>S</t>
    </r>
    <r>
      <rPr>
        <b/>
        <vertAlign val="subscript"/>
        <sz val="11"/>
        <color theme="1"/>
        <rFont val="Calibri"/>
        <family val="2"/>
        <scheme val="minor"/>
      </rPr>
      <t>pool</t>
    </r>
    <r>
      <rPr>
        <b/>
        <sz val="11"/>
        <color theme="1"/>
        <rFont val="Calibri"/>
        <family val="2"/>
        <scheme val="minor"/>
      </rPr>
      <t>(ft</t>
    </r>
    <r>
      <rPr>
        <b/>
        <vertAlign val="superscript"/>
        <sz val="11"/>
        <color theme="1"/>
        <rFont val="Calibri"/>
        <family val="2"/>
        <scheme val="minor"/>
      </rPr>
      <t>3</t>
    </r>
    <r>
      <rPr>
        <b/>
        <sz val="11"/>
        <color theme="1"/>
        <rFont val="Calibri"/>
        <family val="2"/>
        <scheme val="minor"/>
      </rPr>
      <t>)</t>
    </r>
  </si>
  <si>
    <r>
      <t>ED</t>
    </r>
    <r>
      <rPr>
        <b/>
        <vertAlign val="subscript"/>
        <sz val="11"/>
        <color theme="1"/>
        <rFont val="Calibri"/>
        <family val="2"/>
        <scheme val="minor"/>
      </rPr>
      <t xml:space="preserve">24hr </t>
    </r>
    <r>
      <rPr>
        <b/>
        <sz val="11"/>
        <color theme="1"/>
        <rFont val="Calibri"/>
        <family val="2"/>
        <scheme val="minor"/>
      </rPr>
      <t>(ft</t>
    </r>
    <r>
      <rPr>
        <b/>
        <vertAlign val="superscript"/>
        <sz val="11"/>
        <color theme="1"/>
        <rFont val="Calibri"/>
        <family val="2"/>
        <scheme val="minor"/>
      </rPr>
      <t>3</t>
    </r>
    <r>
      <rPr>
        <b/>
        <sz val="11"/>
        <color theme="1"/>
        <rFont val="Calibri"/>
        <family val="2"/>
        <scheme val="minor"/>
      </rPr>
      <t>)</t>
    </r>
  </si>
  <si>
    <t>C-1</t>
  </si>
  <si>
    <t>C-2</t>
  </si>
  <si>
    <t>C-3</t>
  </si>
  <si>
    <t>W-1</t>
  </si>
  <si>
    <t>W-2</t>
  </si>
  <si>
    <r>
      <t>R</t>
    </r>
    <r>
      <rPr>
        <vertAlign val="subscript"/>
        <sz val="12"/>
        <color theme="1"/>
        <rFont val="Times New Roman"/>
        <family val="1"/>
      </rPr>
      <t xml:space="preserve">v </t>
    </r>
    <r>
      <rPr>
        <sz val="12"/>
        <color theme="1"/>
        <rFont val="Times New Roman"/>
        <family val="1"/>
      </rPr>
      <t>(ft</t>
    </r>
    <r>
      <rPr>
        <vertAlign val="superscript"/>
        <sz val="12"/>
        <color theme="1"/>
        <rFont val="Times New Roman"/>
        <family val="1"/>
      </rPr>
      <t>3</t>
    </r>
    <r>
      <rPr>
        <sz val="12"/>
        <color theme="1"/>
        <rFont val="Times New Roman"/>
        <family val="1"/>
      </rPr>
      <t>)</t>
    </r>
  </si>
  <si>
    <t>n</t>
  </si>
  <si>
    <r>
      <t>Rv</t>
    </r>
    <r>
      <rPr>
        <b/>
        <vertAlign val="subscript"/>
        <sz val="11"/>
        <color theme="1"/>
        <rFont val="Calibri"/>
        <family val="2"/>
        <scheme val="minor"/>
      </rPr>
      <t>type</t>
    </r>
    <r>
      <rPr>
        <b/>
        <sz val="11"/>
        <color theme="1"/>
        <rFont val="Calibri"/>
        <family val="2"/>
        <scheme val="minor"/>
      </rPr>
      <t xml:space="preserve"> (ft</t>
    </r>
    <r>
      <rPr>
        <b/>
        <vertAlign val="superscript"/>
        <sz val="11"/>
        <color theme="1"/>
        <rFont val="Calibri"/>
        <family val="2"/>
        <scheme val="minor"/>
      </rPr>
      <t>3</t>
    </r>
    <r>
      <rPr>
        <b/>
        <sz val="11"/>
        <color theme="1"/>
        <rFont val="Calibri"/>
        <family val="2"/>
        <scheme val="minor"/>
      </rPr>
      <t>)</t>
    </r>
  </si>
  <si>
    <r>
      <t>Rv</t>
    </r>
    <r>
      <rPr>
        <b/>
        <vertAlign val="subscript"/>
        <sz val="11"/>
        <color theme="1"/>
        <rFont val="Calibri"/>
        <family val="2"/>
        <scheme val="minor"/>
      </rPr>
      <t>type</t>
    </r>
    <r>
      <rPr>
        <b/>
        <sz val="11"/>
        <color theme="1"/>
        <rFont val="Calibri"/>
        <family val="2"/>
        <scheme val="minor"/>
      </rPr>
      <t xml:space="preserve"> (gallons)</t>
    </r>
  </si>
  <si>
    <r>
      <t>T-1</t>
    </r>
    <r>
      <rPr>
        <b/>
        <vertAlign val="subscript"/>
        <sz val="11"/>
        <color rgb="FF000000"/>
        <rFont val="Calibri"/>
        <family val="2"/>
        <scheme val="minor"/>
      </rPr>
      <t>SMALL</t>
    </r>
    <r>
      <rPr>
        <sz val="11"/>
        <color rgb="FF000000"/>
        <rFont val="Calibri"/>
        <family val="2"/>
        <scheme val="minor"/>
      </rPr>
      <t xml:space="preserve"> </t>
    </r>
  </si>
  <si>
    <r>
      <t>T-1</t>
    </r>
    <r>
      <rPr>
        <b/>
        <vertAlign val="subscript"/>
        <sz val="11"/>
        <color rgb="FF000000"/>
        <rFont val="Calibri"/>
        <family val="2"/>
        <scheme val="minor"/>
      </rPr>
      <t>LARGE</t>
    </r>
  </si>
  <si>
    <r>
      <t xml:space="preserve"> T-2</t>
    </r>
    <r>
      <rPr>
        <b/>
        <vertAlign val="subscript"/>
        <sz val="11"/>
        <color rgb="FF000000"/>
        <rFont val="Calibri"/>
        <family val="2"/>
        <scheme val="minor"/>
      </rPr>
      <t>SMALL</t>
    </r>
    <r>
      <rPr>
        <sz val="11"/>
        <color rgb="FF000000"/>
        <rFont val="Calibri"/>
        <family val="2"/>
        <scheme val="minor"/>
      </rPr>
      <t xml:space="preserve"> </t>
    </r>
  </si>
  <si>
    <r>
      <t>T-2</t>
    </r>
    <r>
      <rPr>
        <b/>
        <vertAlign val="subscript"/>
        <sz val="11"/>
        <color rgb="FF000000"/>
        <rFont val="Calibri"/>
        <family val="2"/>
        <scheme val="minor"/>
      </rPr>
      <t>LARGE</t>
    </r>
  </si>
  <si>
    <r>
      <t>T-2</t>
    </r>
    <r>
      <rPr>
        <b/>
        <vertAlign val="subscript"/>
        <sz val="11"/>
        <color rgb="FF000000"/>
        <rFont val="Calibri"/>
        <family val="2"/>
        <scheme val="minor"/>
      </rPr>
      <t>SPECIAL</t>
    </r>
  </si>
  <si>
    <r>
      <t>T-2</t>
    </r>
    <r>
      <rPr>
        <b/>
        <vertAlign val="subscript"/>
        <sz val="11"/>
        <color rgb="FF000000"/>
        <rFont val="Calibri"/>
        <family val="2"/>
        <scheme val="minor"/>
      </rPr>
      <t>HERITAGE</t>
    </r>
  </si>
  <si>
    <t>Change Log</t>
  </si>
  <si>
    <t>Version</t>
  </si>
  <si>
    <t>Date Published</t>
  </si>
  <si>
    <t>Revisions Made</t>
  </si>
  <si>
    <t>Fully updated to coincide with release of 2020 Stormwater Management Guidebook</t>
  </si>
  <si>
    <t>Error in volume calculation for non-irrigated green roofs fixed.
Each sheet protected to avoid erroneous changes to equations.</t>
  </si>
  <si>
    <t>Sump Storage Volume</t>
  </si>
  <si>
    <t>Only for Underdrain Enhanced design type.</t>
  </si>
  <si>
    <t>Added Sump Storage Volume calculation to 3.5 Permeable Pavement.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</si>
</sst>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00"/>
    <numFmt numFmtId="166" formatCode="#,##0.0"/>
  </numFmts>
  <fonts count="39" x14ac:knownFonts="1">
    <font>
      <sz val="11"/>
      <color theme="1"/>
      <name val="Calibri"/>
      <family val="2"/>
      <scheme val="minor"/>
    </font>
    <font>
      <sz val="11"/>
      <color rgb="FFFF0000"/>
      <name val="Calibri"/>
      <family val="2"/>
      <scheme val="minor"/>
    </font>
    <font>
      <sz val="12"/>
      <color theme="1"/>
      <name val="Calibri"/>
      <family val="2"/>
      <scheme val="minor"/>
    </font>
    <font>
      <sz val="12"/>
      <color theme="1"/>
      <name val="Times New Roman"/>
      <family val="1"/>
    </font>
    <font>
      <vertAlign val="subscript"/>
      <sz val="12"/>
      <color theme="1"/>
      <name val="Times New Roman"/>
      <family val="1"/>
    </font>
    <font>
      <vertAlign val="subscript"/>
      <sz val="11"/>
      <color theme="1"/>
      <name val="Calibri"/>
      <family val="2"/>
      <scheme val="minor"/>
    </font>
    <font>
      <b/>
      <sz val="11"/>
      <color theme="1"/>
      <name val="Times New Roman"/>
      <family val="1"/>
    </font>
    <font>
      <sz val="11"/>
      <name val="Calibri"/>
      <family val="2"/>
      <scheme val="minor"/>
    </font>
    <font>
      <vertAlign val="superscript"/>
      <sz val="11"/>
      <name val="Calibri"/>
      <family val="2"/>
      <scheme val="minor"/>
    </font>
    <font>
      <vertAlign val="superscript"/>
      <sz val="11"/>
      <color theme="1"/>
      <name val="Calibri"/>
      <family val="2"/>
      <scheme val="minor"/>
    </font>
    <font>
      <vertAlign val="subscript"/>
      <sz val="11"/>
      <color rgb="FFFF0000"/>
      <name val="Calibri"/>
      <family val="2"/>
      <scheme val="minor"/>
    </font>
    <font>
      <b/>
      <sz val="11"/>
      <color theme="1"/>
      <name val="Calibri"/>
      <family val="2"/>
      <scheme val="minor"/>
    </font>
    <font>
      <sz val="12"/>
      <color rgb="FFFF0000"/>
      <name val="Times New Roman"/>
      <family val="1"/>
    </font>
    <font>
      <b/>
      <vertAlign val="superscript"/>
      <sz val="11"/>
      <color theme="1"/>
      <name val="Calibri"/>
      <family val="2"/>
      <scheme val="minor"/>
    </font>
    <font>
      <b/>
      <sz val="12"/>
      <color theme="1"/>
      <name val="Times New Roman"/>
      <family val="1"/>
    </font>
    <font>
      <sz val="12"/>
      <name val="Times New Roman"/>
      <family val="1"/>
    </font>
    <font>
      <vertAlign val="superscript"/>
      <sz val="12"/>
      <color theme="1"/>
      <name val="Times New Roman"/>
      <family val="1"/>
    </font>
    <font>
      <b/>
      <sz val="12"/>
      <color rgb="FF0000FF"/>
      <name val="Times New Roman"/>
      <family val="1"/>
    </font>
    <font>
      <sz val="11"/>
      <color theme="1"/>
      <name val="Calibri"/>
      <family val="2"/>
      <scheme val="minor"/>
    </font>
    <font>
      <sz val="12"/>
      <color rgb="FFFF0000"/>
      <name val="Calibri"/>
      <family val="2"/>
      <scheme val="minor"/>
    </font>
    <font>
      <b/>
      <sz val="11"/>
      <color rgb="FF3F3F3F"/>
      <name val="Calibri"/>
      <family val="2"/>
      <scheme val="minor"/>
    </font>
    <font>
      <sz val="11"/>
      <color rgb="FF3F3F76"/>
      <name val="Calibri"/>
      <family val="2"/>
      <scheme val="minor"/>
    </font>
    <font>
      <sz val="11"/>
      <color rgb="FFFA7D00"/>
      <name val="Calibri"/>
      <family val="2"/>
      <scheme val="minor"/>
    </font>
    <font>
      <b/>
      <vertAlign val="subscript"/>
      <sz val="11"/>
      <color theme="1"/>
      <name val="Calibri"/>
      <family val="2"/>
      <scheme val="minor"/>
    </font>
    <font>
      <sz val="11"/>
      <color rgb="FF000000"/>
      <name val="Calibri"/>
      <family val="2"/>
      <scheme val="minor"/>
    </font>
    <font>
      <vertAlign val="superscript"/>
      <sz val="11"/>
      <color rgb="FF000000"/>
      <name val="Calibri"/>
      <family val="2"/>
      <scheme val="minor"/>
    </font>
    <font>
      <b/>
      <sz val="11"/>
      <name val="Calibri"/>
      <family val="2"/>
      <scheme val="minor"/>
    </font>
    <font>
      <b/>
      <i/>
      <sz val="11"/>
      <color theme="1"/>
      <name val="Calibri"/>
      <family val="2"/>
      <scheme val="minor"/>
    </font>
    <font>
      <b/>
      <i/>
      <vertAlign val="subscript"/>
      <sz val="11"/>
      <color theme="1"/>
      <name val="Calibri"/>
      <family val="2"/>
      <scheme val="minor"/>
    </font>
    <font>
      <b/>
      <i/>
      <sz val="11"/>
      <color rgb="FF000000"/>
      <name val="Calibri"/>
      <family val="2"/>
      <scheme val="minor"/>
    </font>
    <font>
      <b/>
      <i/>
      <vertAlign val="subscript"/>
      <sz val="11"/>
      <color rgb="FF000000"/>
      <name val="Calibri"/>
      <family val="2"/>
      <scheme val="minor"/>
    </font>
    <font>
      <b/>
      <sz val="11"/>
      <color rgb="FF000000"/>
      <name val="Calibri"/>
      <family val="2"/>
      <scheme val="minor"/>
    </font>
    <font>
      <b/>
      <vertAlign val="subscript"/>
      <sz val="11"/>
      <color rgb="FF000000"/>
      <name val="Calibri"/>
      <family val="2"/>
      <scheme val="minor"/>
    </font>
    <font>
      <sz val="11"/>
      <color rgb="FF3F3F3F"/>
      <name val="Calibri"/>
      <family val="2"/>
      <scheme val="minor"/>
    </font>
    <font>
      <sz val="11"/>
      <color rgb="FF9C5700"/>
      <name val="Calibri"/>
      <family val="2"/>
      <scheme val="minor"/>
    </font>
    <font>
      <u/>
      <sz val="11"/>
      <color theme="10"/>
      <name val="Calibri"/>
      <family val="2"/>
      <scheme val="minor"/>
    </font>
    <font>
      <u/>
      <sz val="12"/>
      <color theme="10"/>
      <name val="Calibri"/>
      <family val="2"/>
      <scheme val="minor"/>
    </font>
    <font>
      <b/>
      <sz val="14"/>
      <color theme="1"/>
      <name val="Calibri"/>
      <family val="2"/>
      <scheme val="minor"/>
    </font>
    <font>
      <b/>
      <u/>
      <sz val="11"/>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rgb="FFF2F2F2"/>
      </patternFill>
    </fill>
    <fill>
      <patternFill patternType="solid">
        <fgColor theme="0"/>
        <bgColor indexed="64"/>
      </patternFill>
    </fill>
    <fill>
      <patternFill patternType="solid">
        <fgColor rgb="FFFFCC99"/>
      </patternFill>
    </fill>
    <fill>
      <patternFill patternType="solid">
        <fgColor rgb="FFFFFFCC"/>
      </patternFill>
    </fill>
    <fill>
      <patternFill patternType="solid">
        <fgColor theme="0" tint="-0.499984740745262"/>
        <bgColor indexed="64"/>
      </patternFill>
    </fill>
    <fill>
      <patternFill patternType="solid">
        <fgColor theme="2" tint="-9.9978637043366805E-2"/>
        <bgColor indexed="64"/>
      </patternFill>
    </fill>
    <fill>
      <patternFill patternType="solid">
        <fgColor rgb="FFFFEB9C"/>
      </patternFill>
    </fill>
    <fill>
      <patternFill patternType="solid">
        <fgColor theme="0" tint="-4.9989318521683403E-2"/>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rgb="FF3F3F3F"/>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rgb="FF3F3F3F"/>
      </left>
      <right style="thin">
        <color rgb="FF3F3F3F"/>
      </right>
      <top style="medium">
        <color indexed="64"/>
      </top>
      <bottom style="thin">
        <color rgb="FF3F3F3F"/>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3F3F3F"/>
      </left>
      <right style="thin">
        <color rgb="FF3F3F3F"/>
      </right>
      <top style="thin">
        <color rgb="FF3F3F3F"/>
      </top>
      <bottom style="medium">
        <color indexed="64"/>
      </bottom>
      <diagonal/>
    </border>
    <border>
      <left style="thin">
        <color rgb="FF3F3F3F"/>
      </left>
      <right style="thin">
        <color rgb="FF3F3F3F"/>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rgb="FF3F3F3F"/>
      </left>
      <right style="thin">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medium">
        <color indexed="64"/>
      </top>
      <bottom/>
      <diagonal/>
    </border>
    <border>
      <left/>
      <right/>
      <top style="medium">
        <color indexed="64"/>
      </top>
      <bottom style="thin">
        <color rgb="FF3F3F3F"/>
      </bottom>
      <diagonal/>
    </border>
    <border>
      <left/>
      <right style="thin">
        <color rgb="FF3F3F3F"/>
      </right>
      <top style="thin">
        <color rgb="FF3F3F3F"/>
      </top>
      <bottom style="thin">
        <color rgb="FF3F3F3F"/>
      </bottom>
      <diagonal/>
    </border>
    <border>
      <left/>
      <right style="thin">
        <color rgb="FF3F3F3F"/>
      </right>
      <top style="medium">
        <color indexed="64"/>
      </top>
      <bottom style="medium">
        <color indexed="64"/>
      </bottom>
      <diagonal/>
    </border>
    <border>
      <left/>
      <right style="thin">
        <color rgb="FF3F3F3F"/>
      </right>
      <top style="medium">
        <color indexed="64"/>
      </top>
      <bottom style="thin">
        <color rgb="FF3F3F3F"/>
      </bottom>
      <diagonal/>
    </border>
    <border>
      <left/>
      <right style="thin">
        <color rgb="FF3F3F3F"/>
      </right>
      <top style="thin">
        <color rgb="FF3F3F3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rgb="FF3F3F3F"/>
      </left>
      <right style="medium">
        <color indexed="64"/>
      </right>
      <top style="medium">
        <color indexed="64"/>
      </top>
      <bottom style="medium">
        <color indexed="64"/>
      </bottom>
      <diagonal/>
    </border>
    <border>
      <left style="thin">
        <color rgb="FF3F3F3F"/>
      </left>
      <right style="medium">
        <color indexed="64"/>
      </right>
      <top style="medium">
        <color indexed="64"/>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medium">
        <color indexed="64"/>
      </right>
      <top style="thin">
        <color indexed="64"/>
      </top>
      <bottom style="thin">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3F3F3F"/>
      </left>
      <right style="medium">
        <color indexed="64"/>
      </right>
      <top style="thin">
        <color rgb="FF3F3F3F"/>
      </top>
      <bottom style="medium">
        <color indexed="64"/>
      </bottom>
      <diagonal/>
    </border>
    <border>
      <left style="thin">
        <color rgb="FF3F3F3F"/>
      </left>
      <right/>
      <top style="medium">
        <color indexed="64"/>
      </top>
      <bottom style="thin">
        <color rgb="FF3F3F3F"/>
      </bottom>
      <diagonal/>
    </border>
    <border>
      <left style="thin">
        <color rgb="FF3F3F3F"/>
      </left>
      <right/>
      <top style="medium">
        <color indexed="64"/>
      </top>
      <bottom style="medium">
        <color indexed="64"/>
      </bottom>
      <diagonal/>
    </border>
    <border>
      <left style="thin">
        <color rgb="FF3F3F3F"/>
      </left>
      <right/>
      <top style="thin">
        <color rgb="FF3F3F3F"/>
      </top>
      <bottom style="thin">
        <color rgb="FF3F3F3F"/>
      </bottom>
      <diagonal/>
    </border>
    <border>
      <left style="medium">
        <color indexed="64"/>
      </left>
      <right style="medium">
        <color indexed="64"/>
      </right>
      <top style="medium">
        <color indexed="64"/>
      </top>
      <bottom style="thin">
        <color rgb="FF3F3F3F"/>
      </bottom>
      <diagonal/>
    </border>
    <border>
      <left style="medium">
        <color indexed="64"/>
      </left>
      <right style="medium">
        <color indexed="64"/>
      </right>
      <top style="thin">
        <color rgb="FF3F3F3F"/>
      </top>
      <bottom style="thin">
        <color rgb="FF3F3F3F"/>
      </bottom>
      <diagonal/>
    </border>
    <border>
      <left/>
      <right/>
      <top style="thin">
        <color rgb="FF3F3F3F"/>
      </top>
      <bottom style="thin">
        <color rgb="FF3F3F3F"/>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rgb="FF7F7F7F"/>
      </right>
      <top style="thin">
        <color rgb="FF7F7F7F"/>
      </top>
      <bottom style="thin">
        <color rgb="FF7F7F7F"/>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rgb="FF7F7F7F"/>
      </right>
      <top style="medium">
        <color indexed="64"/>
      </top>
      <bottom style="medium">
        <color indexed="64"/>
      </bottom>
      <diagonal/>
    </border>
    <border>
      <left/>
      <right style="thin">
        <color rgb="FF7F7F7F"/>
      </right>
      <top/>
      <bottom style="thin">
        <color rgb="FF7F7F7F"/>
      </bottom>
      <diagonal/>
    </border>
    <border>
      <left/>
      <right style="thin">
        <color rgb="FF7F7F7F"/>
      </right>
      <top style="medium">
        <color indexed="64"/>
      </top>
      <bottom style="thin">
        <color rgb="FF7F7F7F"/>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rgb="FF3F3F3F"/>
      </bottom>
      <diagonal/>
    </border>
    <border>
      <left style="medium">
        <color indexed="64"/>
      </left>
      <right style="medium">
        <color indexed="64"/>
      </right>
      <top/>
      <bottom style="thin">
        <color rgb="FF3F3F3F"/>
      </bottom>
      <diagonal/>
    </border>
    <border>
      <left style="thin">
        <color indexed="64"/>
      </left>
      <right/>
      <top style="thin">
        <color indexed="64"/>
      </top>
      <bottom/>
      <diagonal/>
    </border>
    <border>
      <left style="medium">
        <color indexed="64"/>
      </left>
      <right style="medium">
        <color indexed="64"/>
      </right>
      <top style="thin">
        <color rgb="FF3F3F3F"/>
      </top>
      <bottom/>
      <diagonal/>
    </border>
    <border>
      <left style="thin">
        <color indexed="64"/>
      </left>
      <right/>
      <top style="medium">
        <color indexed="64"/>
      </top>
      <bottom/>
      <diagonal/>
    </border>
    <border>
      <left style="medium">
        <color indexed="64"/>
      </left>
      <right style="thin">
        <color indexed="64"/>
      </right>
      <top style="thin">
        <color rgb="FF7F7F7F"/>
      </top>
      <bottom style="thin">
        <color rgb="FF7F7F7F"/>
      </bottom>
      <diagonal/>
    </border>
    <border>
      <left style="medium">
        <color indexed="64"/>
      </left>
      <right style="thin">
        <color indexed="64"/>
      </right>
      <top style="thin">
        <color rgb="FF3F3F3F"/>
      </top>
      <bottom style="thin">
        <color indexed="64"/>
      </bottom>
      <diagonal/>
    </border>
    <border>
      <left style="thin">
        <color rgb="FF3F3F3F"/>
      </left>
      <right style="thin">
        <color rgb="FF3F3F3F"/>
      </right>
      <top/>
      <bottom style="medium">
        <color indexed="64"/>
      </bottom>
      <diagonal/>
    </border>
    <border>
      <left style="thin">
        <color rgb="FF3F3F3F"/>
      </left>
      <right/>
      <top/>
      <bottom style="medium">
        <color indexed="64"/>
      </bottom>
      <diagonal/>
    </border>
    <border>
      <left style="medium">
        <color indexed="64"/>
      </left>
      <right style="thin">
        <color rgb="FF3F3F3F"/>
      </right>
      <top style="thin">
        <color rgb="FF7F7F7F"/>
      </top>
      <bottom style="thin">
        <color indexed="64"/>
      </bottom>
      <diagonal/>
    </border>
    <border>
      <left style="thin">
        <color rgb="FF3F3F3F"/>
      </left>
      <right style="medium">
        <color indexed="64"/>
      </right>
      <top style="thin">
        <color rgb="FF3F3F3F"/>
      </top>
      <bottom style="thin">
        <color indexed="64"/>
      </bottom>
      <diagonal/>
    </border>
    <border>
      <left style="thin">
        <color rgb="FF3F3F3F"/>
      </left>
      <right style="thin">
        <color rgb="FF3F3F3F"/>
      </right>
      <top style="thin">
        <color rgb="FF3F3F3F"/>
      </top>
      <bottom style="thin">
        <color indexed="64"/>
      </bottom>
      <diagonal/>
    </border>
    <border>
      <left style="medium">
        <color indexed="64"/>
      </left>
      <right style="medium">
        <color indexed="64"/>
      </right>
      <top style="thin">
        <color rgb="FF3F3F3F"/>
      </top>
      <bottom style="thin">
        <color indexed="64"/>
      </bottom>
      <diagonal/>
    </border>
    <border>
      <left/>
      <right style="medium">
        <color indexed="64"/>
      </right>
      <top style="thin">
        <color indexed="64"/>
      </top>
      <bottom style="thin">
        <color indexed="64"/>
      </bottom>
      <diagonal/>
    </border>
    <border>
      <left style="thin">
        <color rgb="FF3F3F3F"/>
      </left>
      <right style="thin">
        <color rgb="FF3F3F3F"/>
      </right>
      <top style="medium">
        <color indexed="64"/>
      </top>
      <bottom/>
      <diagonal/>
    </border>
  </borders>
  <cellStyleXfs count="9">
    <xf numFmtId="0" fontId="0" fillId="0" borderId="0"/>
    <xf numFmtId="9" fontId="18" fillId="0" borderId="0" applyFont="0" applyFill="0" applyBorder="0" applyAlignment="0" applyProtection="0"/>
    <xf numFmtId="0" fontId="20" fillId="3" borderId="13" applyNumberFormat="0" applyAlignment="0" applyProtection="0"/>
    <xf numFmtId="43" fontId="18" fillId="0" borderId="0" applyFont="0" applyFill="0" applyBorder="0" applyAlignment="0" applyProtection="0"/>
    <xf numFmtId="0" fontId="21" fillId="5" borderId="17" applyNumberFormat="0" applyAlignment="0" applyProtection="0"/>
    <xf numFmtId="0" fontId="22" fillId="0" borderId="18" applyNumberFormat="0" applyFill="0" applyAlignment="0" applyProtection="0"/>
    <xf numFmtId="0" fontId="18" fillId="6" borderId="19" applyNumberFormat="0" applyFont="0" applyAlignment="0" applyProtection="0"/>
    <xf numFmtId="0" fontId="34" fillId="9" borderId="0" applyNumberFormat="0" applyBorder="0" applyAlignment="0" applyProtection="0"/>
    <xf numFmtId="0" fontId="35" fillId="0" borderId="0" applyNumberFormat="0" applyFill="0" applyBorder="0" applyAlignment="0" applyProtection="0"/>
  </cellStyleXfs>
  <cellXfs count="313">
    <xf numFmtId="0" fontId="0" fillId="0" borderId="0" xfId="0"/>
    <xf numFmtId="0" fontId="0" fillId="0" borderId="0" xfId="0" applyAlignment="1">
      <alignment horizontal="right"/>
    </xf>
    <xf numFmtId="0" fontId="3" fillId="0" borderId="0" xfId="0" applyFont="1"/>
    <xf numFmtId="0" fontId="7" fillId="0" borderId="0" xfId="0" applyFont="1" applyAlignment="1">
      <alignment horizontal="left" vertical="center"/>
    </xf>
    <xf numFmtId="0" fontId="6" fillId="0" borderId="0" xfId="0" applyFont="1"/>
    <xf numFmtId="2" fontId="0" fillId="0" borderId="0" xfId="0" applyNumberFormat="1"/>
    <xf numFmtId="0" fontId="5" fillId="0" borderId="0" xfId="0" applyFont="1"/>
    <xf numFmtId="0" fontId="7" fillId="0" borderId="0" xfId="0" applyFont="1" applyAlignment="1">
      <alignment horizontal="center"/>
    </xf>
    <xf numFmtId="0" fontId="12" fillId="0" borderId="0" xfId="0" applyFont="1"/>
    <xf numFmtId="12" fontId="0" fillId="0" borderId="0" xfId="0" applyNumberFormat="1"/>
    <xf numFmtId="0" fontId="7" fillId="0" borderId="0" xfId="0" applyFont="1"/>
    <xf numFmtId="0" fontId="1" fillId="0" borderId="0" xfId="0" applyFont="1" applyAlignment="1">
      <alignment vertical="center"/>
    </xf>
    <xf numFmtId="0" fontId="14" fillId="0" borderId="0" xfId="0" applyFont="1"/>
    <xf numFmtId="0" fontId="2" fillId="0" borderId="0" xfId="0" applyFont="1"/>
    <xf numFmtId="0" fontId="19" fillId="0" borderId="0" xfId="0" applyFont="1" applyAlignment="1">
      <alignment vertical="center"/>
    </xf>
    <xf numFmtId="0" fontId="14" fillId="0" borderId="0" xfId="0" applyFont="1" applyAlignment="1">
      <alignment horizontal="left"/>
    </xf>
    <xf numFmtId="0" fontId="19" fillId="0" borderId="0" xfId="0" applyFont="1"/>
    <xf numFmtId="0" fontId="14" fillId="4" borderId="0" xfId="0" applyFont="1" applyFill="1"/>
    <xf numFmtId="0" fontId="2" fillId="4" borderId="0" xfId="0" applyFont="1" applyFill="1"/>
    <xf numFmtId="0" fontId="14" fillId="4" borderId="0" xfId="0" applyFont="1" applyFill="1" applyAlignment="1">
      <alignment horizontal="left"/>
    </xf>
    <xf numFmtId="0" fontId="19" fillId="4" borderId="0" xfId="0" applyFont="1" applyFill="1" applyAlignment="1">
      <alignment vertical="center"/>
    </xf>
    <xf numFmtId="0" fontId="0" fillId="4" borderId="0" xfId="0" applyFill="1"/>
    <xf numFmtId="0" fontId="0" fillId="4" borderId="1" xfId="0" applyFill="1" applyBorder="1" applyAlignment="1">
      <alignment horizontal="center" vertical="center"/>
    </xf>
    <xf numFmtId="0" fontId="1" fillId="4" borderId="10" xfId="0" applyFont="1" applyFill="1" applyBorder="1" applyAlignment="1">
      <alignment horizontal="left"/>
    </xf>
    <xf numFmtId="0" fontId="7" fillId="4" borderId="1" xfId="0" applyFont="1" applyFill="1" applyBorder="1" applyAlignment="1">
      <alignment horizontal="center" vertical="center"/>
    </xf>
    <xf numFmtId="0" fontId="1" fillId="4" borderId="10" xfId="0" applyFont="1" applyFill="1" applyBorder="1"/>
    <xf numFmtId="0" fontId="0" fillId="4" borderId="1" xfId="0" applyFill="1" applyBorder="1" applyAlignment="1">
      <alignment horizontal="center"/>
    </xf>
    <xf numFmtId="0" fontId="11" fillId="4" borderId="6" xfId="0" applyFont="1" applyFill="1" applyBorder="1" applyAlignment="1">
      <alignment horizontal="center"/>
    </xf>
    <xf numFmtId="0" fontId="11" fillId="4" borderId="7" xfId="0" applyFont="1" applyFill="1" applyBorder="1" applyAlignment="1">
      <alignment horizontal="center"/>
    </xf>
    <xf numFmtId="0" fontId="0" fillId="4" borderId="23" xfId="0" applyFill="1" applyBorder="1" applyAlignment="1">
      <alignment horizontal="center"/>
    </xf>
    <xf numFmtId="0" fontId="0" fillId="0" borderId="24" xfId="0" applyBorder="1"/>
    <xf numFmtId="0" fontId="19" fillId="4" borderId="0" xfId="0" applyFont="1" applyFill="1"/>
    <xf numFmtId="0" fontId="1" fillId="4" borderId="27" xfId="0" applyFont="1" applyFill="1" applyBorder="1" applyAlignment="1">
      <alignment horizontal="left"/>
    </xf>
    <xf numFmtId="0" fontId="7" fillId="4" borderId="23" xfId="0" applyFont="1" applyFill="1" applyBorder="1" applyAlignment="1">
      <alignment horizontal="center" vertical="center"/>
    </xf>
    <xf numFmtId="0" fontId="1" fillId="4" borderId="24" xfId="0" applyFont="1" applyFill="1" applyBorder="1" applyAlignment="1">
      <alignment horizontal="left"/>
    </xf>
    <xf numFmtId="0" fontId="11" fillId="0" borderId="0" xfId="0" applyFont="1"/>
    <xf numFmtId="0" fontId="27" fillId="4" borderId="9" xfId="0" applyFont="1" applyFill="1" applyBorder="1" applyAlignment="1">
      <alignment horizontal="center"/>
    </xf>
    <xf numFmtId="0" fontId="0" fillId="4" borderId="2" xfId="0" applyFill="1" applyBorder="1" applyAlignment="1">
      <alignment horizontal="center" vertical="center"/>
    </xf>
    <xf numFmtId="0" fontId="1" fillId="4" borderId="12" xfId="0" applyFont="1" applyFill="1" applyBorder="1" applyAlignment="1">
      <alignment horizontal="left"/>
    </xf>
    <xf numFmtId="0" fontId="7" fillId="4" borderId="2" xfId="0" applyFont="1" applyFill="1" applyBorder="1" applyAlignment="1">
      <alignment horizontal="center" vertical="center"/>
    </xf>
    <xf numFmtId="0" fontId="11" fillId="4" borderId="28" xfId="0" applyFont="1" applyFill="1" applyBorder="1" applyAlignment="1">
      <alignment horizontal="center"/>
    </xf>
    <xf numFmtId="0" fontId="0" fillId="4" borderId="30" xfId="0" applyFill="1" applyBorder="1" applyAlignment="1">
      <alignment horizontal="center" vertical="center"/>
    </xf>
    <xf numFmtId="0" fontId="1" fillId="4" borderId="31" xfId="0" applyFont="1" applyFill="1" applyBorder="1" applyAlignment="1">
      <alignment horizontal="left"/>
    </xf>
    <xf numFmtId="0" fontId="0" fillId="4" borderId="26" xfId="0" applyFill="1" applyBorder="1" applyAlignment="1">
      <alignment horizontal="center" vertical="center"/>
    </xf>
    <xf numFmtId="0" fontId="11" fillId="4" borderId="4" xfId="0" applyFont="1" applyFill="1" applyBorder="1" applyAlignment="1">
      <alignment horizontal="center"/>
    </xf>
    <xf numFmtId="0" fontId="1" fillId="4" borderId="5" xfId="0" applyFont="1" applyFill="1" applyBorder="1" applyAlignment="1">
      <alignment horizontal="left"/>
    </xf>
    <xf numFmtId="0" fontId="0" fillId="4" borderId="7" xfId="0" applyFill="1" applyBorder="1" applyAlignment="1">
      <alignment horizontal="center" vertical="center"/>
    </xf>
    <xf numFmtId="0" fontId="1" fillId="4" borderId="8" xfId="0" applyFont="1" applyFill="1" applyBorder="1" applyAlignment="1">
      <alignment horizontal="left"/>
    </xf>
    <xf numFmtId="0" fontId="24" fillId="0" borderId="36" xfId="0" applyFont="1" applyBorder="1" applyAlignment="1">
      <alignment horizontal="center"/>
    </xf>
    <xf numFmtId="0" fontId="0" fillId="4" borderId="7" xfId="0" applyFill="1" applyBorder="1" applyAlignment="1">
      <alignment horizontal="center"/>
    </xf>
    <xf numFmtId="0" fontId="1" fillId="4" borderId="8" xfId="0" applyFont="1" applyFill="1" applyBorder="1"/>
    <xf numFmtId="0" fontId="7" fillId="4" borderId="52" xfId="0" applyFont="1" applyFill="1" applyBorder="1" applyAlignment="1">
      <alignment horizontal="center" vertical="center"/>
    </xf>
    <xf numFmtId="0" fontId="27" fillId="4" borderId="11" xfId="0" applyFont="1" applyFill="1" applyBorder="1" applyAlignment="1">
      <alignment horizontal="center"/>
    </xf>
    <xf numFmtId="0" fontId="27" fillId="4" borderId="25" xfId="0" applyFont="1" applyFill="1" applyBorder="1" applyAlignment="1">
      <alignment horizontal="center"/>
    </xf>
    <xf numFmtId="0" fontId="7" fillId="4" borderId="26" xfId="0" applyFont="1" applyFill="1" applyBorder="1" applyAlignment="1">
      <alignment horizontal="center" vertical="center"/>
    </xf>
    <xf numFmtId="0" fontId="27" fillId="4" borderId="3" xfId="0" applyFont="1" applyFill="1" applyBorder="1" applyAlignment="1">
      <alignment horizontal="center"/>
    </xf>
    <xf numFmtId="0" fontId="0" fillId="4" borderId="4" xfId="0" applyFill="1" applyBorder="1" applyAlignment="1">
      <alignment horizontal="center"/>
    </xf>
    <xf numFmtId="0" fontId="22" fillId="2" borderId="18" xfId="5" applyFill="1"/>
    <xf numFmtId="0" fontId="11" fillId="0" borderId="30" xfId="0" applyFont="1" applyBorder="1" applyAlignment="1">
      <alignment horizontal="center"/>
    </xf>
    <xf numFmtId="0" fontId="11" fillId="0" borderId="31" xfId="0" applyFont="1" applyBorder="1" applyAlignment="1">
      <alignment horizontal="center"/>
    </xf>
    <xf numFmtId="0" fontId="11" fillId="0" borderId="40" xfId="0" applyFont="1" applyBorder="1" applyAlignment="1">
      <alignment horizontal="center"/>
    </xf>
    <xf numFmtId="0" fontId="11" fillId="0" borderId="46" xfId="0" applyFont="1" applyBorder="1" applyAlignment="1">
      <alignment horizontal="center"/>
    </xf>
    <xf numFmtId="0" fontId="11" fillId="0" borderId="49" xfId="0" applyFont="1" applyBorder="1" applyAlignment="1">
      <alignment horizontal="center" vertical="center"/>
    </xf>
    <xf numFmtId="0" fontId="11" fillId="0" borderId="56" xfId="0" applyFont="1" applyBorder="1" applyAlignment="1">
      <alignment horizontal="center" vertical="center"/>
    </xf>
    <xf numFmtId="0" fontId="11" fillId="0" borderId="39" xfId="0" applyFont="1" applyBorder="1" applyAlignment="1">
      <alignment horizontal="center" vertical="center"/>
    </xf>
    <xf numFmtId="0" fontId="11" fillId="0" borderId="20" xfId="0" applyFont="1" applyBorder="1" applyAlignment="1">
      <alignment horizontal="center" vertical="center"/>
    </xf>
    <xf numFmtId="0" fontId="1" fillId="4" borderId="38" xfId="0" applyFont="1" applyFill="1" applyBorder="1" applyAlignment="1">
      <alignment horizontal="left" wrapText="1"/>
    </xf>
    <xf numFmtId="0" fontId="29" fillId="0" borderId="46" xfId="0" applyFont="1" applyBorder="1" applyAlignment="1">
      <alignment horizontal="center" vertical="center"/>
    </xf>
    <xf numFmtId="0" fontId="24" fillId="0" borderId="0" xfId="0" applyFont="1" applyAlignment="1">
      <alignment horizontal="center" vertical="center"/>
    </xf>
    <xf numFmtId="0" fontId="1" fillId="4" borderId="38" xfId="0" applyFont="1" applyFill="1" applyBorder="1" applyAlignment="1">
      <alignment horizontal="left" vertical="center" wrapText="1"/>
    </xf>
    <xf numFmtId="0" fontId="7" fillId="4" borderId="4" xfId="0" applyFont="1" applyFill="1" applyBorder="1" applyAlignment="1">
      <alignment horizontal="center" vertical="center"/>
    </xf>
    <xf numFmtId="0" fontId="1" fillId="4" borderId="5" xfId="0" applyFont="1" applyFill="1" applyBorder="1" applyAlignment="1">
      <alignment horizontal="left" wrapText="1"/>
    </xf>
    <xf numFmtId="0" fontId="1" fillId="0" borderId="24" xfId="0" applyFont="1" applyBorder="1"/>
    <xf numFmtId="0" fontId="26" fillId="4" borderId="8" xfId="0" applyFont="1" applyFill="1" applyBorder="1" applyAlignment="1">
      <alignment horizontal="left"/>
    </xf>
    <xf numFmtId="0" fontId="26" fillId="4" borderId="5" xfId="0" applyFont="1" applyFill="1" applyBorder="1" applyAlignment="1">
      <alignment horizontal="left"/>
    </xf>
    <xf numFmtId="0" fontId="3" fillId="0" borderId="0" xfId="0" applyFont="1" applyAlignment="1">
      <alignment horizontal="left"/>
    </xf>
    <xf numFmtId="0" fontId="1" fillId="0" borderId="0" xfId="0" applyFont="1" applyAlignment="1">
      <alignment horizontal="center" vertical="center"/>
    </xf>
    <xf numFmtId="0" fontId="1" fillId="0" borderId="0" xfId="0" applyFont="1" applyAlignment="1">
      <alignment horizontal="center"/>
    </xf>
    <xf numFmtId="0" fontId="6" fillId="0" borderId="0" xfId="0" applyFont="1" applyAlignment="1">
      <alignment horizontal="left"/>
    </xf>
    <xf numFmtId="0" fontId="1" fillId="0" borderId="0" xfId="0" applyFont="1"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xf numFmtId="0" fontId="6" fillId="0" borderId="0" xfId="0" applyFont="1" applyAlignment="1"/>
    <xf numFmtId="0" fontId="1" fillId="0" borderId="0" xfId="0" applyFont="1" applyAlignment="1"/>
    <xf numFmtId="0" fontId="3" fillId="0" borderId="0" xfId="0" applyFont="1" applyAlignment="1"/>
    <xf numFmtId="0" fontId="31" fillId="0" borderId="46" xfId="0" applyFont="1" applyBorder="1"/>
    <xf numFmtId="0" fontId="31" fillId="0" borderId="47" xfId="0" applyFont="1" applyBorder="1"/>
    <xf numFmtId="0" fontId="31" fillId="0" borderId="48" xfId="0" applyFont="1" applyBorder="1"/>
    <xf numFmtId="1" fontId="20" fillId="7" borderId="33" xfId="2" applyNumberFormat="1" applyFill="1" applyBorder="1"/>
    <xf numFmtId="1" fontId="20" fillId="7" borderId="62" xfId="2" applyNumberFormat="1" applyFill="1" applyBorder="1"/>
    <xf numFmtId="0" fontId="3" fillId="0" borderId="0" xfId="0" applyFont="1" applyFill="1"/>
    <xf numFmtId="0" fontId="15" fillId="0" borderId="0" xfId="0" applyFont="1" applyFill="1" applyAlignment="1">
      <alignment horizontal="right"/>
    </xf>
    <xf numFmtId="0" fontId="12" fillId="0" borderId="0" xfId="0" applyFont="1" applyFill="1"/>
    <xf numFmtId="0" fontId="17" fillId="0" borderId="0" xfId="0" applyFont="1" applyFill="1"/>
    <xf numFmtId="0" fontId="1" fillId="0" borderId="0" xfId="0" applyFont="1" applyFill="1" applyAlignment="1">
      <alignment horizontal="left"/>
    </xf>
    <xf numFmtId="0" fontId="3" fillId="0" borderId="0" xfId="0" applyFont="1" applyFill="1" applyAlignment="1"/>
    <xf numFmtId="0" fontId="12" fillId="0" borderId="0" xfId="0" applyFont="1" applyAlignment="1"/>
    <xf numFmtId="0" fontId="12" fillId="0" borderId="0" xfId="0" applyFont="1" applyFill="1" applyAlignment="1"/>
    <xf numFmtId="0" fontId="14" fillId="0" borderId="0" xfId="0" applyFont="1" applyAlignment="1"/>
    <xf numFmtId="0" fontId="31" fillId="0" borderId="47" xfId="0" applyFont="1" applyBorder="1" applyAlignment="1"/>
    <xf numFmtId="1" fontId="33" fillId="3" borderId="63" xfId="2" applyNumberFormat="1" applyFont="1" applyBorder="1" applyAlignment="1">
      <alignment horizontal="center"/>
    </xf>
    <xf numFmtId="0" fontId="31" fillId="0" borderId="46" xfId="0" applyFont="1" applyBorder="1" applyAlignment="1">
      <alignment horizontal="center"/>
    </xf>
    <xf numFmtId="0" fontId="31" fillId="0" borderId="47" xfId="0" applyFont="1" applyBorder="1" applyAlignment="1">
      <alignment horizontal="center"/>
    </xf>
    <xf numFmtId="0" fontId="31" fillId="0" borderId="48" xfId="0" applyFont="1" applyBorder="1" applyAlignment="1">
      <alignment horizontal="center"/>
    </xf>
    <xf numFmtId="0" fontId="0" fillId="0" borderId="0" xfId="0" applyFill="1" applyAlignment="1">
      <alignment horizontal="left"/>
    </xf>
    <xf numFmtId="0" fontId="0" fillId="0" borderId="0" xfId="0" applyFill="1"/>
    <xf numFmtId="0" fontId="1" fillId="0" borderId="0" xfId="0" applyFont="1" applyFill="1" applyAlignment="1">
      <alignment horizontal="center" vertical="center"/>
    </xf>
    <xf numFmtId="0" fontId="11" fillId="0" borderId="48" xfId="0" applyFont="1" applyBorder="1" applyAlignment="1">
      <alignment horizontal="center" vertical="center"/>
    </xf>
    <xf numFmtId="0" fontId="31" fillId="0" borderId="49" xfId="0" applyFont="1" applyBorder="1" applyAlignment="1">
      <alignment horizontal="center"/>
    </xf>
    <xf numFmtId="0" fontId="31" fillId="0" borderId="56" xfId="0" applyFont="1" applyBorder="1" applyAlignment="1">
      <alignment horizontal="center"/>
    </xf>
    <xf numFmtId="0" fontId="31" fillId="0" borderId="50" xfId="0" applyFont="1" applyBorder="1" applyAlignment="1">
      <alignment horizontal="center"/>
    </xf>
    <xf numFmtId="0" fontId="1" fillId="0" borderId="0" xfId="0" applyFont="1" applyFill="1"/>
    <xf numFmtId="0" fontId="0" fillId="0" borderId="0" xfId="0" applyFill="1" applyAlignment="1"/>
    <xf numFmtId="0" fontId="7" fillId="0" borderId="0" xfId="0" applyFont="1" applyFill="1" applyAlignment="1">
      <alignment horizontal="left" vertical="center"/>
    </xf>
    <xf numFmtId="0" fontId="0" fillId="0" borderId="0" xfId="0" applyFill="1" applyAlignment="1">
      <alignment horizontal="center"/>
    </xf>
    <xf numFmtId="0" fontId="0" fillId="0" borderId="0" xfId="0" applyFill="1" applyAlignment="1">
      <alignment horizontal="right"/>
    </xf>
    <xf numFmtId="0" fontId="1" fillId="0" borderId="0" xfId="0" applyFont="1" applyFill="1" applyAlignment="1"/>
    <xf numFmtId="0" fontId="6" fillId="0" borderId="0" xfId="0" applyFont="1" applyBorder="1" applyAlignment="1">
      <alignment horizontal="left"/>
    </xf>
    <xf numFmtId="0" fontId="0" fillId="0" borderId="0" xfId="0" applyBorder="1"/>
    <xf numFmtId="0" fontId="11" fillId="0" borderId="0" xfId="0" applyFont="1" applyBorder="1" applyAlignment="1">
      <alignment horizontal="center"/>
    </xf>
    <xf numFmtId="2" fontId="0" fillId="0" borderId="0" xfId="0" applyNumberFormat="1" applyFill="1"/>
    <xf numFmtId="0" fontId="2" fillId="0" borderId="0" xfId="0" applyFont="1" applyFill="1" applyAlignment="1"/>
    <xf numFmtId="0" fontId="1" fillId="0" borderId="0" xfId="0" applyFont="1" applyFill="1" applyAlignment="1">
      <alignment horizontal="center"/>
    </xf>
    <xf numFmtId="0" fontId="11" fillId="4" borderId="0" xfId="0" applyFont="1" applyFill="1" applyBorder="1" applyAlignment="1">
      <alignment horizontal="center"/>
    </xf>
    <xf numFmtId="0" fontId="29" fillId="0" borderId="56" xfId="0" applyFont="1" applyBorder="1" applyAlignment="1">
      <alignment horizontal="center"/>
    </xf>
    <xf numFmtId="0" fontId="11" fillId="4" borderId="20" xfId="0" applyFont="1" applyFill="1" applyBorder="1" applyAlignment="1">
      <alignment horizontal="center"/>
    </xf>
    <xf numFmtId="1" fontId="0" fillId="0" borderId="0" xfId="0" applyNumberFormat="1" applyFill="1"/>
    <xf numFmtId="0" fontId="1" fillId="0" borderId="15" xfId="0" applyFont="1" applyBorder="1"/>
    <xf numFmtId="0" fontId="11" fillId="4" borderId="26" xfId="0" applyFont="1" applyFill="1" applyBorder="1" applyAlignment="1">
      <alignment horizontal="center"/>
    </xf>
    <xf numFmtId="0" fontId="7" fillId="0" borderId="0" xfId="0" applyFont="1" applyFill="1" applyAlignment="1">
      <alignment horizontal="center" vertical="center"/>
    </xf>
    <xf numFmtId="0" fontId="29" fillId="0" borderId="39" xfId="0" applyFont="1" applyBorder="1" applyAlignment="1">
      <alignment horizontal="center"/>
    </xf>
    <xf numFmtId="0" fontId="0" fillId="4" borderId="4" xfId="0" applyFont="1" applyFill="1" applyBorder="1" applyAlignment="1">
      <alignment horizontal="center"/>
    </xf>
    <xf numFmtId="0" fontId="0" fillId="4" borderId="30" xfId="0" applyFont="1" applyFill="1" applyBorder="1" applyAlignment="1">
      <alignment horizontal="center"/>
    </xf>
    <xf numFmtId="0" fontId="11" fillId="4" borderId="72" xfId="0" applyFont="1" applyFill="1" applyBorder="1" applyAlignment="1">
      <alignment horizontal="center"/>
    </xf>
    <xf numFmtId="0" fontId="7" fillId="0" borderId="0" xfId="0" applyFont="1" applyFill="1"/>
    <xf numFmtId="2" fontId="7" fillId="0" borderId="0" xfId="0" applyNumberFormat="1" applyFont="1" applyFill="1"/>
    <xf numFmtId="9" fontId="7" fillId="0" borderId="0" xfId="1" applyFont="1" applyFill="1"/>
    <xf numFmtId="1" fontId="7" fillId="0" borderId="0" xfId="0" applyNumberFormat="1" applyFont="1" applyFill="1"/>
    <xf numFmtId="0" fontId="0" fillId="4" borderId="23" xfId="0" applyFill="1" applyBorder="1" applyAlignment="1">
      <alignment horizontal="center" vertical="center"/>
    </xf>
    <xf numFmtId="0" fontId="1" fillId="4" borderId="31" xfId="0" applyFont="1" applyFill="1" applyBorder="1" applyAlignment="1">
      <alignment horizontal="left" wrapText="1"/>
    </xf>
    <xf numFmtId="0" fontId="0" fillId="4" borderId="30" xfId="0" applyFont="1" applyFill="1" applyBorder="1" applyAlignment="1">
      <alignment horizontal="center" vertical="center"/>
    </xf>
    <xf numFmtId="0" fontId="29" fillId="0" borderId="49" xfId="0" applyFont="1" applyBorder="1" applyAlignment="1">
      <alignment horizontal="center"/>
    </xf>
    <xf numFmtId="0" fontId="1" fillId="0" borderId="10" xfId="0" applyFont="1" applyBorder="1"/>
    <xf numFmtId="0" fontId="1" fillId="0" borderId="0" xfId="0" applyFont="1"/>
    <xf numFmtId="164" fontId="33" fillId="3" borderId="61" xfId="2" applyNumberFormat="1" applyFont="1" applyBorder="1" applyAlignment="1">
      <alignment horizontal="center"/>
    </xf>
    <xf numFmtId="0" fontId="29" fillId="0" borderId="47" xfId="0" applyFont="1" applyBorder="1" applyAlignment="1">
      <alignment horizontal="center" vertical="center"/>
    </xf>
    <xf numFmtId="0" fontId="1" fillId="4" borderId="27" xfId="0" applyFont="1" applyFill="1" applyBorder="1" applyAlignment="1">
      <alignment horizontal="left" vertical="center"/>
    </xf>
    <xf numFmtId="0" fontId="24" fillId="0" borderId="36" xfId="0" applyFont="1" applyBorder="1" applyAlignment="1">
      <alignment horizontal="center" vertical="center"/>
    </xf>
    <xf numFmtId="0" fontId="1" fillId="4" borderId="10" xfId="0" applyFont="1" applyFill="1" applyBorder="1" applyAlignment="1">
      <alignment horizontal="left" vertical="center"/>
    </xf>
    <xf numFmtId="0" fontId="24" fillId="0" borderId="37" xfId="0" applyFont="1" applyBorder="1" applyAlignment="1">
      <alignment horizontal="center" vertical="center"/>
    </xf>
    <xf numFmtId="0" fontId="24" fillId="0" borderId="1" xfId="0" applyFont="1" applyBorder="1" applyAlignment="1">
      <alignment horizontal="center" vertical="center"/>
    </xf>
    <xf numFmtId="0" fontId="1" fillId="4" borderId="10" xfId="0" applyFont="1" applyFill="1" applyBorder="1" applyAlignment="1">
      <alignment horizontal="left" vertical="center" wrapText="1"/>
    </xf>
    <xf numFmtId="0" fontId="24" fillId="0" borderId="34" xfId="0" applyFont="1" applyBorder="1" applyAlignment="1">
      <alignment horizontal="center" vertical="center"/>
    </xf>
    <xf numFmtId="0" fontId="1" fillId="4" borderId="5" xfId="0" applyFont="1" applyFill="1" applyBorder="1" applyAlignment="1">
      <alignment horizontal="left" vertical="center"/>
    </xf>
    <xf numFmtId="0" fontId="1" fillId="0" borderId="14" xfId="0" applyFont="1" applyBorder="1" applyAlignment="1">
      <alignment vertical="center"/>
    </xf>
    <xf numFmtId="0" fontId="1" fillId="4" borderId="12" xfId="0" applyFont="1" applyFill="1" applyBorder="1" applyAlignment="1">
      <alignment horizontal="left" vertical="center"/>
    </xf>
    <xf numFmtId="0" fontId="1" fillId="4" borderId="8" xfId="0" applyFont="1" applyFill="1" applyBorder="1" applyAlignment="1">
      <alignment horizontal="left" vertical="center"/>
    </xf>
    <xf numFmtId="0" fontId="29" fillId="0" borderId="48" xfId="0" applyFont="1" applyBorder="1" applyAlignment="1">
      <alignment horizontal="center" vertical="center"/>
    </xf>
    <xf numFmtId="0" fontId="24" fillId="0" borderId="16" xfId="0" applyFont="1" applyBorder="1" applyAlignment="1">
      <alignment horizontal="center" vertical="center"/>
    </xf>
    <xf numFmtId="0" fontId="1" fillId="4" borderId="24" xfId="0" applyFont="1" applyFill="1" applyBorder="1" applyAlignment="1">
      <alignment horizontal="left" vertical="center"/>
    </xf>
    <xf numFmtId="0" fontId="11" fillId="4" borderId="7" xfId="0" applyFont="1" applyFill="1" applyBorder="1" applyAlignment="1">
      <alignment horizontal="center" vertical="center"/>
    </xf>
    <xf numFmtId="0" fontId="1" fillId="4" borderId="8" xfId="0" applyFont="1" applyFill="1" applyBorder="1" applyAlignment="1">
      <alignment vertical="center"/>
    </xf>
    <xf numFmtId="0" fontId="0" fillId="0" borderId="24" xfId="0" applyBorder="1" applyAlignment="1">
      <alignment vertical="center"/>
    </xf>
    <xf numFmtId="0" fontId="31" fillId="0" borderId="71" xfId="0" applyFont="1" applyBorder="1" applyAlignment="1">
      <alignment horizontal="center"/>
    </xf>
    <xf numFmtId="0" fontId="11" fillId="0" borderId="20" xfId="0" applyFont="1" applyBorder="1" applyAlignment="1">
      <alignment horizontal="center"/>
    </xf>
    <xf numFmtId="0" fontId="11" fillId="0" borderId="4" xfId="0" applyFont="1" applyBorder="1" applyAlignment="1">
      <alignment horizontal="center"/>
    </xf>
    <xf numFmtId="0" fontId="31" fillId="0" borderId="39" xfId="0" applyFont="1" applyBorder="1" applyAlignment="1">
      <alignment horizontal="center"/>
    </xf>
    <xf numFmtId="0" fontId="29" fillId="0" borderId="50" xfId="0" applyFont="1" applyBorder="1" applyAlignment="1">
      <alignment horizontal="center" vertical="center"/>
    </xf>
    <xf numFmtId="0" fontId="29" fillId="0" borderId="56" xfId="0" applyFont="1" applyBorder="1" applyAlignment="1">
      <alignment horizontal="center" vertical="center"/>
    </xf>
    <xf numFmtId="0" fontId="11" fillId="0" borderId="83" xfId="0" applyFont="1" applyBorder="1" applyAlignment="1">
      <alignment horizontal="center"/>
    </xf>
    <xf numFmtId="1" fontId="33" fillId="3" borderId="29" xfId="2" applyNumberFormat="1" applyFont="1" applyBorder="1" applyAlignment="1">
      <alignment horizontal="center"/>
    </xf>
    <xf numFmtId="1" fontId="33" fillId="3" borderId="13" xfId="2" applyNumberFormat="1" applyFont="1" applyBorder="1" applyAlignment="1">
      <alignment horizontal="center"/>
    </xf>
    <xf numFmtId="0" fontId="36" fillId="0" borderId="0" xfId="8" applyFont="1" applyFill="1" applyAlignment="1"/>
    <xf numFmtId="0" fontId="26" fillId="0" borderId="0" xfId="0" applyFont="1" applyFill="1" applyBorder="1" applyAlignment="1">
      <alignment horizontal="left"/>
    </xf>
    <xf numFmtId="0" fontId="1" fillId="0" borderId="0" xfId="0" applyFont="1" applyFill="1" applyBorder="1" applyAlignment="1">
      <alignment horizontal="left"/>
    </xf>
    <xf numFmtId="0" fontId="1" fillId="0" borderId="0" xfId="0" applyFont="1" applyFill="1" applyBorder="1"/>
    <xf numFmtId="0" fontId="1" fillId="0" borderId="0" xfId="0" applyFont="1" applyFill="1" applyBorder="1" applyAlignment="1">
      <alignment horizontal="left" vertical="center" wrapText="1"/>
    </xf>
    <xf numFmtId="0" fontId="0" fillId="0" borderId="0" xfId="0" applyFill="1" applyBorder="1"/>
    <xf numFmtId="0" fontId="29" fillId="0" borderId="71" xfId="0" applyFont="1" applyBorder="1" applyAlignment="1">
      <alignment horizontal="center" vertical="center"/>
    </xf>
    <xf numFmtId="0" fontId="11" fillId="4" borderId="49" xfId="0" applyFont="1" applyFill="1" applyBorder="1" applyAlignment="1">
      <alignment horizontal="center" vertical="center"/>
    </xf>
    <xf numFmtId="0" fontId="1" fillId="0" borderId="0" xfId="0" applyFont="1" applyFill="1" applyBorder="1" applyAlignment="1">
      <alignment horizontal="left" wrapText="1"/>
    </xf>
    <xf numFmtId="0" fontId="11" fillId="0" borderId="0" xfId="0" applyFont="1" applyFill="1"/>
    <xf numFmtId="0" fontId="7" fillId="6" borderId="21" xfId="6" applyFont="1" applyBorder="1" applyAlignment="1">
      <alignment horizontal="center" vertical="center"/>
    </xf>
    <xf numFmtId="0" fontId="11" fillId="0" borderId="0" xfId="0" applyFont="1" applyAlignment="1"/>
    <xf numFmtId="0" fontId="0" fillId="0" borderId="0" xfId="0" applyFont="1"/>
    <xf numFmtId="0" fontId="19" fillId="0" borderId="0" xfId="0" applyFont="1" applyAlignment="1"/>
    <xf numFmtId="0" fontId="37" fillId="0" borderId="0" xfId="0" applyFont="1" applyAlignment="1"/>
    <xf numFmtId="2" fontId="26" fillId="6" borderId="19" xfId="6" applyNumberFormat="1" applyFont="1" applyAlignment="1">
      <alignment horizontal="center" vertical="center"/>
    </xf>
    <xf numFmtId="164" fontId="26" fillId="8" borderId="45" xfId="2" applyNumberFormat="1" applyFont="1" applyFill="1" applyBorder="1" applyAlignment="1">
      <alignment horizontal="center" vertical="center"/>
    </xf>
    <xf numFmtId="2" fontId="26" fillId="6" borderId="20" xfId="6" applyNumberFormat="1" applyFont="1" applyBorder="1" applyAlignment="1">
      <alignment horizontal="center" vertical="center"/>
    </xf>
    <xf numFmtId="0" fontId="26" fillId="8" borderId="13" xfId="2" applyFont="1" applyFill="1" applyAlignment="1">
      <alignment horizontal="center"/>
    </xf>
    <xf numFmtId="1" fontId="7" fillId="8" borderId="41" xfId="2" applyNumberFormat="1" applyFont="1" applyFill="1" applyBorder="1" applyAlignment="1">
      <alignment horizontal="center"/>
    </xf>
    <xf numFmtId="1" fontId="7" fillId="8" borderId="64" xfId="2" applyNumberFormat="1" applyFont="1" applyFill="1" applyBorder="1" applyAlignment="1">
      <alignment horizontal="center"/>
    </xf>
    <xf numFmtId="1" fontId="7" fillId="8" borderId="66" xfId="2" applyNumberFormat="1" applyFont="1" applyFill="1" applyBorder="1" applyAlignment="1">
      <alignment horizontal="center"/>
    </xf>
    <xf numFmtId="1" fontId="7" fillId="8" borderId="65" xfId="2" applyNumberFormat="1" applyFont="1" applyFill="1" applyBorder="1" applyAlignment="1">
      <alignment horizontal="center"/>
    </xf>
    <xf numFmtId="1" fontId="26" fillId="7" borderId="16" xfId="2" applyNumberFormat="1" applyFont="1" applyFill="1" applyBorder="1" applyAlignment="1">
      <alignment horizontal="center"/>
    </xf>
    <xf numFmtId="1" fontId="26" fillId="8" borderId="20" xfId="2" applyNumberFormat="1" applyFont="1" applyFill="1" applyBorder="1" applyAlignment="1">
      <alignment horizontal="center"/>
    </xf>
    <xf numFmtId="1" fontId="26" fillId="8" borderId="34" xfId="2" applyNumberFormat="1" applyFont="1" applyFill="1" applyBorder="1" applyAlignment="1">
      <alignment horizontal="center"/>
    </xf>
    <xf numFmtId="2" fontId="7" fillId="10" borderId="13" xfId="2" applyNumberFormat="1" applyFont="1" applyFill="1" applyAlignment="1">
      <alignment horizontal="center"/>
    </xf>
    <xf numFmtId="165" fontId="7" fillId="10" borderId="13" xfId="2" applyNumberFormat="1" applyFont="1" applyFill="1" applyAlignment="1">
      <alignment horizontal="center"/>
    </xf>
    <xf numFmtId="0" fontId="24" fillId="0" borderId="35" xfId="0" applyFont="1" applyBorder="1" applyAlignment="1">
      <alignment horizontal="center"/>
    </xf>
    <xf numFmtId="0" fontId="0" fillId="4" borderId="77" xfId="0" applyFill="1" applyBorder="1" applyAlignment="1">
      <alignment horizontal="center" vertical="center"/>
    </xf>
    <xf numFmtId="0" fontId="0" fillId="4" borderId="36" xfId="0" applyFill="1" applyBorder="1" applyAlignment="1">
      <alignment horizontal="center" vertical="center"/>
    </xf>
    <xf numFmtId="2" fontId="7" fillId="10" borderId="84" xfId="7" applyNumberFormat="1" applyFont="1" applyFill="1" applyBorder="1" applyAlignment="1">
      <alignment horizontal="center"/>
    </xf>
    <xf numFmtId="165" fontId="7" fillId="10" borderId="85" xfId="2" applyNumberFormat="1" applyFont="1" applyFill="1" applyBorder="1" applyAlignment="1">
      <alignment horizontal="center"/>
    </xf>
    <xf numFmtId="2" fontId="7" fillId="10" borderId="21" xfId="4" applyNumberFormat="1" applyFont="1" applyFill="1" applyBorder="1" applyAlignment="1">
      <alignment horizontal="center"/>
    </xf>
    <xf numFmtId="0" fontId="1" fillId="0" borderId="14" xfId="0" applyFont="1" applyBorder="1" applyAlignment="1">
      <alignment wrapText="1"/>
    </xf>
    <xf numFmtId="4" fontId="26" fillId="8" borderId="4" xfId="2" applyNumberFormat="1" applyFont="1" applyFill="1" applyBorder="1" applyAlignment="1">
      <alignment horizontal="center"/>
    </xf>
    <xf numFmtId="39" fontId="26" fillId="8" borderId="1" xfId="3" applyNumberFormat="1" applyFont="1" applyFill="1" applyBorder="1" applyAlignment="1">
      <alignment horizontal="center"/>
    </xf>
    <xf numFmtId="39" fontId="26" fillId="8" borderId="23" xfId="3" applyNumberFormat="1" applyFont="1" applyFill="1" applyBorder="1" applyAlignment="1">
      <alignment horizontal="center"/>
    </xf>
    <xf numFmtId="4" fontId="7" fillId="5" borderId="57" xfId="4" applyNumberFormat="1" applyFont="1" applyBorder="1" applyAlignment="1">
      <alignment horizontal="center"/>
    </xf>
    <xf numFmtId="4" fontId="20" fillId="8" borderId="29" xfId="2" applyNumberFormat="1" applyFill="1" applyBorder="1" applyAlignment="1">
      <alignment horizontal="center"/>
    </xf>
    <xf numFmtId="4" fontId="20" fillId="8" borderId="54" xfId="2" applyNumberFormat="1" applyFill="1" applyBorder="1" applyAlignment="1">
      <alignment horizontal="center"/>
    </xf>
    <xf numFmtId="4" fontId="7" fillId="5" borderId="58" xfId="4" applyNumberFormat="1" applyFont="1" applyBorder="1" applyAlignment="1">
      <alignment horizontal="center"/>
    </xf>
    <xf numFmtId="4" fontId="20" fillId="8" borderId="13" xfId="2" applyNumberFormat="1" applyFill="1" applyAlignment="1">
      <alignment horizontal="center"/>
    </xf>
    <xf numFmtId="4" fontId="20" fillId="8" borderId="55" xfId="2" applyNumberFormat="1" applyFill="1" applyBorder="1" applyAlignment="1">
      <alignment horizontal="center"/>
    </xf>
    <xf numFmtId="4" fontId="7" fillId="5" borderId="59" xfId="4" applyNumberFormat="1" applyFont="1" applyBorder="1" applyAlignment="1">
      <alignment horizontal="center"/>
    </xf>
    <xf numFmtId="4" fontId="20" fillId="8" borderId="32" xfId="2" applyNumberFormat="1" applyFill="1" applyBorder="1" applyAlignment="1">
      <alignment horizontal="center"/>
    </xf>
    <xf numFmtId="4" fontId="20" fillId="8" borderId="60" xfId="2" applyNumberFormat="1" applyFill="1" applyBorder="1" applyAlignment="1">
      <alignment horizontal="center"/>
    </xf>
    <xf numFmtId="4" fontId="20" fillId="8" borderId="43" xfId="2" applyNumberFormat="1" applyFill="1" applyBorder="1" applyAlignment="1">
      <alignment horizontal="center"/>
    </xf>
    <xf numFmtId="4" fontId="20" fillId="8" borderId="33" xfId="2" applyNumberFormat="1" applyFill="1" applyBorder="1" applyAlignment="1">
      <alignment horizontal="center"/>
    </xf>
    <xf numFmtId="4" fontId="20" fillId="8" borderId="53" xfId="2" applyNumberFormat="1" applyFill="1" applyBorder="1" applyAlignment="1">
      <alignment horizontal="center"/>
    </xf>
    <xf numFmtId="4" fontId="26" fillId="8" borderId="33" xfId="3" applyNumberFormat="1" applyFont="1" applyFill="1" applyBorder="1" applyAlignment="1">
      <alignment horizontal="center"/>
    </xf>
    <xf numFmtId="4" fontId="26" fillId="8" borderId="29" xfId="2" applyNumberFormat="1" applyFont="1" applyFill="1" applyBorder="1" applyAlignment="1">
      <alignment horizontal="center"/>
    </xf>
    <xf numFmtId="4" fontId="26" fillId="8" borderId="32" xfId="3" applyNumberFormat="1" applyFont="1" applyFill="1" applyBorder="1" applyAlignment="1">
      <alignment horizontal="center"/>
    </xf>
    <xf numFmtId="2" fontId="26" fillId="8" borderId="33" xfId="2" applyNumberFormat="1" applyFont="1" applyFill="1" applyBorder="1" applyAlignment="1">
      <alignment horizontal="center" vertical="center"/>
    </xf>
    <xf numFmtId="4" fontId="26" fillId="8" borderId="42" xfId="2" applyNumberFormat="1" applyFont="1" applyFill="1" applyBorder="1" applyAlignment="1">
      <alignment horizontal="center" vertical="center"/>
    </xf>
    <xf numFmtId="4" fontId="7" fillId="10" borderId="13" xfId="2" applyNumberFormat="1" applyFont="1" applyFill="1" applyAlignment="1">
      <alignment horizontal="center" vertical="center"/>
    </xf>
    <xf numFmtId="4" fontId="26" fillId="8" borderId="43" xfId="2" applyNumberFormat="1" applyFont="1" applyFill="1" applyBorder="1" applyAlignment="1">
      <alignment horizontal="center" vertical="center"/>
    </xf>
    <xf numFmtId="2" fontId="7" fillId="8" borderId="44" xfId="4" applyNumberFormat="1" applyFont="1" applyFill="1" applyBorder="1" applyAlignment="1">
      <alignment horizontal="center" vertical="center"/>
    </xf>
    <xf numFmtId="0" fontId="27" fillId="4" borderId="49" xfId="0" applyFont="1" applyFill="1" applyBorder="1" applyAlignment="1">
      <alignment horizontal="center" vertical="center"/>
    </xf>
    <xf numFmtId="0" fontId="27" fillId="4" borderId="50" xfId="0" applyFont="1" applyFill="1" applyBorder="1" applyAlignment="1">
      <alignment horizontal="center" vertical="center"/>
    </xf>
    <xf numFmtId="0" fontId="27" fillId="4" borderId="21" xfId="0" applyFont="1" applyFill="1" applyBorder="1" applyAlignment="1">
      <alignment horizontal="center"/>
    </xf>
    <xf numFmtId="0" fontId="27" fillId="4" borderId="9" xfId="0" applyFont="1" applyFill="1" applyBorder="1" applyAlignment="1">
      <alignment horizontal="center" vertical="center"/>
    </xf>
    <xf numFmtId="0" fontId="27" fillId="4" borderId="3" xfId="0" applyFont="1" applyFill="1" applyBorder="1" applyAlignment="1">
      <alignment horizontal="center" vertical="center"/>
    </xf>
    <xf numFmtId="0" fontId="27" fillId="4" borderId="51" xfId="0" applyFont="1" applyFill="1" applyBorder="1" applyAlignment="1">
      <alignment horizontal="center" vertical="center"/>
    </xf>
    <xf numFmtId="0" fontId="27" fillId="4" borderId="28" xfId="0" applyFont="1" applyFill="1" applyBorder="1" applyAlignment="1">
      <alignment horizontal="center"/>
    </xf>
    <xf numFmtId="0" fontId="27" fillId="4" borderId="49" xfId="0" applyFont="1" applyFill="1" applyBorder="1" applyAlignment="1">
      <alignment horizontal="center"/>
    </xf>
    <xf numFmtId="0" fontId="27" fillId="4" borderId="50" xfId="0" applyFont="1" applyFill="1" applyBorder="1" applyAlignment="1">
      <alignment horizontal="center"/>
    </xf>
    <xf numFmtId="0" fontId="27" fillId="4" borderId="20" xfId="0" applyFont="1" applyFill="1" applyBorder="1" applyAlignment="1">
      <alignment horizontal="center"/>
    </xf>
    <xf numFmtId="0" fontId="27" fillId="4" borderId="46" xfId="0" applyFont="1" applyFill="1" applyBorder="1" applyAlignment="1">
      <alignment horizontal="center" vertical="center"/>
    </xf>
    <xf numFmtId="0" fontId="27" fillId="4" borderId="46" xfId="0" applyFont="1" applyFill="1" applyBorder="1" applyAlignment="1">
      <alignment horizontal="center"/>
    </xf>
    <xf numFmtId="4" fontId="26" fillId="8" borderId="41" xfId="2" applyNumberFormat="1" applyFont="1" applyFill="1" applyBorder="1" applyAlignment="1">
      <alignment horizontal="center" vertical="center"/>
    </xf>
    <xf numFmtId="4" fontId="26" fillId="8" borderId="22" xfId="2" applyNumberFormat="1" applyFont="1" applyFill="1" applyBorder="1" applyAlignment="1">
      <alignment horizontal="center" vertical="center"/>
    </xf>
    <xf numFmtId="4" fontId="26" fillId="8" borderId="41" xfId="2" applyNumberFormat="1" applyFont="1" applyFill="1" applyBorder="1" applyAlignment="1">
      <alignment horizontal="center"/>
    </xf>
    <xf numFmtId="4" fontId="26" fillId="8" borderId="22" xfId="2" applyNumberFormat="1" applyFont="1" applyFill="1" applyBorder="1" applyAlignment="1">
      <alignment horizontal="center"/>
    </xf>
    <xf numFmtId="4" fontId="33" fillId="8" borderId="13" xfId="2" applyNumberFormat="1" applyFont="1" applyFill="1" applyAlignment="1">
      <alignment horizontal="center"/>
    </xf>
    <xf numFmtId="4" fontId="33" fillId="8" borderId="79" xfId="2" applyNumberFormat="1" applyFont="1" applyFill="1" applyBorder="1" applyAlignment="1">
      <alignment horizontal="center"/>
    </xf>
    <xf numFmtId="4" fontId="33" fillId="8" borderId="80" xfId="2" applyNumberFormat="1" applyFont="1" applyFill="1" applyBorder="1" applyAlignment="1">
      <alignment horizontal="center"/>
    </xf>
    <xf numFmtId="4" fontId="33" fillId="8" borderId="66" xfId="2" applyNumberFormat="1" applyFont="1" applyFill="1" applyBorder="1" applyAlignment="1">
      <alignment horizontal="center"/>
    </xf>
    <xf numFmtId="4" fontId="33" fillId="8" borderId="65" xfId="2" applyNumberFormat="1" applyFont="1" applyFill="1" applyBorder="1" applyAlignment="1">
      <alignment horizontal="center"/>
    </xf>
    <xf numFmtId="4" fontId="33" fillId="8" borderId="82" xfId="2" applyNumberFormat="1" applyFont="1" applyFill="1" applyBorder="1" applyAlignment="1">
      <alignment horizontal="center"/>
    </xf>
    <xf numFmtId="4" fontId="20" fillId="8" borderId="62" xfId="2" applyNumberFormat="1" applyFill="1" applyBorder="1" applyAlignment="1">
      <alignment horizontal="center"/>
    </xf>
    <xf numFmtId="4" fontId="20" fillId="8" borderId="20" xfId="2" applyNumberFormat="1" applyFill="1" applyBorder="1" applyAlignment="1">
      <alignment horizontal="center"/>
    </xf>
    <xf numFmtId="4" fontId="33" fillId="8" borderId="61" xfId="2" applyNumberFormat="1" applyFont="1" applyFill="1" applyBorder="1" applyAlignment="1">
      <alignment horizontal="center"/>
    </xf>
    <xf numFmtId="4" fontId="33" fillId="8" borderId="64" xfId="2" applyNumberFormat="1" applyFont="1" applyFill="1" applyBorder="1" applyAlignment="1">
      <alignment horizontal="center"/>
    </xf>
    <xf numFmtId="4" fontId="33" fillId="8" borderId="63" xfId="2" applyNumberFormat="1" applyFont="1" applyFill="1" applyBorder="1" applyAlignment="1">
      <alignment horizontal="center"/>
    </xf>
    <xf numFmtId="3" fontId="33" fillId="8" borderId="65" xfId="2" applyNumberFormat="1" applyFont="1" applyFill="1" applyBorder="1" applyAlignment="1">
      <alignment horizontal="center"/>
    </xf>
    <xf numFmtId="166" fontId="33" fillId="8" borderId="64" xfId="2" applyNumberFormat="1" applyFont="1" applyFill="1" applyBorder="1" applyAlignment="1">
      <alignment horizontal="center"/>
    </xf>
    <xf numFmtId="166" fontId="20" fillId="8" borderId="20" xfId="2" applyNumberFormat="1" applyFill="1" applyBorder="1" applyAlignment="1">
      <alignment horizontal="center"/>
    </xf>
    <xf numFmtId="3" fontId="20" fillId="8" borderId="43" xfId="2" applyNumberFormat="1" applyFill="1" applyBorder="1" applyAlignment="1">
      <alignment horizontal="center"/>
    </xf>
    <xf numFmtId="0" fontId="1" fillId="0" borderId="10" xfId="0" applyFont="1" applyBorder="1" applyAlignment="1">
      <alignment horizontal="left" wrapText="1"/>
    </xf>
    <xf numFmtId="0" fontId="1" fillId="4" borderId="10" xfId="0" applyFont="1" applyFill="1" applyBorder="1" applyAlignment="1">
      <alignment horizontal="left" wrapText="1"/>
    </xf>
    <xf numFmtId="1" fontId="33" fillId="3" borderId="86" xfId="2" applyNumberFormat="1" applyFont="1" applyBorder="1" applyAlignment="1">
      <alignment horizontal="center"/>
    </xf>
    <xf numFmtId="1" fontId="33" fillId="3" borderId="87" xfId="2" applyNumberFormat="1" applyFont="1" applyBorder="1" applyAlignment="1">
      <alignment horizontal="center"/>
    </xf>
    <xf numFmtId="0" fontId="31" fillId="0" borderId="71" xfId="0" applyFont="1" applyBorder="1" applyAlignment="1"/>
    <xf numFmtId="1" fontId="33" fillId="3" borderId="90" xfId="2" applyNumberFormat="1" applyFont="1" applyBorder="1" applyAlignment="1">
      <alignment horizontal="center"/>
    </xf>
    <xf numFmtId="1" fontId="33" fillId="3" borderId="89" xfId="2" applyNumberFormat="1" applyFont="1" applyBorder="1" applyAlignment="1">
      <alignment horizontal="center"/>
    </xf>
    <xf numFmtId="3" fontId="33" fillId="8" borderId="91" xfId="2" applyNumberFormat="1" applyFont="1" applyFill="1" applyBorder="1" applyAlignment="1">
      <alignment horizontal="center"/>
    </xf>
    <xf numFmtId="3" fontId="33" fillId="8" borderId="56" xfId="2" applyNumberFormat="1" applyFont="1" applyFill="1" applyBorder="1" applyAlignment="1">
      <alignment horizontal="center"/>
    </xf>
    <xf numFmtId="1" fontId="33" fillId="3" borderId="92" xfId="2" applyNumberFormat="1" applyFont="1" applyBorder="1" applyAlignment="1">
      <alignment horizontal="center"/>
    </xf>
    <xf numFmtId="1" fontId="33" fillId="3" borderId="35" xfId="2" applyNumberFormat="1" applyFont="1" applyBorder="1" applyAlignment="1">
      <alignment horizontal="center"/>
    </xf>
    <xf numFmtId="0" fontId="31" fillId="0" borderId="56" xfId="0" applyFont="1" applyBorder="1"/>
    <xf numFmtId="0" fontId="38" fillId="0" borderId="0" xfId="0" applyFont="1"/>
    <xf numFmtId="0" fontId="0" fillId="0" borderId="1" xfId="0" applyBorder="1"/>
    <xf numFmtId="0" fontId="11" fillId="0" borderId="1" xfId="0" applyFont="1" applyBorder="1"/>
    <xf numFmtId="0" fontId="11"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wrapText="1"/>
    </xf>
    <xf numFmtId="4" fontId="7" fillId="5" borderId="17" xfId="4" applyNumberFormat="1" applyFont="1" applyAlignment="1" applyProtection="1">
      <alignment horizontal="center"/>
      <protection locked="0"/>
    </xf>
    <xf numFmtId="0" fontId="7" fillId="5" borderId="17" xfId="4" applyFont="1" applyAlignment="1" applyProtection="1">
      <alignment horizontal="center"/>
      <protection locked="0"/>
    </xf>
    <xf numFmtId="4" fontId="7" fillId="5" borderId="57" xfId="4" applyNumberFormat="1" applyFont="1" applyBorder="1" applyAlignment="1" applyProtection="1">
      <alignment horizontal="center"/>
      <protection locked="0"/>
    </xf>
    <xf numFmtId="4" fontId="7" fillId="5" borderId="58" xfId="4" applyNumberFormat="1" applyFont="1" applyBorder="1" applyAlignment="1" applyProtection="1">
      <alignment horizontal="center"/>
      <protection locked="0"/>
    </xf>
    <xf numFmtId="4" fontId="7" fillId="5" borderId="59" xfId="4" applyNumberFormat="1" applyFont="1" applyBorder="1" applyAlignment="1" applyProtection="1">
      <alignment horizontal="center"/>
      <protection locked="0"/>
    </xf>
    <xf numFmtId="39" fontId="7" fillId="5" borderId="17" xfId="3" applyNumberFormat="1" applyFont="1" applyFill="1" applyBorder="1" applyAlignment="1" applyProtection="1">
      <alignment horizontal="center" vertical="center"/>
      <protection locked="0"/>
    </xf>
    <xf numFmtId="2" fontId="7" fillId="5" borderId="17" xfId="4" applyNumberFormat="1" applyFont="1" applyAlignment="1" applyProtection="1">
      <alignment horizontal="center" vertical="center"/>
      <protection locked="0"/>
    </xf>
    <xf numFmtId="2" fontId="7" fillId="5" borderId="17" xfId="4" applyNumberFormat="1" applyFont="1" applyAlignment="1" applyProtection="1">
      <alignment horizontal="center"/>
      <protection locked="0"/>
    </xf>
    <xf numFmtId="0" fontId="26" fillId="5" borderId="74" xfId="4" applyFont="1" applyBorder="1" applyAlignment="1" applyProtection="1">
      <alignment horizontal="center" vertical="center"/>
      <protection locked="0"/>
    </xf>
    <xf numFmtId="4" fontId="7" fillId="5" borderId="70" xfId="4" applyNumberFormat="1" applyFont="1" applyBorder="1" applyAlignment="1" applyProtection="1">
      <alignment horizontal="center" vertical="center"/>
      <protection locked="0"/>
    </xf>
    <xf numFmtId="4" fontId="7" fillId="5" borderId="17" xfId="4" applyNumberFormat="1" applyFont="1" applyAlignment="1" applyProtection="1">
      <alignment horizontal="center" vertical="center"/>
      <protection locked="0"/>
    </xf>
    <xf numFmtId="4" fontId="7" fillId="5" borderId="75" xfId="4" applyNumberFormat="1" applyFont="1" applyBorder="1" applyAlignment="1" applyProtection="1">
      <alignment horizontal="center"/>
      <protection locked="0"/>
    </xf>
    <xf numFmtId="2" fontId="7" fillId="5" borderId="84" xfId="4" applyNumberFormat="1" applyFont="1" applyBorder="1" applyAlignment="1" applyProtection="1">
      <alignment horizontal="center"/>
      <protection locked="0"/>
    </xf>
    <xf numFmtId="0" fontId="7" fillId="5" borderId="73" xfId="4" applyFont="1" applyBorder="1" applyAlignment="1" applyProtection="1">
      <alignment horizontal="center"/>
      <protection locked="0"/>
    </xf>
    <xf numFmtId="0" fontId="7" fillId="5" borderId="67" xfId="4" applyNumberFormat="1" applyFont="1" applyBorder="1" applyAlignment="1" applyProtection="1">
      <alignment horizontal="center"/>
      <protection locked="0"/>
    </xf>
    <xf numFmtId="1" fontId="7" fillId="5" borderId="49" xfId="4" applyNumberFormat="1" applyFont="1" applyBorder="1" applyAlignment="1" applyProtection="1">
      <alignment horizontal="center"/>
      <protection locked="0"/>
    </xf>
    <xf numFmtId="0" fontId="7" fillId="5" borderId="68" xfId="4" applyNumberFormat="1" applyFont="1" applyBorder="1" applyAlignment="1" applyProtection="1">
      <alignment horizontal="center"/>
      <protection locked="0"/>
    </xf>
    <xf numFmtId="1" fontId="7" fillId="5" borderId="56" xfId="4" applyNumberFormat="1" applyFont="1" applyBorder="1" applyAlignment="1" applyProtection="1">
      <alignment horizontal="center"/>
      <protection locked="0"/>
    </xf>
    <xf numFmtId="0" fontId="7" fillId="5" borderId="69" xfId="4" applyNumberFormat="1" applyFont="1" applyBorder="1" applyAlignment="1" applyProtection="1">
      <alignment horizontal="center"/>
      <protection locked="0"/>
    </xf>
    <xf numFmtId="1" fontId="7" fillId="5" borderId="50" xfId="4" applyNumberFormat="1" applyFont="1" applyBorder="1" applyAlignment="1" applyProtection="1">
      <alignment horizontal="center"/>
      <protection locked="0"/>
    </xf>
    <xf numFmtId="4" fontId="7" fillId="5" borderId="77" xfId="4" applyNumberFormat="1" applyFont="1" applyBorder="1" applyAlignment="1" applyProtection="1">
      <alignment horizontal="center"/>
      <protection locked="0"/>
    </xf>
    <xf numFmtId="4" fontId="7" fillId="5" borderId="78" xfId="4" applyNumberFormat="1" applyFont="1" applyBorder="1" applyAlignment="1" applyProtection="1">
      <alignment horizontal="center"/>
      <protection locked="0"/>
    </xf>
    <xf numFmtId="4" fontId="7" fillId="5" borderId="35" xfId="4" applyNumberFormat="1" applyFont="1" applyBorder="1" applyAlignment="1" applyProtection="1">
      <alignment horizontal="center"/>
      <protection locked="0"/>
    </xf>
    <xf numFmtId="4" fontId="7" fillId="5" borderId="76" xfId="4" applyNumberFormat="1" applyFont="1" applyBorder="1" applyAlignment="1" applyProtection="1">
      <alignment horizontal="center"/>
      <protection locked="0"/>
    </xf>
    <xf numFmtId="4" fontId="7" fillId="5" borderId="36" xfId="4" applyNumberFormat="1" applyFont="1" applyBorder="1" applyAlignment="1" applyProtection="1">
      <alignment horizontal="center"/>
      <protection locked="0"/>
    </xf>
    <xf numFmtId="4" fontId="7" fillId="5" borderId="81" xfId="4" applyNumberFormat="1" applyFont="1" applyBorder="1" applyAlignment="1" applyProtection="1">
      <alignment horizontal="center"/>
      <protection locked="0"/>
    </xf>
    <xf numFmtId="3" fontId="7" fillId="5" borderId="57" xfId="4" applyNumberFormat="1" applyFont="1" applyBorder="1" applyAlignment="1" applyProtection="1">
      <alignment horizontal="center"/>
      <protection locked="0"/>
    </xf>
    <xf numFmtId="3" fontId="7" fillId="5" borderId="58" xfId="4" applyNumberFormat="1" applyFont="1" applyBorder="1" applyAlignment="1" applyProtection="1">
      <alignment horizontal="center"/>
      <protection locked="0"/>
    </xf>
    <xf numFmtId="3" fontId="7" fillId="5" borderId="88" xfId="4" applyNumberFormat="1" applyFont="1" applyBorder="1" applyAlignment="1" applyProtection="1">
      <alignment horizontal="center"/>
      <protection locked="0"/>
    </xf>
    <xf numFmtId="3" fontId="7" fillId="5" borderId="9" xfId="4" applyNumberFormat="1" applyFont="1" applyBorder="1" applyAlignment="1" applyProtection="1">
      <alignment horizontal="center"/>
      <protection locked="0"/>
    </xf>
    <xf numFmtId="3" fontId="7" fillId="5" borderId="16" xfId="4" applyNumberFormat="1" applyFont="1" applyBorder="1" applyAlignment="1" applyProtection="1">
      <alignment horizontal="center"/>
      <protection locked="0"/>
    </xf>
    <xf numFmtId="4" fontId="26" fillId="8" borderId="93" xfId="3" applyNumberFormat="1" applyFont="1" applyFill="1" applyBorder="1" applyAlignment="1">
      <alignment horizontal="center"/>
    </xf>
  </cellXfs>
  <cellStyles count="9">
    <cellStyle name="Comma" xfId="3" builtinId="3"/>
    <cellStyle name="Hyperlink" xfId="8" builtinId="8"/>
    <cellStyle name="Input" xfId="4" builtinId="20"/>
    <cellStyle name="Linked Cell" xfId="5" builtinId="24"/>
    <cellStyle name="Neutral" xfId="7" builtinId="28"/>
    <cellStyle name="Normal" xfId="0" builtinId="0"/>
    <cellStyle name="Note" xfId="6" builtinId="10"/>
    <cellStyle name="Output" xfId="2" builtinId="21"/>
    <cellStyle name="Percent" xfId="1" builtinId="5"/>
  </cellStyles>
  <dxfs count="0"/>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25400</xdr:rowOff>
    </xdr:from>
    <xdr:to>
      <xdr:col>12</xdr:col>
      <xdr:colOff>558800</xdr:colOff>
      <xdr:row>40</xdr:row>
      <xdr:rowOff>139700</xdr:rowOff>
    </xdr:to>
    <xdr:sp macro="" textlink="">
      <xdr:nvSpPr>
        <xdr:cNvPr id="2" name="TextBox 1">
          <a:extLst>
            <a:ext uri="{FF2B5EF4-FFF2-40B4-BE49-F238E27FC236}">
              <a16:creationId xmlns:a16="http://schemas.microsoft.com/office/drawing/2014/main" id="{7AB39785-C937-4CA2-BF1A-E919918CC458}"/>
            </a:ext>
          </a:extLst>
        </xdr:cNvPr>
        <xdr:cNvSpPr txBox="1"/>
      </xdr:nvSpPr>
      <xdr:spPr>
        <a:xfrm>
          <a:off x="647700" y="203200"/>
          <a:ext cx="7226300" cy="704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District</a:t>
          </a:r>
          <a:r>
            <a:rPr lang="en-US" sz="1600" b="1" baseline="0"/>
            <a:t> of Columbia</a:t>
          </a:r>
          <a:endParaRPr lang="en-US" sz="1600" b="1"/>
        </a:p>
        <a:p>
          <a:pPr algn="ctr"/>
          <a:r>
            <a:rPr lang="en-US" sz="1600" b="1"/>
            <a:t>Stormwater Management Guidebook</a:t>
          </a:r>
        </a:p>
        <a:p>
          <a:pPr algn="ctr"/>
          <a:r>
            <a:rPr lang="en-US" sz="1600" b="1"/>
            <a:t>Best</a:t>
          </a:r>
          <a:r>
            <a:rPr lang="en-US" sz="1600" b="1" baseline="0"/>
            <a:t> Management Practices Calculator</a:t>
          </a:r>
        </a:p>
        <a:p>
          <a:pPr algn="ctr"/>
          <a:r>
            <a:rPr lang="en-US" sz="1600" b="1" baseline="0"/>
            <a:t>Version 7</a:t>
          </a:r>
        </a:p>
        <a:p>
          <a:endParaRPr lang="en-US" sz="1200" baseline="0"/>
        </a:p>
        <a:p>
          <a:endParaRPr lang="en-US" sz="1400" b="1" kern="1200" baseline="0"/>
        </a:p>
        <a:p>
          <a:r>
            <a:rPr lang="en-US" sz="1400" b="1" kern="1200" baseline="0"/>
            <a:t>Instructions:</a:t>
          </a:r>
        </a:p>
        <a:p>
          <a:endParaRPr lang="en-US" sz="1400" b="1" kern="1200" baseline="0"/>
        </a:p>
        <a:p>
          <a:r>
            <a:rPr lang="en-US" sz="1400" kern="1200"/>
            <a:t>1.</a:t>
          </a:r>
          <a:r>
            <a:rPr lang="en-US" sz="1400" kern="1200" baseline="0"/>
            <a:t> Select tab with BMP of interest. Tab names BMPs are listed with the corresponding section of the DC Stormwater Management Guidebook (2019). For Rainwater Harvesting, refer to the Rainwater Harvesting Retention Calculator.</a:t>
          </a:r>
        </a:p>
        <a:p>
          <a:endParaRPr lang="en-US" sz="1400" kern="1200" baseline="0"/>
        </a:p>
        <a:p>
          <a:r>
            <a:rPr lang="en-US" sz="1400" kern="1200" baseline="0"/>
            <a:t>2. Enter data into cells highlighted orange. Some cells are drop down selection lists, as described in the notes.</a:t>
          </a:r>
        </a:p>
        <a:p>
          <a:endParaRPr lang="en-US" sz="1400" kern="1200" baseline="0"/>
        </a:p>
        <a:p>
          <a:r>
            <a:rPr lang="en-US" sz="1400" kern="1200" baseline="0"/>
            <a:t>3. Calculated values will appear in cells highlighted gray.</a:t>
          </a:r>
        </a:p>
        <a:p>
          <a:endParaRPr lang="en-US" sz="1400" kern="1200" baseline="0"/>
        </a:p>
        <a:p>
          <a:r>
            <a:rPr lang="en-US" sz="1400" kern="1200" baseline="0"/>
            <a:t>4. Checks appear in cells highlighted yellow.</a:t>
          </a:r>
        </a:p>
        <a:p>
          <a:endParaRPr lang="en-US" sz="1400" kern="1200" baseline="0"/>
        </a:p>
        <a:p>
          <a:r>
            <a:rPr lang="en-US" sz="1400" kern="1200" baseline="0"/>
            <a:t>5. Refer to text in </a:t>
          </a:r>
          <a:r>
            <a:rPr lang="en-US" sz="1400" kern="1200" baseline="0">
              <a:solidFill>
                <a:srgbClr val="FF0000"/>
              </a:solidFill>
            </a:rPr>
            <a:t>red</a:t>
          </a:r>
          <a:r>
            <a:rPr lang="en-US" sz="1400" kern="1200" baseline="0"/>
            <a:t> for important notes.</a:t>
          </a:r>
        </a:p>
        <a:p>
          <a:endParaRPr lang="en-US" sz="1400" kern="1200" baseline="0"/>
        </a:p>
        <a:p>
          <a:r>
            <a:rPr lang="en-US" sz="1400" kern="1200" baseline="0"/>
            <a:t>6. To add results to the report, either print or copy and paste, as described below.</a:t>
          </a:r>
        </a:p>
        <a:p>
          <a:r>
            <a:rPr lang="en-US" sz="1400" kern="1200" baseline="0"/>
            <a:t>	6a. Print area is set for each sheet. Ensure print margins are centered horizontally. 	(To do this, first select the worksheet to be printed. Select Print, Page Setup, 	Margins, then check the box next to Horizontally.) Print desired sheet to PDF.</a:t>
          </a:r>
        </a:p>
        <a:p>
          <a:r>
            <a:rPr lang="en-US" sz="1400" kern="1200" baseline="0"/>
            <a:t>	</a:t>
          </a:r>
        </a:p>
        <a:p>
          <a:r>
            <a:rPr lang="en-US" sz="1400" kern="1200" baseline="0"/>
            <a:t>	6b. To copy into a report, either print to PDF or, to copy and paste, start at bottom 	right cell to more easily select desired area (the equation information is a text box).</a:t>
          </a:r>
        </a:p>
        <a:p>
          <a:endParaRPr lang="en-US" sz="1400" kern="1200" baseline="0"/>
        </a:p>
        <a:p>
          <a:r>
            <a:rPr lang="en-US" sz="1400" kern="1200" baseline="0"/>
            <a:t>7. To clear previously entered data, click on button to the right of the data entry on each sheet.</a:t>
          </a:r>
          <a:endParaRPr lang="en-US" sz="1100" kern="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27</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6DC72923-5615-40D4-B6B3-5FAE8205275E}"/>
                </a:ext>
              </a:extLst>
            </xdr:cNvPr>
            <xdr:cNvSpPr txBox="1"/>
          </xdr:nvSpPr>
          <xdr:spPr>
            <a:xfrm>
              <a:off x="358140" y="198120"/>
              <a:ext cx="5974080" cy="396240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3.2 GREEN</a:t>
              </a:r>
              <a:r>
                <a:rPr lang="en-US" sz="1400" b="1" baseline="0">
                  <a:solidFill>
                    <a:schemeClr val="dk1"/>
                  </a:solidFill>
                  <a:effectLst/>
                  <a:latin typeface="+mn-lt"/>
                  <a:ea typeface="+mn-ea"/>
                  <a:cs typeface="+mn-cs"/>
                </a:rPr>
                <a:t> ROOF</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r>
                <a:rPr lang="en-US" sz="1100" b="1" i="0">
                  <a:solidFill>
                    <a:schemeClr val="dk1"/>
                  </a:solidFill>
                  <a:effectLst/>
                  <a:latin typeface="+mn-lt"/>
                  <a:ea typeface="+mn-ea"/>
                  <a:cs typeface="+mn-cs"/>
                </a:rPr>
                <a:t>Design Types</a:t>
              </a:r>
              <a:endParaRPr lang="en-US" sz="1200">
                <a:effectLst/>
              </a:endParaRPr>
            </a:p>
            <a:p>
              <a:r>
                <a:rPr lang="en-US" sz="1100" b="1" i="0">
                  <a:solidFill>
                    <a:schemeClr val="dk1"/>
                  </a:solidFill>
                  <a:effectLst/>
                  <a:latin typeface="+mn-lt"/>
                  <a:ea typeface="+mn-ea"/>
                  <a:cs typeface="+mn-cs"/>
                </a:rPr>
                <a:t>Non-Irrigated.</a:t>
              </a:r>
              <a:r>
                <a:rPr lang="en-US" sz="1100" i="0">
                  <a:solidFill>
                    <a:schemeClr val="dk1"/>
                  </a:solidFill>
                  <a:effectLst/>
                  <a:latin typeface="+mn-lt"/>
                  <a:ea typeface="+mn-ea"/>
                  <a:cs typeface="+mn-cs"/>
                </a:rPr>
                <a:t> </a:t>
              </a:r>
              <a:r>
                <a:rPr lang="en-US" sz="1100">
                  <a:solidFill>
                    <a:schemeClr val="dk1"/>
                  </a:solidFill>
                  <a:effectLst/>
                  <a:latin typeface="+mn-lt"/>
                  <a:ea typeface="+mn-ea"/>
                  <a:cs typeface="+mn-cs"/>
                </a:rPr>
                <a:t>Green roof designs that do not incorporate permanent irrigation.</a:t>
              </a:r>
              <a:endParaRPr lang="en-US" sz="1200">
                <a:effectLst/>
              </a:endParaRPr>
            </a:p>
            <a:p>
              <a:pPr eaLnBrk="1" fontAlgn="auto" latinLnBrk="0" hangingPunct="1"/>
              <a:r>
                <a:rPr lang="en-US" sz="1100" b="1" i="0">
                  <a:solidFill>
                    <a:schemeClr val="dk1"/>
                  </a:solidFill>
                  <a:effectLst/>
                  <a:latin typeface="+mn-lt"/>
                  <a:ea typeface="+mn-ea"/>
                  <a:cs typeface="+mn-cs"/>
                </a:rPr>
                <a:t>Irrigated.</a:t>
              </a:r>
              <a:r>
                <a:rPr lang="en-US" sz="1100" i="0">
                  <a:solidFill>
                    <a:schemeClr val="dk1"/>
                  </a:solidFill>
                  <a:effectLst/>
                  <a:latin typeface="+mn-lt"/>
                  <a:ea typeface="+mn-ea"/>
                  <a:cs typeface="+mn-cs"/>
                </a:rPr>
                <a:t> Green roof</a:t>
              </a:r>
              <a:r>
                <a:rPr lang="en-US" sz="1100" i="0" baseline="0">
                  <a:solidFill>
                    <a:schemeClr val="dk1"/>
                  </a:solidFill>
                  <a:effectLst/>
                  <a:latin typeface="+mn-lt"/>
                  <a:ea typeface="+mn-ea"/>
                  <a:cs typeface="+mn-cs"/>
                </a:rPr>
                <a:t> designs </a:t>
              </a:r>
              <a:r>
                <a:rPr lang="en-US" sz="1100" i="0">
                  <a:solidFill>
                    <a:schemeClr val="dk1"/>
                  </a:solidFill>
                  <a:effectLst/>
                  <a:latin typeface="+mn-lt"/>
                  <a:ea typeface="+mn-ea"/>
                  <a:cs typeface="+mn-cs"/>
                </a:rPr>
                <a:t>that incorporate permanent irrigation</a:t>
              </a:r>
              <a:r>
                <a:rPr lang="en-US" sz="1100" i="0" baseline="0">
                  <a:solidFill>
                    <a:schemeClr val="dk1"/>
                  </a:solidFill>
                  <a:effectLst/>
                  <a:latin typeface="+mn-lt"/>
                  <a:ea typeface="+mn-ea"/>
                  <a:cs typeface="+mn-cs"/>
                </a:rPr>
                <a:t> and require soil moisture monitoring</a:t>
              </a:r>
              <a:r>
                <a:rPr lang="en-US" sz="1100">
                  <a:solidFill>
                    <a:schemeClr val="dk1"/>
                  </a:solidFill>
                  <a:effectLst/>
                  <a:latin typeface="+mn-lt"/>
                  <a:ea typeface="+mn-ea"/>
                  <a:cs typeface="+mn-cs"/>
                </a:rPr>
                <a:t>.</a:t>
              </a:r>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Green Roof Storage Volume</a:t>
              </a:r>
              <a:endParaRPr lang="en-US" sz="1200" b="1" baseline="0">
                <a:solidFill>
                  <a:schemeClr val="dk1"/>
                </a:solidFill>
                <a:effectLst/>
                <a:latin typeface="+mn-lt"/>
                <a:ea typeface="+mn-ea"/>
                <a:cs typeface="+mn-cs"/>
              </a:endParaRPr>
            </a:p>
            <a:p>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f>
                      <m:fPr>
                        <m:ctrlPr>
                          <a:rPr lang="en-US" sz="1200" i="1">
                            <a:solidFill>
                              <a:schemeClr val="dk1"/>
                            </a:solidFill>
                            <a:effectLst/>
                            <a:latin typeface="Cambria Math" panose="02040503050406030204" pitchFamily="18" charset="0"/>
                            <a:ea typeface="+mn-ea"/>
                            <a:cs typeface="+mn-cs"/>
                          </a:rPr>
                        </m:ctrlPr>
                      </m:fPr>
                      <m:num>
                        <m:r>
                          <a:rPr lang="en-US" sz="1200" i="1">
                            <a:solidFill>
                              <a:schemeClr val="dk1"/>
                            </a:solidFill>
                            <a:effectLst/>
                            <a:latin typeface="Cambria Math" panose="02040503050406030204" pitchFamily="18" charset="0"/>
                            <a:ea typeface="+mn-ea"/>
                            <a:cs typeface="+mn-cs"/>
                          </a:rPr>
                          <m:t>𝑆𝐴</m:t>
                        </m:r>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r>
                              <a:rPr lang="en-US" sz="1200" i="1">
                                <a:solidFill>
                                  <a:schemeClr val="dk1"/>
                                </a:solidFill>
                                <a:effectLst/>
                                <a:latin typeface="Cambria Math" panose="02040503050406030204" pitchFamily="18" charset="0"/>
                                <a:ea typeface="+mn-ea"/>
                                <a:cs typeface="+mn-cs"/>
                              </a:rPr>
                              <m:t>𝑑</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1</m:t>
                                </m:r>
                              </m:sub>
                            </m:sSub>
                          </m:e>
                        </m:d>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r>
                              <a:rPr lang="en-US" sz="1200" i="1">
                                <a:solidFill>
                                  <a:schemeClr val="dk1"/>
                                </a:solidFill>
                                <a:effectLst/>
                                <a:latin typeface="Cambria Math" panose="02040503050406030204" pitchFamily="18" charset="0"/>
                                <a:ea typeface="+mn-ea"/>
                                <a:cs typeface="+mn-cs"/>
                              </a:rPr>
                              <m:t>𝐷𝐿</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2</m:t>
                                </m:r>
                              </m:sub>
                            </m:sSub>
                          </m:e>
                        </m:d>
                        <m:r>
                          <a:rPr lang="en-US" sz="1200" i="1">
                            <a:solidFill>
                              <a:schemeClr val="dk1"/>
                            </a:solidFill>
                            <a:effectLst/>
                            <a:latin typeface="Cambria Math" panose="02040503050406030204" pitchFamily="18" charset="0"/>
                            <a:ea typeface="+mn-ea"/>
                            <a:cs typeface="+mn-cs"/>
                          </a:rPr>
                          <m:t>]</m:t>
                        </m:r>
                      </m:num>
                      <m:den>
                        <m:r>
                          <a:rPr lang="en-US" sz="1200" i="1">
                            <a:solidFill>
                              <a:schemeClr val="dk1"/>
                            </a:solidFill>
                            <a:effectLst/>
                            <a:latin typeface="Cambria Math" panose="02040503050406030204" pitchFamily="18" charset="0"/>
                            <a:ea typeface="+mn-ea"/>
                            <a:cs typeface="+mn-cs"/>
                          </a:rPr>
                          <m:t>12</m:t>
                        </m:r>
                      </m:den>
                    </m:f>
                  </m:oMath>
                </m:oMathPara>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Sv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 </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media depth (in) </a:t>
              </a:r>
              <a:endParaRPr lang="en-US" sz="1100">
                <a:solidFill>
                  <a:sysClr val="windowText" lastClr="000000"/>
                </a:solidFill>
                <a:effectLst/>
                <a:latin typeface="+mn-lt"/>
                <a:ea typeface="+mn-ea"/>
                <a:cs typeface="+mn-cs"/>
              </a:endParaRPr>
            </a:p>
            <a:p>
              <a:r>
                <a:rPr lang="en-US" sz="1100">
                  <a:solidFill>
                    <a:sysClr val="windowText" lastClr="000000"/>
                  </a:solidFill>
                  <a:effectLst/>
                  <a:latin typeface="+mn-lt"/>
                  <a:ea typeface="+mn-ea"/>
                  <a:cs typeface="+mn-cs"/>
                </a:rPr>
                <a:t>	</a:t>
              </a:r>
              <a14:m>
                <m:oMath xmlns:m="http://schemas.openxmlformats.org/officeDocument/2006/math">
                  <m:sSub>
                    <m:sSubPr>
                      <m:ctrlPr>
                        <a:rPr lang="en-US" sz="1100" i="1">
                          <a:solidFill>
                            <a:sysClr val="windowText" lastClr="000000"/>
                          </a:solidFill>
                          <a:effectLst/>
                          <a:latin typeface="Cambria Math" panose="02040503050406030204" pitchFamily="18" charset="0"/>
                          <a:ea typeface="+mn-ea"/>
                          <a:cs typeface="+mn-cs"/>
                        </a:rPr>
                      </m:ctrlPr>
                    </m:sSubPr>
                    <m:e>
                      <m:r>
                        <a:rPr lang="en-US" sz="1100" b="0" i="1">
                          <a:solidFill>
                            <a:sysClr val="windowText" lastClr="000000"/>
                          </a:solidFill>
                          <a:effectLst/>
                          <a:latin typeface="Cambria Math" panose="02040503050406030204" pitchFamily="18" charset="0"/>
                          <a:ea typeface="+mn-ea"/>
                          <a:cs typeface="+mn-cs"/>
                        </a:rPr>
                        <m:t> </m:t>
                      </m:r>
                      <m:r>
                        <a:rPr lang="en-US" sz="1100" i="1">
                          <a:solidFill>
                            <a:sysClr val="windowText" lastClr="000000"/>
                          </a:solidFill>
                          <a:effectLst/>
                          <a:latin typeface="Cambria Math" panose="02040503050406030204" pitchFamily="18" charset="0"/>
                          <a:ea typeface="+mn-ea"/>
                          <a:cs typeface="+mn-cs"/>
                        </a:rPr>
                        <m:t>𝜂</m:t>
                      </m:r>
                    </m:e>
                    <m:sub>
                      <m:r>
                        <a:rPr lang="en-US" sz="1100" i="1">
                          <a:solidFill>
                            <a:sysClr val="windowText" lastClr="000000"/>
                          </a:solidFill>
                          <a:effectLst/>
                          <a:latin typeface="Cambria Math" panose="02040503050406030204" pitchFamily="18" charset="0"/>
                          <a:ea typeface="+mn-ea"/>
                          <a:cs typeface="+mn-cs"/>
                        </a:rPr>
                        <m:t>1</m:t>
                      </m:r>
                    </m:sub>
                  </m:sSub>
                </m:oMath>
              </a14:m>
              <a:r>
                <a:rPr lang="en-US" sz="1100">
                  <a:solidFill>
                    <a:sysClr val="windowText" lastClr="000000"/>
                  </a:solidFill>
                  <a:effectLst/>
                  <a:latin typeface="+mn-lt"/>
                  <a:ea typeface="+mn-ea"/>
                  <a:cs typeface="+mn-cs"/>
                </a:rPr>
                <a:t>   =</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verified media maximum water retention</a:t>
              </a:r>
            </a:p>
            <a:p>
              <a:r>
                <a:rPr lang="en-US" sz="1100" i="1">
                  <a:solidFill>
                    <a:sysClr val="windowText" lastClr="000000"/>
                  </a:solidFill>
                  <a:effectLst/>
                  <a:latin typeface="+mn-lt"/>
                  <a:ea typeface="+mn-ea"/>
                  <a:cs typeface="+mn-cs"/>
                </a:rPr>
                <a:t>	DL</a:t>
              </a:r>
              <a:r>
                <a:rPr lang="en-US" sz="1100" i="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drainage layer depth (in)</a:t>
              </a:r>
            </a:p>
            <a:p>
              <a:r>
                <a:rPr lang="en-US" sz="1100">
                  <a:solidFill>
                    <a:sysClr val="windowText" lastClr="000000"/>
                  </a:solidFill>
                  <a:effectLst/>
                  <a:latin typeface="+mn-lt"/>
                  <a:ea typeface="+mn-ea"/>
                  <a:cs typeface="+mn-cs"/>
                </a:rPr>
                <a:t>	</a:t>
              </a:r>
              <a14:m>
                <m:oMath xmlns:m="http://schemas.openxmlformats.org/officeDocument/2006/math">
                  <m:sSub>
                    <m:sSubPr>
                      <m:ctrlPr>
                        <a:rPr lang="en-US" sz="1100" i="1">
                          <a:solidFill>
                            <a:sysClr val="windowText" lastClr="000000"/>
                          </a:solidFill>
                          <a:effectLst/>
                          <a:latin typeface="Cambria Math" panose="02040503050406030204" pitchFamily="18" charset="0"/>
                          <a:ea typeface="+mn-ea"/>
                          <a:cs typeface="+mn-cs"/>
                        </a:rPr>
                      </m:ctrlPr>
                    </m:sSubPr>
                    <m:e>
                      <m:r>
                        <a:rPr lang="en-US" sz="1100" i="1">
                          <a:solidFill>
                            <a:sysClr val="windowText" lastClr="000000"/>
                          </a:solidFill>
                          <a:effectLst/>
                          <a:latin typeface="Cambria Math" panose="02040503050406030204" pitchFamily="18" charset="0"/>
                          <a:ea typeface="+mn-ea"/>
                          <a:cs typeface="+mn-cs"/>
                        </a:rPr>
                        <m:t>𝜂</m:t>
                      </m:r>
                    </m:e>
                    <m:sub>
                      <m:r>
                        <a:rPr lang="en-US" sz="1100" i="1">
                          <a:solidFill>
                            <a:sysClr val="windowText" lastClr="000000"/>
                          </a:solidFill>
                          <a:effectLst/>
                          <a:latin typeface="Cambria Math" panose="02040503050406030204" pitchFamily="18" charset="0"/>
                          <a:ea typeface="+mn-ea"/>
                          <a:cs typeface="+mn-cs"/>
                        </a:rPr>
                        <m:t>2</m:t>
                      </m:r>
                    </m:sub>
                  </m:sSub>
                </m:oMath>
              </a14:m>
              <a:r>
                <a:rPr lang="en-US" sz="1100">
                  <a:solidFill>
                    <a:sysClr val="windowText" lastClr="000000"/>
                  </a:solidFill>
                  <a:effectLst/>
                  <a:latin typeface="+mn-lt"/>
                  <a:ea typeface="+mn-ea"/>
                  <a:cs typeface="+mn-cs"/>
                </a:rPr>
                <a:t>    =   verified drainage layer maximum water retention</a:t>
              </a:r>
            </a:p>
            <a:p>
              <a:endParaRPr lang="en-US" sz="12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100" b="1" baseline="0">
                  <a:solidFill>
                    <a:schemeClr val="dk1"/>
                  </a:solidFill>
                  <a:effectLst/>
                  <a:latin typeface="+mn-lt"/>
                  <a:ea typeface="+mn-ea"/>
                  <a:cs typeface="+mn-cs"/>
                </a:rPr>
                <a:t>Non-irrigated green roofs</a:t>
              </a:r>
              <a:r>
                <a:rPr lang="en-US" sz="1100" b="0" baseline="0">
                  <a:solidFill>
                    <a:schemeClr val="dk1"/>
                  </a:solidFill>
                  <a:effectLst/>
                  <a:latin typeface="+mn-lt"/>
                  <a:ea typeface="+mn-ea"/>
                  <a:cs typeface="+mn-cs"/>
                </a:rPr>
                <a:t> retain 100%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endParaRPr lang="en-US" sz="1200">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Sv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sz="1200">
                <a:effectLst/>
              </a:endParaRPr>
            </a:p>
            <a:p>
              <a:endParaRPr lang="en-US" sz="1200">
                <a:solidFill>
                  <a:schemeClr val="dk1"/>
                </a:solidFill>
                <a:effectLst/>
                <a:latin typeface="+mn-lt"/>
                <a:ea typeface="+mn-ea"/>
                <a:cs typeface="+mn-cs"/>
              </a:endParaRPr>
            </a:p>
            <a:p>
              <a:r>
                <a:rPr lang="en-US" sz="1100" b="1" baseline="0">
                  <a:solidFill>
                    <a:schemeClr val="dk1"/>
                  </a:solidFill>
                  <a:effectLst/>
                  <a:latin typeface="+mn-lt"/>
                  <a:ea typeface="+mn-ea"/>
                  <a:cs typeface="+mn-cs"/>
                </a:rPr>
                <a:t>Irrigated green roofs</a:t>
              </a:r>
              <a:r>
                <a:rPr lang="en-US" sz="1100" b="0" baseline="0">
                  <a:solidFill>
                    <a:schemeClr val="dk1"/>
                  </a:solidFill>
                  <a:effectLst/>
                  <a:latin typeface="+mn-lt"/>
                  <a:ea typeface="+mn-ea"/>
                  <a:cs typeface="+mn-cs"/>
                </a:rPr>
                <a:t> retain 50% of their storage volume, therefore:</a:t>
              </a:r>
            </a:p>
            <a:p>
              <a:endParaRPr lang="en-US">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=0.5 × </m:t>
                    </m:r>
                    <m:r>
                      <a:rPr lang="en-US" sz="1200" b="0" i="1">
                        <a:solidFill>
                          <a:schemeClr val="dk1"/>
                        </a:solidFill>
                        <a:effectLst/>
                        <a:latin typeface="Cambria Math" panose="02040503050406030204" pitchFamily="18" charset="0"/>
                        <a:ea typeface="+mn-ea"/>
                        <a:cs typeface="+mn-cs"/>
                      </a:rPr>
                      <m:t>𝑆𝑣</m:t>
                    </m:r>
                  </m:oMath>
                </m:oMathPara>
              </a14:m>
              <a:endParaRPr lang="en-US" sz="120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6DC72923-5615-40D4-B6B3-5FAE8205275E}"/>
                </a:ext>
              </a:extLst>
            </xdr:cNvPr>
            <xdr:cNvSpPr txBox="1"/>
          </xdr:nvSpPr>
          <xdr:spPr>
            <a:xfrm>
              <a:off x="358140" y="198120"/>
              <a:ext cx="5974080" cy="396240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3.2 GREEN</a:t>
              </a:r>
              <a:r>
                <a:rPr lang="en-US" sz="1400" b="1" baseline="0">
                  <a:solidFill>
                    <a:schemeClr val="dk1"/>
                  </a:solidFill>
                  <a:effectLst/>
                  <a:latin typeface="+mn-lt"/>
                  <a:ea typeface="+mn-ea"/>
                  <a:cs typeface="+mn-cs"/>
                </a:rPr>
                <a:t> ROOF</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r>
                <a:rPr lang="en-US" sz="1100" b="1" i="0">
                  <a:solidFill>
                    <a:schemeClr val="dk1"/>
                  </a:solidFill>
                  <a:effectLst/>
                  <a:latin typeface="+mn-lt"/>
                  <a:ea typeface="+mn-ea"/>
                  <a:cs typeface="+mn-cs"/>
                </a:rPr>
                <a:t>Design Types</a:t>
              </a:r>
              <a:endParaRPr lang="en-US" sz="1200">
                <a:effectLst/>
              </a:endParaRPr>
            </a:p>
            <a:p>
              <a:r>
                <a:rPr lang="en-US" sz="1100" b="1" i="0">
                  <a:solidFill>
                    <a:schemeClr val="dk1"/>
                  </a:solidFill>
                  <a:effectLst/>
                  <a:latin typeface="+mn-lt"/>
                  <a:ea typeface="+mn-ea"/>
                  <a:cs typeface="+mn-cs"/>
                </a:rPr>
                <a:t>Non-Irrigated.</a:t>
              </a:r>
              <a:r>
                <a:rPr lang="en-US" sz="1100" i="0">
                  <a:solidFill>
                    <a:schemeClr val="dk1"/>
                  </a:solidFill>
                  <a:effectLst/>
                  <a:latin typeface="+mn-lt"/>
                  <a:ea typeface="+mn-ea"/>
                  <a:cs typeface="+mn-cs"/>
                </a:rPr>
                <a:t> </a:t>
              </a:r>
              <a:r>
                <a:rPr lang="en-US" sz="1100">
                  <a:solidFill>
                    <a:schemeClr val="dk1"/>
                  </a:solidFill>
                  <a:effectLst/>
                  <a:latin typeface="+mn-lt"/>
                  <a:ea typeface="+mn-ea"/>
                  <a:cs typeface="+mn-cs"/>
                </a:rPr>
                <a:t>Green roof designs that do not incorporate permanent irrigation.</a:t>
              </a:r>
              <a:endParaRPr lang="en-US" sz="1200">
                <a:effectLst/>
              </a:endParaRPr>
            </a:p>
            <a:p>
              <a:pPr eaLnBrk="1" fontAlgn="auto" latinLnBrk="0" hangingPunct="1"/>
              <a:r>
                <a:rPr lang="en-US" sz="1100" b="1" i="0">
                  <a:solidFill>
                    <a:schemeClr val="dk1"/>
                  </a:solidFill>
                  <a:effectLst/>
                  <a:latin typeface="+mn-lt"/>
                  <a:ea typeface="+mn-ea"/>
                  <a:cs typeface="+mn-cs"/>
                </a:rPr>
                <a:t>Irrigated.</a:t>
              </a:r>
              <a:r>
                <a:rPr lang="en-US" sz="1100" i="0">
                  <a:solidFill>
                    <a:schemeClr val="dk1"/>
                  </a:solidFill>
                  <a:effectLst/>
                  <a:latin typeface="+mn-lt"/>
                  <a:ea typeface="+mn-ea"/>
                  <a:cs typeface="+mn-cs"/>
                </a:rPr>
                <a:t> Green roof</a:t>
              </a:r>
              <a:r>
                <a:rPr lang="en-US" sz="1100" i="0" baseline="0">
                  <a:solidFill>
                    <a:schemeClr val="dk1"/>
                  </a:solidFill>
                  <a:effectLst/>
                  <a:latin typeface="+mn-lt"/>
                  <a:ea typeface="+mn-ea"/>
                  <a:cs typeface="+mn-cs"/>
                </a:rPr>
                <a:t> designs </a:t>
              </a:r>
              <a:r>
                <a:rPr lang="en-US" sz="1100" i="0">
                  <a:solidFill>
                    <a:schemeClr val="dk1"/>
                  </a:solidFill>
                  <a:effectLst/>
                  <a:latin typeface="+mn-lt"/>
                  <a:ea typeface="+mn-ea"/>
                  <a:cs typeface="+mn-cs"/>
                </a:rPr>
                <a:t>that incorporate permanent irrigation</a:t>
              </a:r>
              <a:r>
                <a:rPr lang="en-US" sz="1100" i="0" baseline="0">
                  <a:solidFill>
                    <a:schemeClr val="dk1"/>
                  </a:solidFill>
                  <a:effectLst/>
                  <a:latin typeface="+mn-lt"/>
                  <a:ea typeface="+mn-ea"/>
                  <a:cs typeface="+mn-cs"/>
                </a:rPr>
                <a:t> and require soil moisture monitoring</a:t>
              </a:r>
              <a:r>
                <a:rPr lang="en-US" sz="1100">
                  <a:solidFill>
                    <a:schemeClr val="dk1"/>
                  </a:solidFill>
                  <a:effectLst/>
                  <a:latin typeface="+mn-lt"/>
                  <a:ea typeface="+mn-ea"/>
                  <a:cs typeface="+mn-cs"/>
                </a:rPr>
                <a:t>.</a:t>
              </a:r>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Green Roof Storage Volume</a:t>
              </a:r>
              <a:endParaRPr lang="en-US" sz="1200" b="1" baseline="0">
                <a:solidFill>
                  <a:schemeClr val="dk1"/>
                </a:solidFill>
                <a:effectLst/>
                <a:latin typeface="+mn-lt"/>
                <a:ea typeface="+mn-ea"/>
                <a:cs typeface="+mn-cs"/>
              </a:endParaRPr>
            </a:p>
            <a:p>
              <a:pPr/>
              <a:r>
                <a:rPr lang="en-US" sz="1200" i="0">
                  <a:solidFill>
                    <a:schemeClr val="dk1"/>
                  </a:solidFill>
                  <a:effectLst/>
                  <a:latin typeface="Cambria Math" panose="02040503050406030204" pitchFamily="18" charset="0"/>
                  <a:ea typeface="+mn-ea"/>
                  <a:cs typeface="+mn-cs"/>
                </a:rPr>
                <a:t>𝑆𝑣=(𝑆𝐴×[(𝑑×𝜂_1 )+(𝐷𝐿×𝜂_2 )])/12</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Sv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 </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media depth (in) </a:t>
              </a:r>
              <a:endParaRPr lang="en-US" sz="1100">
                <a:solidFill>
                  <a:sysClr val="windowText" lastClr="000000"/>
                </a:solidFill>
                <a:effectLst/>
                <a:latin typeface="+mn-lt"/>
                <a:ea typeface="+mn-ea"/>
                <a:cs typeface="+mn-cs"/>
              </a:endParaRPr>
            </a:p>
            <a:p>
              <a:r>
                <a:rPr lang="en-US" sz="1100">
                  <a:solidFill>
                    <a:sysClr val="windowText" lastClr="000000"/>
                  </a:solidFill>
                  <a:effectLst/>
                  <a:latin typeface="+mn-lt"/>
                  <a:ea typeface="+mn-ea"/>
                  <a:cs typeface="+mn-cs"/>
                </a:rPr>
                <a:t>	</a:t>
              </a:r>
              <a:r>
                <a:rPr lang="en-US" sz="1100" i="0">
                  <a:solidFill>
                    <a:sysClr val="windowText" lastClr="000000"/>
                  </a:solidFill>
                  <a:effectLst/>
                  <a:latin typeface="Cambria Math" panose="02040503050406030204" pitchFamily="18" charset="0"/>
                  <a:ea typeface="+mn-ea"/>
                  <a:cs typeface="+mn-cs"/>
                </a:rPr>
                <a:t>〖</a:t>
              </a:r>
              <a:r>
                <a:rPr lang="en-US" sz="1100" b="0" i="0">
                  <a:solidFill>
                    <a:sysClr val="windowText" lastClr="000000"/>
                  </a:solidFill>
                  <a:effectLst/>
                  <a:latin typeface="Cambria Math" panose="02040503050406030204" pitchFamily="18" charset="0"/>
                  <a:ea typeface="+mn-ea"/>
                  <a:cs typeface="+mn-cs"/>
                </a:rPr>
                <a:t> </a:t>
              </a:r>
              <a:r>
                <a:rPr lang="en-US" sz="1100" i="0">
                  <a:solidFill>
                    <a:sysClr val="windowText" lastClr="000000"/>
                  </a:solidFill>
                  <a:effectLst/>
                  <a:latin typeface="Cambria Math" panose="02040503050406030204" pitchFamily="18" charset="0"/>
                  <a:ea typeface="+mn-ea"/>
                  <a:cs typeface="+mn-cs"/>
                </a:rPr>
                <a:t>𝜂〗_1</a:t>
              </a:r>
              <a:r>
                <a:rPr lang="en-US" sz="1100">
                  <a:solidFill>
                    <a:sysClr val="windowText" lastClr="000000"/>
                  </a:solidFill>
                  <a:effectLst/>
                  <a:latin typeface="+mn-lt"/>
                  <a:ea typeface="+mn-ea"/>
                  <a:cs typeface="+mn-cs"/>
                </a:rPr>
                <a:t>   =</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verified media maximum water retention</a:t>
              </a:r>
            </a:p>
            <a:p>
              <a:r>
                <a:rPr lang="en-US" sz="1100" i="1">
                  <a:solidFill>
                    <a:sysClr val="windowText" lastClr="000000"/>
                  </a:solidFill>
                  <a:effectLst/>
                  <a:latin typeface="+mn-lt"/>
                  <a:ea typeface="+mn-ea"/>
                  <a:cs typeface="+mn-cs"/>
                </a:rPr>
                <a:t>	DL</a:t>
              </a:r>
              <a:r>
                <a:rPr lang="en-US" sz="1100" i="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drainage layer depth (in)</a:t>
              </a:r>
            </a:p>
            <a:p>
              <a:r>
                <a:rPr lang="en-US" sz="1100">
                  <a:solidFill>
                    <a:sysClr val="windowText" lastClr="000000"/>
                  </a:solidFill>
                  <a:effectLst/>
                  <a:latin typeface="+mn-lt"/>
                  <a:ea typeface="+mn-ea"/>
                  <a:cs typeface="+mn-cs"/>
                </a:rPr>
                <a:t>	</a:t>
              </a:r>
              <a:r>
                <a:rPr lang="en-US" sz="1100" i="0">
                  <a:solidFill>
                    <a:sysClr val="windowText" lastClr="000000"/>
                  </a:solidFill>
                  <a:effectLst/>
                  <a:latin typeface="Cambria Math" panose="02040503050406030204" pitchFamily="18" charset="0"/>
                  <a:ea typeface="+mn-ea"/>
                  <a:cs typeface="+mn-cs"/>
                </a:rPr>
                <a:t>𝜂_2</a:t>
              </a:r>
              <a:r>
                <a:rPr lang="en-US" sz="1100">
                  <a:solidFill>
                    <a:sysClr val="windowText" lastClr="000000"/>
                  </a:solidFill>
                  <a:effectLst/>
                  <a:latin typeface="+mn-lt"/>
                  <a:ea typeface="+mn-ea"/>
                  <a:cs typeface="+mn-cs"/>
                </a:rPr>
                <a:t>    =   verified drainage layer maximum water retention</a:t>
              </a:r>
            </a:p>
            <a:p>
              <a:endParaRPr lang="en-US" sz="12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100" b="1" baseline="0">
                  <a:solidFill>
                    <a:schemeClr val="dk1"/>
                  </a:solidFill>
                  <a:effectLst/>
                  <a:latin typeface="+mn-lt"/>
                  <a:ea typeface="+mn-ea"/>
                  <a:cs typeface="+mn-cs"/>
                </a:rPr>
                <a:t>Non-irrigated green roofs</a:t>
              </a:r>
              <a:r>
                <a:rPr lang="en-US" sz="1100" b="0" baseline="0">
                  <a:solidFill>
                    <a:schemeClr val="dk1"/>
                  </a:solidFill>
                  <a:effectLst/>
                  <a:latin typeface="+mn-lt"/>
                  <a:ea typeface="+mn-ea"/>
                  <a:cs typeface="+mn-cs"/>
                </a:rPr>
                <a:t> retain 100%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endParaRPr lang="en-US" sz="1200">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Sv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green roof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sz="1200">
                <a:effectLst/>
              </a:endParaRPr>
            </a:p>
            <a:p>
              <a:endParaRPr lang="en-US" sz="1200">
                <a:solidFill>
                  <a:schemeClr val="dk1"/>
                </a:solidFill>
                <a:effectLst/>
                <a:latin typeface="+mn-lt"/>
                <a:ea typeface="+mn-ea"/>
                <a:cs typeface="+mn-cs"/>
              </a:endParaRPr>
            </a:p>
            <a:p>
              <a:r>
                <a:rPr lang="en-US" sz="1100" b="1" baseline="0">
                  <a:solidFill>
                    <a:schemeClr val="dk1"/>
                  </a:solidFill>
                  <a:effectLst/>
                  <a:latin typeface="+mn-lt"/>
                  <a:ea typeface="+mn-ea"/>
                  <a:cs typeface="+mn-cs"/>
                </a:rPr>
                <a:t>Irrigated green roofs</a:t>
              </a:r>
              <a:r>
                <a:rPr lang="en-US" sz="1100" b="0" baseline="0">
                  <a:solidFill>
                    <a:schemeClr val="dk1"/>
                  </a:solidFill>
                  <a:effectLst/>
                  <a:latin typeface="+mn-lt"/>
                  <a:ea typeface="+mn-ea"/>
                  <a:cs typeface="+mn-cs"/>
                </a:rPr>
                <a:t> retain 50% of their storage volume, therefore:</a:t>
              </a:r>
            </a:p>
            <a:p>
              <a:endParaRPr lang="en-US">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𝑣=0.5 × </a:t>
              </a:r>
              <a:r>
                <a:rPr lang="en-US" sz="1200" b="0" i="0">
                  <a:solidFill>
                    <a:schemeClr val="dk1"/>
                  </a:solidFill>
                  <a:effectLst/>
                  <a:latin typeface="Cambria Math" panose="02040503050406030204" pitchFamily="18" charset="0"/>
                  <a:ea typeface="+mn-ea"/>
                  <a:cs typeface="+mn-cs"/>
                </a:rPr>
                <a:t>𝑆𝑣</a:t>
              </a:r>
              <a:endParaRPr lang="en-US" sz="1200">
                <a:solidFill>
                  <a:schemeClr val="dk1"/>
                </a:solidFill>
                <a:effectLst/>
                <a:latin typeface="+mn-lt"/>
                <a:ea typeface="+mn-ea"/>
                <a:cs typeface="+mn-cs"/>
              </a:endParaRPr>
            </a:p>
          </xdr:txBody>
        </xdr:sp>
      </mc:Fallback>
    </mc:AlternateContent>
    <xdr:clientData/>
  </xdr:twoCellAnchor>
  <xdr:twoCellAnchor>
    <xdr:from>
      <xdr:col>9</xdr:col>
      <xdr:colOff>121920</xdr:colOff>
      <xdr:row>27</xdr:row>
      <xdr:rowOff>53340</xdr:rowOff>
    </xdr:from>
    <xdr:to>
      <xdr:col>13</xdr:col>
      <xdr:colOff>304800</xdr:colOff>
      <xdr:row>32</xdr:row>
      <xdr:rowOff>0</xdr:rowOff>
    </xdr:to>
    <xdr:sp macro="[0]!ClearDataGreenRoof" textlink="">
      <xdr:nvSpPr>
        <xdr:cNvPr id="3" name="Rectangle 2">
          <a:extLst>
            <a:ext uri="{FF2B5EF4-FFF2-40B4-BE49-F238E27FC236}">
              <a16:creationId xmlns:a16="http://schemas.microsoft.com/office/drawing/2014/main" id="{DD86B46A-43ED-439B-A0B2-1C27FC233213}"/>
            </a:ext>
          </a:extLst>
        </xdr:cNvPr>
        <xdr:cNvSpPr/>
      </xdr:nvSpPr>
      <xdr:spPr>
        <a:xfrm>
          <a:off x="7650480" y="5471160"/>
          <a:ext cx="2621280" cy="9525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a:t>
          </a:r>
          <a:r>
            <a:rPr lang="en-US" sz="1800" baseline="0"/>
            <a:t> Here to Clear Entered Data</a:t>
          </a:r>
          <a:endParaRPr lang="en-US" sz="1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24</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2A4D63B3-C817-43C4-B4D9-EDC255B4C7D5}"/>
                </a:ext>
              </a:extLst>
            </xdr:cNvPr>
            <xdr:cNvSpPr txBox="1"/>
          </xdr:nvSpPr>
          <xdr:spPr>
            <a:xfrm>
              <a:off x="609600" y="182880"/>
              <a:ext cx="5783580" cy="4267200"/>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3.4 IMPERVIOUS</a:t>
              </a:r>
              <a:r>
                <a:rPr lang="en-US" sz="1400" b="1" baseline="0"/>
                <a:t> SURFACE DISCONNECTION</a:t>
              </a:r>
              <a:endParaRPr lang="en-US" sz="1400" baseline="0"/>
            </a:p>
            <a:p>
              <a:endParaRPr lang="en-US" sz="1200" b="1">
                <a:solidFill>
                  <a:schemeClr val="dk1"/>
                </a:solidFill>
                <a:effectLst/>
                <a:latin typeface="+mn-lt"/>
                <a:ea typeface="+mn-ea"/>
                <a:cs typeface="+mn-cs"/>
              </a:endParaRPr>
            </a:p>
            <a:p>
              <a:r>
                <a:rPr lang="en-US" sz="1200" b="1">
                  <a:solidFill>
                    <a:schemeClr val="dk1"/>
                  </a:solidFill>
                  <a:effectLst/>
                  <a:latin typeface="+mn-lt"/>
                  <a:ea typeface="+mn-ea"/>
                  <a:cs typeface="+mn-cs"/>
                </a:rPr>
                <a:t>Disconnection Types:</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D-1 (A/B)</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Simple disconnection to a pervious compacted cover area on HSG A or B soils.</a:t>
              </a:r>
            </a:p>
            <a:p>
              <a:r>
                <a:rPr lang="en-US" sz="1100" b="1">
                  <a:solidFill>
                    <a:schemeClr val="dk1"/>
                  </a:solidFill>
                  <a:effectLst/>
                  <a:latin typeface="+mn-lt"/>
                  <a:ea typeface="+mn-ea"/>
                  <a:cs typeface="+mn-cs"/>
                </a:rPr>
                <a:t>D-1 (C/D)</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Simple disconnection to a pervious compacted cover area on HSG C or D soils</a:t>
              </a:r>
              <a:r>
                <a:rPr lang="en-US" sz="1100" baseline="0">
                  <a:solidFill>
                    <a:schemeClr val="dk1"/>
                  </a:solidFill>
                  <a:effectLst/>
                  <a:latin typeface="+mn-lt"/>
                  <a:ea typeface="+mn-ea"/>
                  <a:cs typeface="+mn-cs"/>
                </a:rPr>
                <a:t>.</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D-2</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Simple disconnection to a conserved natural cover area</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(natural cover).</a:t>
              </a:r>
            </a:p>
            <a:p>
              <a:r>
                <a:rPr lang="en-US" sz="1100" b="1">
                  <a:solidFill>
                    <a:schemeClr val="dk1"/>
                  </a:solidFill>
                  <a:effectLst/>
                  <a:latin typeface="+mn-lt"/>
                  <a:ea typeface="+mn-ea"/>
                  <a:cs typeface="+mn-cs"/>
                </a:rPr>
                <a:t>D-3</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Simple disconnection to a soil compost amended filter path</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(soil amended).</a:t>
              </a: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mn-cs"/>
                </a:rPr>
                <a:t>Retention Values:</a:t>
              </a: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𝑅𝑣</m:t>
                    </m:r>
                    <m:r>
                      <a:rPr lang="en-US" sz="1200" b="0" i="1" baseline="-25000">
                        <a:solidFill>
                          <a:schemeClr val="dk1"/>
                        </a:solidFill>
                        <a:effectLst/>
                        <a:latin typeface="Cambria Math" panose="02040503050406030204" pitchFamily="18" charset="0"/>
                        <a:ea typeface="+mn-ea"/>
                        <a:cs typeface="+mn-cs"/>
                      </a:rPr>
                      <m:t>𝑟𝑎𝑡𝑒</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𝑆𝐴</m:t>
                    </m:r>
                    <m:r>
                      <a:rPr lang="en-US" sz="1200" b="0" i="1" baseline="-25000">
                        <a:solidFill>
                          <a:schemeClr val="dk1"/>
                        </a:solidFill>
                        <a:effectLst/>
                        <a:latin typeface="Cambria Math" panose="02040503050406030204" pitchFamily="18" charset="0"/>
                        <a:ea typeface="+mn-ea"/>
                        <a:cs typeface="+mn-cs"/>
                      </a:rPr>
                      <m:t>𝑝</m:t>
                    </m:r>
                  </m:oMath>
                </m:oMathPara>
              </a14:m>
              <a:endParaRPr lang="en-US" sz="1200">
                <a:effectLst/>
              </a:endParaRPr>
            </a:p>
            <a:p>
              <a:r>
                <a:rPr lang="en-US" sz="1100">
                  <a:solidFill>
                    <a:schemeClr val="dk1"/>
                  </a:solidFill>
                  <a:effectLst/>
                  <a:latin typeface="+mn-lt"/>
                  <a:ea typeface="+mn-ea"/>
                  <a:cs typeface="+mn-cs"/>
                </a:rPr>
                <a:t>where:</a:t>
              </a:r>
              <a:endParaRPr lang="en-US">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p</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receiving pervious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a:t>
              </a:r>
              <a:r>
                <a:rPr lang="en-US" sz="1100" i="1" baseline="-25000">
                  <a:solidFill>
                    <a:schemeClr val="dk1"/>
                  </a:solidFill>
                  <a:effectLst/>
                  <a:latin typeface="+mn-lt"/>
                  <a:ea typeface="+mn-ea"/>
                  <a:cs typeface="+mn-cs"/>
                </a:rPr>
                <a:t>rate</a:t>
              </a:r>
              <a:r>
                <a:rPr lang="en-US" sz="1100" i="1" baseline="0">
                  <a:solidFill>
                    <a:schemeClr val="dk1"/>
                  </a:solidFill>
                  <a:effectLst/>
                  <a:latin typeface="+mn-lt"/>
                  <a:ea typeface="+mn-ea"/>
                  <a:cs typeface="+mn-cs"/>
                </a:rPr>
                <a:t>   </a:t>
              </a:r>
              <a:r>
                <a:rPr lang="en-US" sz="1100" baseline="0">
                  <a:solidFill>
                    <a:schemeClr val="dk1"/>
                  </a:solidFill>
                  <a:effectLst/>
                  <a:latin typeface="+mn-lt"/>
                  <a:ea typeface="+mn-ea"/>
                  <a:cs typeface="+mn-cs"/>
                </a:rPr>
                <a:t>= rate of retention value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/ft</a:t>
              </a:r>
              <a:r>
                <a:rPr lang="en-US" sz="1100" baseline="30000">
                  <a:solidFill>
                    <a:schemeClr val="dk1"/>
                  </a:solidFill>
                  <a:effectLst/>
                  <a:latin typeface="+mn-lt"/>
                  <a:ea typeface="+mn-ea"/>
                  <a:cs typeface="+mn-cs"/>
                </a:rPr>
                <a:t>2</a:t>
              </a:r>
              <a:r>
                <a:rPr lang="en-US" sz="1100" baseline="0">
                  <a:solidFill>
                    <a:schemeClr val="dk1"/>
                  </a:solidFill>
                  <a:effectLst/>
                  <a:latin typeface="+mn-lt"/>
                  <a:ea typeface="+mn-ea"/>
                  <a:cs typeface="+mn-cs"/>
                </a:rPr>
                <a:t>), given below.</a:t>
              </a:r>
            </a:p>
            <a:p>
              <a:pPr eaLnBrk="1" fontAlgn="auto" latinLnBrk="0" hangingPunct="1"/>
              <a:endParaRPr lang="en-US">
                <a:effectLst/>
              </a:endParaRPr>
            </a:p>
            <a:p>
              <a:r>
                <a:rPr lang="en-US" sz="1200" b="1">
                  <a:solidFill>
                    <a:schemeClr val="dk1"/>
                  </a:solidFill>
                  <a:effectLst/>
                  <a:latin typeface="+mn-lt"/>
                  <a:ea typeface="+mn-ea"/>
                  <a:cs typeface="+mn-cs"/>
                </a:rPr>
                <a:t>Rates of Retention Value:</a:t>
              </a:r>
              <a:endParaRPr lang="en-US" sz="1200">
                <a:effectLst/>
              </a:endParaRPr>
            </a:p>
            <a:p>
              <a:r>
                <a:rPr lang="en-US" sz="1100" b="1">
                  <a:solidFill>
                    <a:schemeClr val="dk1"/>
                  </a:solidFill>
                  <a:effectLst/>
                  <a:latin typeface="+mn-lt"/>
                  <a:ea typeface="+mn-ea"/>
                  <a:cs typeface="+mn-cs"/>
                </a:rPr>
                <a:t>D-1 (A/B)</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4 cubic feet (30 gallons) per 100 square feet of receiving pervious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area</a:t>
              </a:r>
              <a:r>
                <a:rPr lang="en-US" sz="1100" baseline="0">
                  <a:solidFill>
                    <a:schemeClr val="dk1"/>
                  </a:solidFill>
                  <a:effectLst/>
                  <a:latin typeface="+mn-lt"/>
                  <a:ea typeface="+mn-ea"/>
                  <a:cs typeface="+mn-cs"/>
                </a:rPr>
                <a:t>.</a:t>
              </a:r>
              <a:endParaRPr lang="en-US">
                <a:effectLst/>
              </a:endParaRPr>
            </a:p>
            <a:p>
              <a:r>
                <a:rPr lang="en-US" sz="1100" b="1">
                  <a:solidFill>
                    <a:schemeClr val="dk1"/>
                  </a:solidFill>
                  <a:effectLst/>
                  <a:latin typeface="+mn-lt"/>
                  <a:ea typeface="+mn-ea"/>
                  <a:cs typeface="+mn-cs"/>
                </a:rPr>
                <a:t>D-1 (C/D)</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2 cubic feet (15 gallons) per 100 square feet of receiving pervious area.</a:t>
              </a:r>
              <a:endParaRPr lang="en-US">
                <a:effectLst/>
              </a:endParaRPr>
            </a:p>
            <a:p>
              <a:r>
                <a:rPr lang="en-US" sz="1100" b="1">
                  <a:solidFill>
                    <a:schemeClr val="dk1"/>
                  </a:solidFill>
                  <a:effectLst/>
                  <a:latin typeface="+mn-lt"/>
                  <a:ea typeface="+mn-ea"/>
                  <a:cs typeface="+mn-cs"/>
                </a:rPr>
                <a:t>D-2</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6 cubic feet (45 gallons) per 100 square feet of receiving pervious conservation area.</a:t>
              </a:r>
              <a:endParaRPr lang="en-US">
                <a:effectLst/>
              </a:endParaRPr>
            </a:p>
            <a:p>
              <a:r>
                <a:rPr lang="en-US" sz="1100" b="1">
                  <a:solidFill>
                    <a:schemeClr val="dk1"/>
                  </a:solidFill>
                  <a:effectLst/>
                  <a:latin typeface="+mn-lt"/>
                  <a:ea typeface="+mn-ea"/>
                  <a:cs typeface="+mn-cs"/>
                </a:rPr>
                <a:t>D-3</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4 cubic feet (30 gallons) per 100 square feet of receiving compost amended</a:t>
              </a:r>
              <a:r>
                <a:rPr lang="en-US" sz="1100" baseline="0">
                  <a:solidFill>
                    <a:schemeClr val="dk1"/>
                  </a:solidFill>
                  <a:effectLst/>
                  <a:latin typeface="+mn-lt"/>
                  <a:ea typeface="+mn-ea"/>
                  <a:cs typeface="+mn-cs"/>
                </a:rPr>
                <a:t> filter path</a:t>
              </a:r>
              <a:r>
                <a:rPr lang="en-US" sz="1100">
                  <a:solidFill>
                    <a:schemeClr val="dk1"/>
                  </a:solidFill>
                  <a:effectLst/>
                  <a:latin typeface="+mn-lt"/>
                  <a:ea typeface="+mn-ea"/>
                  <a:cs typeface="+mn-cs"/>
                </a:rPr>
                <a:t>.</a:t>
              </a:r>
              <a:endParaRPr lang="en-US">
                <a:effectLst/>
              </a:endParaRPr>
            </a:p>
            <a:p>
              <a:endParaRPr lang="en-US">
                <a:effectLst/>
              </a:endParaRPr>
            </a:p>
            <a:p>
              <a:r>
                <a:rPr lang="en-US" sz="1100" b="1">
                  <a:solidFill>
                    <a:schemeClr val="dk1"/>
                  </a:solidFill>
                  <a:effectLst/>
                  <a:latin typeface="+mn-lt"/>
                  <a:ea typeface="+mn-ea"/>
                  <a:cs typeface="+mn-cs"/>
                </a:rPr>
                <a:t>Note: </a:t>
              </a:r>
              <a:r>
                <a:rPr lang="en-US" sz="1100">
                  <a:solidFill>
                    <a:schemeClr val="dk1"/>
                  </a:solidFill>
                  <a:effectLst/>
                  <a:latin typeface="+mn-lt"/>
                  <a:ea typeface="+mn-ea"/>
                  <a:cs typeface="+mn-cs"/>
                </a:rPr>
                <a:t>The surface areas for practices D-1 and D-3 are considered compacted cover for purposes of retention calculations, and the surface area of practice D-2 is considered natural cover.</a:t>
              </a:r>
              <a:endParaRPr lang="en-US">
                <a:effectLst/>
              </a:endParaRPr>
            </a:p>
          </xdr:txBody>
        </xdr:sp>
      </mc:Choice>
      <mc:Fallback xmlns="">
        <xdr:sp macro="" textlink="">
          <xdr:nvSpPr>
            <xdr:cNvPr id="2" name="TextBox 1">
              <a:extLst>
                <a:ext uri="{FF2B5EF4-FFF2-40B4-BE49-F238E27FC236}">
                  <a16:creationId xmlns:a16="http://schemas.microsoft.com/office/drawing/2014/main" id="{2A4D63B3-C817-43C4-B4D9-EDC255B4C7D5}"/>
                </a:ext>
              </a:extLst>
            </xdr:cNvPr>
            <xdr:cNvSpPr txBox="1"/>
          </xdr:nvSpPr>
          <xdr:spPr>
            <a:xfrm>
              <a:off x="609600" y="182880"/>
              <a:ext cx="5783580" cy="4267200"/>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3.4 IMPERVIOUS</a:t>
              </a:r>
              <a:r>
                <a:rPr lang="en-US" sz="1400" b="1" baseline="0"/>
                <a:t> SURFACE DISCONNECTION</a:t>
              </a:r>
              <a:endParaRPr lang="en-US" sz="1400" baseline="0"/>
            </a:p>
            <a:p>
              <a:endParaRPr lang="en-US" sz="1200" b="1">
                <a:solidFill>
                  <a:schemeClr val="dk1"/>
                </a:solidFill>
                <a:effectLst/>
                <a:latin typeface="+mn-lt"/>
                <a:ea typeface="+mn-ea"/>
                <a:cs typeface="+mn-cs"/>
              </a:endParaRPr>
            </a:p>
            <a:p>
              <a:r>
                <a:rPr lang="en-US" sz="1200" b="1">
                  <a:solidFill>
                    <a:schemeClr val="dk1"/>
                  </a:solidFill>
                  <a:effectLst/>
                  <a:latin typeface="+mn-lt"/>
                  <a:ea typeface="+mn-ea"/>
                  <a:cs typeface="+mn-cs"/>
                </a:rPr>
                <a:t>Disconnection Types:</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D-1 (A/B)</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Simple disconnection to a pervious compacted cover area on HSG A or B soils.</a:t>
              </a:r>
            </a:p>
            <a:p>
              <a:r>
                <a:rPr lang="en-US" sz="1100" b="1">
                  <a:solidFill>
                    <a:schemeClr val="dk1"/>
                  </a:solidFill>
                  <a:effectLst/>
                  <a:latin typeface="+mn-lt"/>
                  <a:ea typeface="+mn-ea"/>
                  <a:cs typeface="+mn-cs"/>
                </a:rPr>
                <a:t>D-1 (C/D)</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Simple disconnection to a pervious compacted cover area on HSG C or D soils</a:t>
              </a:r>
              <a:r>
                <a:rPr lang="en-US" sz="1100" baseline="0">
                  <a:solidFill>
                    <a:schemeClr val="dk1"/>
                  </a:solidFill>
                  <a:effectLst/>
                  <a:latin typeface="+mn-lt"/>
                  <a:ea typeface="+mn-ea"/>
                  <a:cs typeface="+mn-cs"/>
                </a:rPr>
                <a:t>.</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D-2</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Simple disconnection to a conserved natural cover area</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(natural cover).</a:t>
              </a:r>
            </a:p>
            <a:p>
              <a:r>
                <a:rPr lang="en-US" sz="1100" b="1">
                  <a:solidFill>
                    <a:schemeClr val="dk1"/>
                  </a:solidFill>
                  <a:effectLst/>
                  <a:latin typeface="+mn-lt"/>
                  <a:ea typeface="+mn-ea"/>
                  <a:cs typeface="+mn-cs"/>
                </a:rPr>
                <a:t>D-3</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Simple disconnection to a soil compost amended filter path</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(soil amended).</a:t>
              </a: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mn-cs"/>
                </a:rPr>
                <a:t>Retention Values:</a:t>
              </a:r>
            </a:p>
            <a:p>
              <a:pPr marL="0" marR="0" lvl="0" indent="0" defTabSz="914400" eaLnBrk="1" fontAlgn="auto" latinLnBrk="0" hangingPunct="1">
                <a:lnSpc>
                  <a:spcPct val="100000"/>
                </a:lnSpc>
                <a:spcBef>
                  <a:spcPts val="0"/>
                </a:spcBef>
                <a:spcAft>
                  <a:spcPts val="0"/>
                </a:spcAft>
                <a:buClrTx/>
                <a:buSzTx/>
                <a:buFontTx/>
                <a:buNone/>
                <a:tabLst/>
                <a:defRPr/>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200" b="0" i="0">
                  <a:solidFill>
                    <a:schemeClr val="dk1"/>
                  </a:solidFill>
                  <a:effectLst/>
                  <a:latin typeface="Cambria Math" panose="02040503050406030204" pitchFamily="18" charset="0"/>
                  <a:ea typeface="+mn-ea"/>
                  <a:cs typeface="+mn-cs"/>
                </a:rPr>
                <a:t>𝑅𝑣</a:t>
              </a:r>
              <a:r>
                <a:rPr lang="en-US" sz="1200" b="0" i="0" baseline="-25000">
                  <a:solidFill>
                    <a:schemeClr val="dk1"/>
                  </a:solidFill>
                  <a:effectLst/>
                  <a:latin typeface="Cambria Math" panose="02040503050406030204" pitchFamily="18" charset="0"/>
                  <a:ea typeface="+mn-ea"/>
                  <a:cs typeface="+mn-cs"/>
                </a:rPr>
                <a:t>𝑟𝑎𝑡𝑒</a:t>
              </a:r>
              <a:r>
                <a:rPr lang="en-US" sz="1200" i="0">
                  <a:solidFill>
                    <a:schemeClr val="dk1"/>
                  </a:solidFill>
                  <a:effectLst/>
                  <a:latin typeface="Cambria Math" panose="02040503050406030204" pitchFamily="18" charset="0"/>
                  <a:ea typeface="+mn-ea"/>
                  <a:cs typeface="+mn-cs"/>
                </a:rPr>
                <a:t>×</a:t>
              </a:r>
              <a:r>
                <a:rPr lang="en-US" sz="1200" b="0" i="0">
                  <a:solidFill>
                    <a:schemeClr val="dk1"/>
                  </a:solidFill>
                  <a:effectLst/>
                  <a:latin typeface="Cambria Math" panose="02040503050406030204" pitchFamily="18" charset="0"/>
                  <a:ea typeface="+mn-ea"/>
                  <a:cs typeface="+mn-cs"/>
                </a:rPr>
                <a:t>𝑆𝐴</a:t>
              </a:r>
              <a:r>
                <a:rPr lang="en-US" sz="1200" b="0" i="0" baseline="-25000">
                  <a:solidFill>
                    <a:schemeClr val="dk1"/>
                  </a:solidFill>
                  <a:effectLst/>
                  <a:latin typeface="Cambria Math" panose="02040503050406030204" pitchFamily="18" charset="0"/>
                  <a:ea typeface="+mn-ea"/>
                  <a:cs typeface="+mn-cs"/>
                </a:rPr>
                <a:t>𝑝</a:t>
              </a:r>
              <a:endParaRPr lang="en-US" sz="1200">
                <a:effectLst/>
              </a:endParaRPr>
            </a:p>
            <a:p>
              <a:r>
                <a:rPr lang="en-US" sz="1100">
                  <a:solidFill>
                    <a:schemeClr val="dk1"/>
                  </a:solidFill>
                  <a:effectLst/>
                  <a:latin typeface="+mn-lt"/>
                  <a:ea typeface="+mn-ea"/>
                  <a:cs typeface="+mn-cs"/>
                </a:rPr>
                <a:t>where:</a:t>
              </a:r>
              <a:endParaRPr lang="en-US">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p</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receiving pervious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a:t>
              </a:r>
              <a:r>
                <a:rPr lang="en-US" sz="1100" i="1" baseline="-25000">
                  <a:solidFill>
                    <a:schemeClr val="dk1"/>
                  </a:solidFill>
                  <a:effectLst/>
                  <a:latin typeface="+mn-lt"/>
                  <a:ea typeface="+mn-ea"/>
                  <a:cs typeface="+mn-cs"/>
                </a:rPr>
                <a:t>rate</a:t>
              </a:r>
              <a:r>
                <a:rPr lang="en-US" sz="1100" i="1" baseline="0">
                  <a:solidFill>
                    <a:schemeClr val="dk1"/>
                  </a:solidFill>
                  <a:effectLst/>
                  <a:latin typeface="+mn-lt"/>
                  <a:ea typeface="+mn-ea"/>
                  <a:cs typeface="+mn-cs"/>
                </a:rPr>
                <a:t>   </a:t>
              </a:r>
              <a:r>
                <a:rPr lang="en-US" sz="1100" baseline="0">
                  <a:solidFill>
                    <a:schemeClr val="dk1"/>
                  </a:solidFill>
                  <a:effectLst/>
                  <a:latin typeface="+mn-lt"/>
                  <a:ea typeface="+mn-ea"/>
                  <a:cs typeface="+mn-cs"/>
                </a:rPr>
                <a:t>= rate of retention value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/ft</a:t>
              </a:r>
              <a:r>
                <a:rPr lang="en-US" sz="1100" baseline="30000">
                  <a:solidFill>
                    <a:schemeClr val="dk1"/>
                  </a:solidFill>
                  <a:effectLst/>
                  <a:latin typeface="+mn-lt"/>
                  <a:ea typeface="+mn-ea"/>
                  <a:cs typeface="+mn-cs"/>
                </a:rPr>
                <a:t>2</a:t>
              </a:r>
              <a:r>
                <a:rPr lang="en-US" sz="1100" baseline="0">
                  <a:solidFill>
                    <a:schemeClr val="dk1"/>
                  </a:solidFill>
                  <a:effectLst/>
                  <a:latin typeface="+mn-lt"/>
                  <a:ea typeface="+mn-ea"/>
                  <a:cs typeface="+mn-cs"/>
                </a:rPr>
                <a:t>), given below.</a:t>
              </a:r>
            </a:p>
            <a:p>
              <a:pPr eaLnBrk="1" fontAlgn="auto" latinLnBrk="0" hangingPunct="1"/>
              <a:endParaRPr lang="en-US">
                <a:effectLst/>
              </a:endParaRPr>
            </a:p>
            <a:p>
              <a:r>
                <a:rPr lang="en-US" sz="1200" b="1">
                  <a:solidFill>
                    <a:schemeClr val="dk1"/>
                  </a:solidFill>
                  <a:effectLst/>
                  <a:latin typeface="+mn-lt"/>
                  <a:ea typeface="+mn-ea"/>
                  <a:cs typeface="+mn-cs"/>
                </a:rPr>
                <a:t>Rates of Retention Value:</a:t>
              </a:r>
              <a:endParaRPr lang="en-US" sz="1200">
                <a:effectLst/>
              </a:endParaRPr>
            </a:p>
            <a:p>
              <a:r>
                <a:rPr lang="en-US" sz="1100" b="1">
                  <a:solidFill>
                    <a:schemeClr val="dk1"/>
                  </a:solidFill>
                  <a:effectLst/>
                  <a:latin typeface="+mn-lt"/>
                  <a:ea typeface="+mn-ea"/>
                  <a:cs typeface="+mn-cs"/>
                </a:rPr>
                <a:t>D-1 (A/B)</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4 cubic feet (30 gallons) per 100 square feet of receiving pervious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area</a:t>
              </a:r>
              <a:r>
                <a:rPr lang="en-US" sz="1100" baseline="0">
                  <a:solidFill>
                    <a:schemeClr val="dk1"/>
                  </a:solidFill>
                  <a:effectLst/>
                  <a:latin typeface="+mn-lt"/>
                  <a:ea typeface="+mn-ea"/>
                  <a:cs typeface="+mn-cs"/>
                </a:rPr>
                <a:t>.</a:t>
              </a:r>
              <a:endParaRPr lang="en-US">
                <a:effectLst/>
              </a:endParaRPr>
            </a:p>
            <a:p>
              <a:r>
                <a:rPr lang="en-US" sz="1100" b="1">
                  <a:solidFill>
                    <a:schemeClr val="dk1"/>
                  </a:solidFill>
                  <a:effectLst/>
                  <a:latin typeface="+mn-lt"/>
                  <a:ea typeface="+mn-ea"/>
                  <a:cs typeface="+mn-cs"/>
                </a:rPr>
                <a:t>D-1 (C/D)</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2 cubic feet (15 gallons) per 100 square feet of receiving pervious area.</a:t>
              </a:r>
              <a:endParaRPr lang="en-US">
                <a:effectLst/>
              </a:endParaRPr>
            </a:p>
            <a:p>
              <a:r>
                <a:rPr lang="en-US" sz="1100" b="1">
                  <a:solidFill>
                    <a:schemeClr val="dk1"/>
                  </a:solidFill>
                  <a:effectLst/>
                  <a:latin typeface="+mn-lt"/>
                  <a:ea typeface="+mn-ea"/>
                  <a:cs typeface="+mn-cs"/>
                </a:rPr>
                <a:t>D-2</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6 cubic feet (45 gallons) per 100 square feet of receiving pervious conservation area.</a:t>
              </a:r>
              <a:endParaRPr lang="en-US">
                <a:effectLst/>
              </a:endParaRPr>
            </a:p>
            <a:p>
              <a:r>
                <a:rPr lang="en-US" sz="1100" b="1">
                  <a:solidFill>
                    <a:schemeClr val="dk1"/>
                  </a:solidFill>
                  <a:effectLst/>
                  <a:latin typeface="+mn-lt"/>
                  <a:ea typeface="+mn-ea"/>
                  <a:cs typeface="+mn-cs"/>
                </a:rPr>
                <a:t>D-3</a:t>
              </a:r>
              <a:r>
                <a:rPr lang="en-US" sz="1100" baseline="0">
                  <a:solidFill>
                    <a:schemeClr val="dk1"/>
                  </a:solidFill>
                  <a:effectLst/>
                  <a:latin typeface="+mn-lt"/>
                  <a:ea typeface="+mn-ea"/>
                  <a:cs typeface="+mn-cs"/>
                </a:rPr>
                <a:t>  =  </a:t>
              </a:r>
              <a:r>
                <a:rPr lang="en-US" sz="1100">
                  <a:solidFill>
                    <a:schemeClr val="dk1"/>
                  </a:solidFill>
                  <a:effectLst/>
                  <a:latin typeface="+mn-lt"/>
                  <a:ea typeface="+mn-ea"/>
                  <a:cs typeface="+mn-cs"/>
                </a:rPr>
                <a:t>4 cubic feet (30 gallons) per 100 square feet of receiving compost amended</a:t>
              </a:r>
              <a:r>
                <a:rPr lang="en-US" sz="1100" baseline="0">
                  <a:solidFill>
                    <a:schemeClr val="dk1"/>
                  </a:solidFill>
                  <a:effectLst/>
                  <a:latin typeface="+mn-lt"/>
                  <a:ea typeface="+mn-ea"/>
                  <a:cs typeface="+mn-cs"/>
                </a:rPr>
                <a:t> filter path</a:t>
              </a:r>
              <a:r>
                <a:rPr lang="en-US" sz="1100">
                  <a:solidFill>
                    <a:schemeClr val="dk1"/>
                  </a:solidFill>
                  <a:effectLst/>
                  <a:latin typeface="+mn-lt"/>
                  <a:ea typeface="+mn-ea"/>
                  <a:cs typeface="+mn-cs"/>
                </a:rPr>
                <a:t>.</a:t>
              </a:r>
              <a:endParaRPr lang="en-US">
                <a:effectLst/>
              </a:endParaRPr>
            </a:p>
            <a:p>
              <a:endParaRPr lang="en-US">
                <a:effectLst/>
              </a:endParaRPr>
            </a:p>
            <a:p>
              <a:r>
                <a:rPr lang="en-US" sz="1100" b="1">
                  <a:solidFill>
                    <a:schemeClr val="dk1"/>
                  </a:solidFill>
                  <a:effectLst/>
                  <a:latin typeface="+mn-lt"/>
                  <a:ea typeface="+mn-ea"/>
                  <a:cs typeface="+mn-cs"/>
                </a:rPr>
                <a:t>Note: </a:t>
              </a:r>
              <a:r>
                <a:rPr lang="en-US" sz="1100">
                  <a:solidFill>
                    <a:schemeClr val="dk1"/>
                  </a:solidFill>
                  <a:effectLst/>
                  <a:latin typeface="+mn-lt"/>
                  <a:ea typeface="+mn-ea"/>
                  <a:cs typeface="+mn-cs"/>
                </a:rPr>
                <a:t>The surface areas for practices D-1 and D-3 are considered compacted cover for purposes of retention calculations, and the surface area of practice D-2 is considered natural cover.</a:t>
              </a:r>
              <a:endParaRPr lang="en-US">
                <a:effectLst/>
              </a:endParaRPr>
            </a:p>
          </xdr:txBody>
        </xdr:sp>
      </mc:Fallback>
    </mc:AlternateContent>
    <xdr:clientData/>
  </xdr:twoCellAnchor>
  <xdr:twoCellAnchor>
    <xdr:from>
      <xdr:col>7</xdr:col>
      <xdr:colOff>579120</xdr:colOff>
      <xdr:row>25</xdr:row>
      <xdr:rowOff>38100</xdr:rowOff>
    </xdr:from>
    <xdr:to>
      <xdr:col>11</xdr:col>
      <xdr:colOff>411480</xdr:colOff>
      <xdr:row>29</xdr:row>
      <xdr:rowOff>15240</xdr:rowOff>
    </xdr:to>
    <xdr:sp macro="[0]!ClearDataImpervious" textlink="">
      <xdr:nvSpPr>
        <xdr:cNvPr id="4" name="Rectangle 3">
          <a:extLst>
            <a:ext uri="{FF2B5EF4-FFF2-40B4-BE49-F238E27FC236}">
              <a16:creationId xmlns:a16="http://schemas.microsoft.com/office/drawing/2014/main" id="{D1BE963F-3215-4F44-8D6A-68E891ABD72C}"/>
            </a:ext>
          </a:extLst>
        </xdr:cNvPr>
        <xdr:cNvSpPr/>
      </xdr:nvSpPr>
      <xdr:spPr>
        <a:xfrm>
          <a:off x="8130540" y="4716780"/>
          <a:ext cx="2270760" cy="71628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 Here to Clear Entered Data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172720</xdr:rowOff>
    </xdr:from>
    <xdr:to>
      <xdr:col>5</xdr:col>
      <xdr:colOff>0</xdr:colOff>
      <xdr:row>54</xdr:row>
      <xdr:rowOff>12700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BB94E7A8-B44E-49E7-9C19-86E0F71A7BC0}"/>
                </a:ext>
              </a:extLst>
            </xdr:cNvPr>
            <xdr:cNvSpPr txBox="1"/>
          </xdr:nvSpPr>
          <xdr:spPr>
            <a:xfrm>
              <a:off x="609600" y="172720"/>
              <a:ext cx="6337300" cy="975868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3.5 PERMEABLE</a:t>
              </a:r>
              <a:r>
                <a:rPr lang="en-US" sz="1400" b="1" baseline="0">
                  <a:solidFill>
                    <a:schemeClr val="dk1"/>
                  </a:solidFill>
                  <a:effectLst/>
                  <a:latin typeface="+mn-lt"/>
                  <a:ea typeface="+mn-ea"/>
                  <a:cs typeface="+mn-cs"/>
                </a:rPr>
                <a:t> PAVEMENT</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a:solidFill>
                  <a:schemeClr val="dk1"/>
                </a:solidFill>
                <a:effectLst/>
                <a:latin typeface="+mn-lt"/>
                <a:ea typeface="+mn-ea"/>
                <a:cs typeface="+mn-cs"/>
              </a:endParaRPr>
            </a:p>
            <a:p>
              <a:pPr lvl="0"/>
              <a:r>
                <a:rPr lang="en-US" sz="1200" b="1" i="0">
                  <a:solidFill>
                    <a:schemeClr val="dk1"/>
                  </a:solidFill>
                  <a:effectLst/>
                  <a:latin typeface="+mn-lt"/>
                  <a:ea typeface="+mn-ea"/>
                  <a:cs typeface="+mn-cs"/>
                </a:rPr>
                <a:t>Design Types</a:t>
              </a:r>
            </a:p>
            <a:p>
              <a:pPr lvl="0"/>
              <a:r>
                <a:rPr lang="en-US" sz="1200" b="1" i="0">
                  <a:solidFill>
                    <a:schemeClr val="dk1"/>
                  </a:solidFill>
                  <a:effectLst/>
                  <a:latin typeface="+mn-lt"/>
                  <a:ea typeface="+mn-ea"/>
                  <a:cs typeface="+mn-cs"/>
                </a:rPr>
                <a:t>Enhanced.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that can infiltration the design storm volume in 48 hours (no underdrain).</a:t>
              </a:r>
            </a:p>
            <a:p>
              <a:pPr lvl="0"/>
              <a:r>
                <a:rPr lang="en-US" sz="1200" b="1" i="0">
                  <a:solidFill>
                    <a:schemeClr val="dk1"/>
                  </a:solidFill>
                  <a:effectLst/>
                  <a:latin typeface="+mn-lt"/>
                  <a:ea typeface="+mn-ea"/>
                  <a:cs typeface="+mn-cs"/>
                </a:rPr>
                <a:t>Underdrained Enhanced.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with underdrain(s) that contain a water quality filter layer and an infiltration sump beneath the underdrain sized to drain the design storm in 48 hours.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Standard.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with a standard underdrain design and no infiltration sump or water quality filter.</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Permeable Pavement Storage Volume</a:t>
              </a:r>
              <a:endParaRPr lang="en-US" sz="1200">
                <a:effectLst/>
              </a:endParaRPr>
            </a:p>
            <a:p>
              <a:endParaRPr lang="en-US" sz="1100">
                <a:solidFill>
                  <a:schemeClr val="dk1"/>
                </a:solidFill>
                <a:effectLst/>
                <a:latin typeface="+mn-lt"/>
                <a:ea typeface="+mn-ea"/>
                <a:cs typeface="+mn-cs"/>
              </a:endParaRPr>
            </a:p>
            <a:p>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𝐴</m:t>
                        </m:r>
                      </m:e>
                      <m:sub>
                        <m:r>
                          <a:rPr lang="en-US" sz="1200" i="1">
                            <a:solidFill>
                              <a:schemeClr val="dk1"/>
                            </a:solidFill>
                            <a:effectLst/>
                            <a:latin typeface="Cambria Math" panose="02040503050406030204" pitchFamily="18" charset="0"/>
                            <a:ea typeface="+mn-ea"/>
                            <a:cs typeface="+mn-cs"/>
                          </a:rPr>
                          <m:t>𝑝</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𝑝</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𝑟</m:t>
                        </m:r>
                      </m:sub>
                    </m:sSub>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𝑓</m:t>
                        </m:r>
                      </m:sub>
                    </m:sSub>
                    <m:r>
                      <a:rPr lang="en-US" sz="1200" b="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m:t>
                    </m:r>
                  </m:oMath>
                </m:oMathPara>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Sv</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A</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permeable pavement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depth of the reservoir layer (ft)</a:t>
              </a:r>
            </a:p>
            <a:p>
              <a:r>
                <a:rPr lang="en-US" sz="1100">
                  <a:solidFill>
                    <a:schemeClr val="dk1"/>
                  </a:solidFill>
                  <a:effectLst/>
                  <a:ea typeface="+mn-ea"/>
                  <a:cs typeface="+mn-cs"/>
                </a:rPr>
                <a:t>	</a:t>
              </a:r>
              <a14:m>
                <m:oMath xmlns:m="http://schemas.openxmlformats.org/officeDocument/2006/math">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𝜂</m:t>
                      </m:r>
                    </m:e>
                    <m:sub>
                      <m:r>
                        <a:rPr lang="en-US" sz="1100" i="1">
                          <a:solidFill>
                            <a:schemeClr val="dk1"/>
                          </a:solidFill>
                          <a:effectLst/>
                          <a:latin typeface="Cambria Math" panose="02040503050406030204" pitchFamily="18" charset="0"/>
                          <a:ea typeface="+mn-ea"/>
                          <a:cs typeface="+mn-cs"/>
                        </a:rPr>
                        <m:t>𝑟</m:t>
                      </m:r>
                    </m:sub>
                  </m:sSub>
                </m:oMath>
              </a14:m>
              <a:r>
                <a:rPr lang="en-US" sz="1100">
                  <a:solidFill>
                    <a:schemeClr val="dk1"/>
                  </a:solidFill>
                  <a:effectLst/>
                  <a:latin typeface="+mn-lt"/>
                  <a:ea typeface="+mn-ea"/>
                  <a:cs typeface="+mn-cs"/>
                </a:rPr>
                <a:t>    =  effective porosity for the reservoir layer</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saturated hydraulic conductivity for the subgrade soils (ft/day) </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f</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time to fill the reservoir layer (days) </a:t>
              </a: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Permeable Pavement Sump Storage Volume</a:t>
              </a:r>
            </a:p>
            <a:p>
              <a:r>
                <a:rPr lang="en-US" sz="1100">
                  <a:solidFill>
                    <a:schemeClr val="dk1"/>
                  </a:solidFill>
                  <a:effectLst/>
                  <a:latin typeface="+mn-lt"/>
                  <a:ea typeface="+mn-ea"/>
                  <a:cs typeface="+mn-cs"/>
                </a:rPr>
                <a:t> </a:t>
              </a:r>
            </a:p>
            <a:p>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𝑣</m:t>
                        </m:r>
                      </m:e>
                      <m:sub>
                        <m:r>
                          <a:rPr lang="en-US" sz="1200" i="1">
                            <a:solidFill>
                              <a:schemeClr val="dk1"/>
                            </a:solidFill>
                            <a:effectLst/>
                            <a:latin typeface="Cambria Math" panose="02040503050406030204" pitchFamily="18" charset="0"/>
                            <a:ea typeface="+mn-ea"/>
                            <a:cs typeface="+mn-cs"/>
                          </a:rPr>
                          <m:t>𝑠𝑢𝑚𝑝</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𝐴</m:t>
                        </m:r>
                      </m:e>
                      <m:sub>
                        <m:r>
                          <a:rPr lang="en-US" sz="1200" i="1">
                            <a:solidFill>
                              <a:schemeClr val="dk1"/>
                            </a:solidFill>
                            <a:effectLst/>
                            <a:latin typeface="Cambria Math" panose="02040503050406030204" pitchFamily="18" charset="0"/>
                            <a:ea typeface="+mn-ea"/>
                            <a:cs typeface="+mn-cs"/>
                          </a:rPr>
                          <m:t>𝑝</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𝑠</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𝑟</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𝑓</m:t>
                        </m:r>
                      </m:sub>
                    </m:sSub>
                    <m:r>
                      <a:rPr lang="en-US" sz="1200" i="1">
                        <a:solidFill>
                          <a:schemeClr val="dk1"/>
                        </a:solidFill>
                        <a:effectLst/>
                        <a:latin typeface="Cambria Math" panose="02040503050406030204" pitchFamily="18" charset="0"/>
                        <a:ea typeface="+mn-ea"/>
                        <a:cs typeface="+mn-cs"/>
                      </a:rPr>
                      <m:t>]</m:t>
                    </m:r>
                  </m:oMath>
                </m:oMathPara>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pPr lvl="2"/>
              <a:r>
                <a:rPr lang="en-US" sz="1100" i="1">
                  <a:solidFill>
                    <a:schemeClr val="dk1"/>
                  </a:solidFill>
                  <a:effectLst/>
                  <a:latin typeface="+mn-lt"/>
                  <a:ea typeface="+mn-ea"/>
                  <a:cs typeface="+mn-cs"/>
                </a:rPr>
                <a:t>Sv</a:t>
              </a:r>
              <a:r>
                <a:rPr lang="en-US" sz="1100" i="1" baseline="-25000">
                  <a:solidFill>
                    <a:schemeClr val="dk1"/>
                  </a:solidFill>
                  <a:effectLst/>
                  <a:latin typeface="+mn-lt"/>
                  <a:ea typeface="+mn-ea"/>
                  <a:cs typeface="+mn-cs"/>
                </a:rPr>
                <a:t>sump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lvl="2"/>
              <a:r>
                <a:rPr lang="en-US" sz="1100" i="1">
                  <a:solidFill>
                    <a:schemeClr val="dk1"/>
                  </a:solidFill>
                  <a:effectLst/>
                  <a:latin typeface="+mn-lt"/>
                  <a:ea typeface="+mn-ea"/>
                  <a:cs typeface="+mn-cs"/>
                </a:rPr>
                <a:t>d</a:t>
              </a:r>
              <a:r>
                <a:rPr lang="en-US" sz="1100" i="1" baseline="-25000">
                  <a:solidFill>
                    <a:schemeClr val="dk1"/>
                  </a:solidFill>
                  <a:effectLst/>
                  <a:latin typeface="+mn-lt"/>
                  <a:ea typeface="+mn-ea"/>
                  <a:cs typeface="+mn-cs"/>
                </a:rPr>
                <a:t>s</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depth of the sump layer  (ft)</a:t>
              </a:r>
            </a:p>
            <a:p>
              <a:pPr lvl="2"/>
              <a14:m>
                <m:oMath xmlns:m="http://schemas.openxmlformats.org/officeDocument/2006/math">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𝜂</m:t>
                      </m:r>
                    </m:e>
                    <m:sub>
                      <m:r>
                        <a:rPr lang="en-US" sz="1100" i="1">
                          <a:solidFill>
                            <a:schemeClr val="dk1"/>
                          </a:solidFill>
                          <a:effectLst/>
                          <a:latin typeface="Cambria Math" panose="02040503050406030204" pitchFamily="18" charset="0"/>
                          <a:ea typeface="+mn-ea"/>
                          <a:cs typeface="+mn-cs"/>
                        </a:rPr>
                        <m:t>𝑟</m:t>
                      </m:r>
                    </m:sub>
                  </m:sSub>
                </m:oMath>
              </a14:m>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0.4 (effective porosity for the sump layer)</a:t>
              </a:r>
            </a:p>
            <a:p>
              <a:pPr lvl="2"/>
              <a:r>
                <a:rPr lang="en-US" sz="1100" i="1">
                  <a:solidFill>
                    <a:schemeClr val="dk1"/>
                  </a:solidFill>
                  <a:effectLst/>
                  <a:latin typeface="+mn-lt"/>
                  <a:ea typeface="+mn-ea"/>
                  <a:cs typeface="+mn-cs"/>
                </a:rPr>
                <a:t>A</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permeable pavement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lvl="2"/>
              <a:r>
                <a:rPr lang="en-US" sz="1100" i="1">
                  <a:solidFill>
                    <a:schemeClr val="dk1"/>
                  </a:solidFill>
                  <a:effectLst/>
                  <a:latin typeface="+mn-lt"/>
                  <a:ea typeface="+mn-ea"/>
                  <a:cs typeface="+mn-cs"/>
                </a:rPr>
                <a:t>K</a:t>
              </a:r>
              <a:r>
                <a:rPr lang="en-US" sz="1100" i="1" baseline="-25000">
                  <a:solidFill>
                    <a:schemeClr val="dk1"/>
                  </a:solidFill>
                  <a:effectLst/>
                  <a:latin typeface="+mn-lt"/>
                  <a:ea typeface="+mn-ea"/>
                  <a:cs typeface="+mn-cs"/>
                </a:rPr>
                <a:t>sat</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field-verified saturated hydraulic conductivity for the subgrade soils (ft/day)</a:t>
              </a:r>
            </a:p>
            <a:p>
              <a:pPr lvl="2"/>
              <a:r>
                <a:rPr lang="en-US" sz="1100" i="1">
                  <a:solidFill>
                    <a:schemeClr val="dk1"/>
                  </a:solidFill>
                  <a:effectLst/>
                  <a:latin typeface="+mn-lt"/>
                  <a:ea typeface="+mn-ea"/>
                  <a:cs typeface="+mn-cs"/>
                </a:rPr>
                <a:t>t</a:t>
              </a:r>
              <a:r>
                <a:rPr lang="en-US" sz="1100" i="1" baseline="-25000">
                  <a:solidFill>
                    <a:schemeClr val="dk1"/>
                  </a:solidFill>
                  <a:effectLst/>
                  <a:latin typeface="+mn-lt"/>
                  <a:ea typeface="+mn-ea"/>
                  <a:cs typeface="+mn-cs"/>
                </a:rPr>
                <a:t>f</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time to fill the sump layer (days) (assume 2 hours or 0.083 days)</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Drawdown Time</a:t>
              </a:r>
              <a:endParaRPr lang="en-US" sz="1200">
                <a:effectLst/>
              </a:endParaRPr>
            </a:p>
            <a:p>
              <a:pPr/>
              <a14:m>
                <m:oMathPara xmlns:m="http://schemas.openxmlformats.org/officeDocument/2006/math">
                  <m:oMathParaPr>
                    <m:jc m:val="centerGroup"/>
                  </m:oMathParaPr>
                  <m:oMath xmlns:m="http://schemas.openxmlformats.org/officeDocument/2006/math">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𝑑</m:t>
                        </m:r>
                      </m:sub>
                    </m:sSub>
                    <m:r>
                      <a:rPr lang="en-US" sz="1200" i="1">
                        <a:solidFill>
                          <a:schemeClr val="dk1"/>
                        </a:solidFill>
                        <a:effectLst/>
                        <a:latin typeface="Cambria Math" panose="02040503050406030204" pitchFamily="18" charset="0"/>
                        <a:ea typeface="+mn-ea"/>
                        <a:cs typeface="+mn-cs"/>
                      </a:rPr>
                      <m:t>=</m:t>
                    </m:r>
                    <m:f>
                      <m:fPr>
                        <m:ctrlPr>
                          <a:rPr lang="en-US" sz="1200" i="1">
                            <a:solidFill>
                              <a:schemeClr val="dk1"/>
                            </a:solidFill>
                            <a:effectLst/>
                            <a:latin typeface="Cambria Math" panose="02040503050406030204" pitchFamily="18" charset="0"/>
                            <a:ea typeface="+mn-ea"/>
                            <a:cs typeface="+mn-cs"/>
                          </a:rPr>
                        </m:ctrlPr>
                      </m:fPr>
                      <m:num>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𝑝</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𝑟</m:t>
                            </m:r>
                          </m:sub>
                        </m:sSub>
                      </m:num>
                      <m:den>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den>
                    </m:f>
                  </m:oMath>
                </m:oMathPara>
              </a14:m>
              <a:endParaRPr lang="en-US" sz="1100">
                <a:solidFill>
                  <a:schemeClr val="dk1"/>
                </a:solidFill>
                <a:effectLst/>
                <a:latin typeface="+mn-lt"/>
                <a:ea typeface="+mn-ea"/>
                <a:cs typeface="+mn-cs"/>
              </a:endParaRPr>
            </a:p>
            <a:p>
              <a:r>
                <a:rPr lang="en-US" sz="1050">
                  <a:solidFill>
                    <a:schemeClr val="dk1"/>
                  </a:solidFill>
                  <a:effectLst/>
                  <a:latin typeface="+mn-lt"/>
                  <a:ea typeface="+mn-ea"/>
                  <a:cs typeface="+mn-cs"/>
                </a:rPr>
                <a:t>where:</a:t>
              </a:r>
            </a:p>
            <a:p>
              <a:r>
                <a:rPr lang="en-US" sz="1050" i="1">
                  <a:solidFill>
                    <a:schemeClr val="dk1"/>
                  </a:solidFill>
                  <a:effectLst/>
                  <a:latin typeface="+mn-lt"/>
                  <a:ea typeface="+mn-ea"/>
                  <a:cs typeface="+mn-cs"/>
                </a:rPr>
                <a:t>	t</a:t>
              </a:r>
              <a:r>
                <a:rPr lang="en-US" sz="1050" i="1" baseline="-25000">
                  <a:solidFill>
                    <a:schemeClr val="dk1"/>
                  </a:solidFill>
                  <a:effectLst/>
                  <a:latin typeface="+mn-lt"/>
                  <a:ea typeface="+mn-ea"/>
                  <a:cs typeface="+mn-cs"/>
                </a:rPr>
                <a:t>d</a:t>
              </a:r>
              <a:r>
                <a:rPr lang="en-US" sz="1050" i="0" baseline="0">
                  <a:solidFill>
                    <a:schemeClr val="dk1"/>
                  </a:solidFill>
                  <a:effectLst/>
                  <a:latin typeface="+mn-lt"/>
                  <a:ea typeface="+mn-ea"/>
                  <a:cs typeface="+mn-cs"/>
                </a:rPr>
                <a:t> </a:t>
              </a:r>
              <a:r>
                <a:rPr lang="en-US" sz="1050">
                  <a:solidFill>
                    <a:schemeClr val="dk1"/>
                  </a:solidFill>
                  <a:effectLst/>
                  <a:latin typeface="+mn-lt"/>
                  <a:ea typeface="+mn-ea"/>
                  <a:cs typeface="+mn-cs"/>
                </a:rPr>
                <a:t>  =</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drawdown time (days)</a:t>
              </a:r>
            </a:p>
            <a:p>
              <a:endParaRPr lang="en-US" sz="12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Enhanced permeable pavement designs </a:t>
              </a:r>
              <a:r>
                <a:rPr lang="en-US" sz="1100" b="0" baseline="0">
                  <a:solidFill>
                    <a:schemeClr val="dk1"/>
                  </a:solidFill>
                  <a:effectLst/>
                  <a:latin typeface="+mn-lt"/>
                  <a:ea typeface="+mn-ea"/>
                  <a:cs typeface="+mn-cs"/>
                </a:rPr>
                <a:t>retain 100%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endParaRPr lang="en-US" sz="1200">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eaLnBrk="1" fontAlgn="auto" latinLnBrk="0" hangingPunct="1"/>
              <a:endParaRPr lang="en-US" sz="1100">
                <a:solidFill>
                  <a:schemeClr val="dk1"/>
                </a:solidFill>
                <a:effectLst/>
                <a:latin typeface="+mn-lt"/>
                <a:ea typeface="+mn-ea"/>
                <a:cs typeface="+mn-cs"/>
              </a:endParaRPr>
            </a:p>
            <a:p>
              <a:r>
                <a:rPr lang="en-US" sz="1200" b="1" baseline="0">
                  <a:solidFill>
                    <a:schemeClr val="dk1"/>
                  </a:solidFill>
                  <a:effectLst/>
                  <a:latin typeface="+mn-lt"/>
                  <a:ea typeface="+mn-ea"/>
                  <a:cs typeface="+mn-cs"/>
                </a:rPr>
                <a:t>Underdrained Enhanced permeable pavement designs </a:t>
              </a:r>
              <a:r>
                <a:rPr lang="en-US" sz="1100" b="0" baseline="0">
                  <a:solidFill>
                    <a:schemeClr val="dk1"/>
                  </a:solidFill>
                  <a:effectLst/>
                  <a:latin typeface="+mn-lt"/>
                  <a:ea typeface="+mn-ea"/>
                  <a:cs typeface="+mn-cs"/>
                </a:rPr>
                <a:t>retain 100% of their storage volume below the sump depth, and, above their sump invert, they retain storage at a rate of 5.0 cubic feet per 100 square feet of permeable pavement, therefore:</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US" sz="1100" b="0" i="1">
                        <a:solidFill>
                          <a:schemeClr val="dk1"/>
                        </a:solidFill>
                        <a:effectLst/>
                        <a:latin typeface="Cambria Math" panose="02040503050406030204" pitchFamily="18" charset="0"/>
                        <a:ea typeface="+mn-ea"/>
                        <a:cs typeface="+mn-cs"/>
                      </a:rPr>
                      <m:t>𝑅</m:t>
                    </m:r>
                    <m:r>
                      <a:rPr lang="en-US" sz="1100" i="1">
                        <a:solidFill>
                          <a:schemeClr val="dk1"/>
                        </a:solidFill>
                        <a:effectLst/>
                        <a:latin typeface="Cambria Math" panose="02040503050406030204" pitchFamily="18" charset="0"/>
                        <a:ea typeface="+mn-ea"/>
                        <a:cs typeface="+mn-cs"/>
                      </a:rPr>
                      <m:t>𝑣</m:t>
                    </m:r>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𝑆𝑣</m:t>
                    </m:r>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𝑠𝑢𝑚𝑝</m:t>
                    </m:r>
                    <m:r>
                      <a:rPr lang="en-US" sz="1100" b="0" i="1">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f>
                      <m:fPr>
                        <m:ctrlPr>
                          <a:rPr lang="en-US" sz="110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5.0 </m:t>
                        </m:r>
                        <m:r>
                          <a:rPr lang="en-US" sz="1100" b="0" i="1">
                            <a:solidFill>
                              <a:schemeClr val="dk1"/>
                            </a:solidFill>
                            <a:effectLst/>
                            <a:latin typeface="Cambria Math" panose="02040503050406030204" pitchFamily="18" charset="0"/>
                            <a:ea typeface="+mn-ea"/>
                            <a:cs typeface="+mn-cs"/>
                          </a:rPr>
                          <m:t>𝑓</m:t>
                        </m:r>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𝑡</m:t>
                            </m:r>
                          </m:e>
                          <m:sup>
                            <m:r>
                              <a:rPr lang="en-US" sz="1100" b="0" i="1">
                                <a:solidFill>
                                  <a:schemeClr val="dk1"/>
                                </a:solidFill>
                                <a:effectLst/>
                                <a:latin typeface="Cambria Math" panose="02040503050406030204" pitchFamily="18" charset="0"/>
                                <a:ea typeface="+mn-ea"/>
                                <a:cs typeface="+mn-cs"/>
                              </a:rPr>
                              <m:t>3</m:t>
                            </m:r>
                          </m:sup>
                        </m:sSup>
                        <m:r>
                          <a:rPr lang="en-US" sz="1100" i="1">
                            <a:solidFill>
                              <a:schemeClr val="dk1"/>
                            </a:solidFill>
                            <a:effectLst/>
                            <a:latin typeface="Cambria Math" panose="02040503050406030204" pitchFamily="18" charset="0"/>
                            <a:ea typeface="+mn-ea"/>
                            <a:cs typeface="+mn-cs"/>
                          </a:rPr>
                          <m:t>×</m:t>
                        </m:r>
                        <m:sSub>
                          <m:sSubPr>
                            <m:ctrlPr>
                              <a:rPr lang="en-US" sz="110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𝐴</m:t>
                            </m:r>
                          </m:e>
                          <m:sub>
                            <m:r>
                              <a:rPr lang="en-US" sz="1100" i="1">
                                <a:solidFill>
                                  <a:schemeClr val="dk1"/>
                                </a:solidFill>
                                <a:effectLst/>
                                <a:latin typeface="Cambria Math" panose="02040503050406030204" pitchFamily="18" charset="0"/>
                                <a:ea typeface="+mn-ea"/>
                                <a:cs typeface="+mn-cs"/>
                              </a:rPr>
                              <m:t>𝑝</m:t>
                            </m:r>
                          </m:sub>
                        </m:sSub>
                      </m:num>
                      <m:den>
                        <m:r>
                          <a:rPr lang="en-US" sz="1100" i="1">
                            <a:solidFill>
                              <a:schemeClr val="dk1"/>
                            </a:solidFill>
                            <a:effectLst/>
                            <a:latin typeface="Cambria Math" panose="02040503050406030204" pitchFamily="18" charset="0"/>
                            <a:ea typeface="+mn-ea"/>
                            <a:cs typeface="+mn-cs"/>
                          </a:rPr>
                          <m:t>1</m:t>
                        </m:r>
                        <m:r>
                          <a:rPr lang="en-US" sz="1100" b="0" i="1">
                            <a:solidFill>
                              <a:schemeClr val="dk1"/>
                            </a:solidFill>
                            <a:effectLst/>
                            <a:latin typeface="Cambria Math" panose="02040503050406030204" pitchFamily="18" charset="0"/>
                            <a:ea typeface="+mn-ea"/>
                            <a:cs typeface="+mn-cs"/>
                          </a:rPr>
                          <m:t>00 </m:t>
                        </m:r>
                        <m:r>
                          <a:rPr lang="en-US" sz="1100" b="0" i="1">
                            <a:solidFill>
                              <a:schemeClr val="dk1"/>
                            </a:solidFill>
                            <a:effectLst/>
                            <a:latin typeface="Cambria Math" panose="02040503050406030204" pitchFamily="18" charset="0"/>
                            <a:ea typeface="+mn-ea"/>
                            <a:cs typeface="+mn-cs"/>
                          </a:rPr>
                          <m:t>𝑓</m:t>
                        </m:r>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𝑡</m:t>
                            </m:r>
                          </m:e>
                          <m:sup>
                            <m:r>
                              <a:rPr lang="en-US" sz="1100" b="0" i="1">
                                <a:solidFill>
                                  <a:schemeClr val="dk1"/>
                                </a:solidFill>
                                <a:effectLst/>
                                <a:latin typeface="Cambria Math" panose="02040503050406030204" pitchFamily="18" charset="0"/>
                                <a:ea typeface="+mn-ea"/>
                                <a:cs typeface="+mn-cs"/>
                              </a:rPr>
                              <m:t>2</m:t>
                            </m:r>
                          </m:sup>
                        </m:sSup>
                      </m:den>
                    </m:f>
                  </m:oMath>
                </m:oMathPara>
              </a14:m>
              <a:endParaRPr lang="en-US">
                <a:effectLst/>
              </a:endParaRPr>
            </a:p>
            <a:p>
              <a:endParaRPr lang="en-US">
                <a:effectLst/>
              </a:endParaRPr>
            </a:p>
            <a:p>
              <a:r>
                <a:rPr lang="en-US" sz="1200" b="1" baseline="0">
                  <a:solidFill>
                    <a:schemeClr val="dk1"/>
                  </a:solidFill>
                  <a:effectLst/>
                  <a:latin typeface="+mn-lt"/>
                  <a:ea typeface="+mn-ea"/>
                  <a:cs typeface="+mn-cs"/>
                </a:rPr>
                <a:t>Standard permeable pavement designs</a:t>
              </a:r>
              <a:r>
                <a:rPr lang="en-US" sz="1200" b="0" baseline="0">
                  <a:solidFill>
                    <a:schemeClr val="dk1"/>
                  </a:solidFill>
                  <a:effectLst/>
                  <a:latin typeface="+mn-lt"/>
                  <a:ea typeface="+mn-ea"/>
                  <a:cs typeface="+mn-cs"/>
                </a:rPr>
                <a:t> </a:t>
              </a:r>
              <a:r>
                <a:rPr lang="en-US" sz="1100" b="0" baseline="0">
                  <a:solidFill>
                    <a:schemeClr val="dk1"/>
                  </a:solidFill>
                  <a:effectLst/>
                  <a:latin typeface="+mn-lt"/>
                  <a:ea typeface="+mn-ea"/>
                  <a:cs typeface="+mn-cs"/>
                </a:rPr>
                <a:t>retain storage volume at a rate of 5.0 cubic feet per 100 square feet of permeable pavement, therefore:</a:t>
              </a: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f>
                      <m:fPr>
                        <m:ctrlPr>
                          <a:rPr lang="en-US" sz="110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5.0 </m:t>
                        </m:r>
                        <m:r>
                          <a:rPr lang="en-US" sz="1100" b="0" i="1">
                            <a:solidFill>
                              <a:schemeClr val="dk1"/>
                            </a:solidFill>
                            <a:effectLst/>
                            <a:latin typeface="Cambria Math" panose="02040503050406030204" pitchFamily="18" charset="0"/>
                            <a:ea typeface="+mn-ea"/>
                            <a:cs typeface="+mn-cs"/>
                          </a:rPr>
                          <m:t>𝑓</m:t>
                        </m:r>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𝑡</m:t>
                            </m:r>
                          </m:e>
                          <m:sup>
                            <m:r>
                              <a:rPr lang="en-US" sz="1100" b="0" i="1">
                                <a:solidFill>
                                  <a:schemeClr val="dk1"/>
                                </a:solidFill>
                                <a:effectLst/>
                                <a:latin typeface="Cambria Math" panose="02040503050406030204" pitchFamily="18" charset="0"/>
                                <a:ea typeface="+mn-ea"/>
                                <a:cs typeface="+mn-cs"/>
                              </a:rPr>
                              <m:t>3</m:t>
                            </m:r>
                          </m:sup>
                        </m:sSup>
                        <m:r>
                          <a:rPr lang="en-US" sz="1100" i="1">
                            <a:solidFill>
                              <a:schemeClr val="dk1"/>
                            </a:solidFill>
                            <a:effectLst/>
                            <a:latin typeface="Cambria Math" panose="02040503050406030204" pitchFamily="18" charset="0"/>
                            <a:ea typeface="+mn-ea"/>
                            <a:cs typeface="+mn-cs"/>
                          </a:rPr>
                          <m:t>×</m:t>
                        </m:r>
                        <m:sSub>
                          <m:sSubPr>
                            <m:ctrlPr>
                              <a:rPr lang="en-US" sz="110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𝐴</m:t>
                            </m:r>
                          </m:e>
                          <m:sub>
                            <m:r>
                              <a:rPr lang="en-US" sz="1100" i="1">
                                <a:solidFill>
                                  <a:schemeClr val="dk1"/>
                                </a:solidFill>
                                <a:effectLst/>
                                <a:latin typeface="Cambria Math" panose="02040503050406030204" pitchFamily="18" charset="0"/>
                                <a:ea typeface="+mn-ea"/>
                                <a:cs typeface="+mn-cs"/>
                              </a:rPr>
                              <m:t>𝑝</m:t>
                            </m:r>
                          </m:sub>
                        </m:sSub>
                      </m:num>
                      <m:den>
                        <m:r>
                          <a:rPr lang="en-US" sz="1100" i="1">
                            <a:solidFill>
                              <a:schemeClr val="dk1"/>
                            </a:solidFill>
                            <a:effectLst/>
                            <a:latin typeface="Cambria Math" panose="02040503050406030204" pitchFamily="18" charset="0"/>
                            <a:ea typeface="+mn-ea"/>
                            <a:cs typeface="+mn-cs"/>
                          </a:rPr>
                          <m:t>1</m:t>
                        </m:r>
                        <m:r>
                          <a:rPr lang="en-US" sz="1100" b="0" i="1">
                            <a:solidFill>
                              <a:schemeClr val="dk1"/>
                            </a:solidFill>
                            <a:effectLst/>
                            <a:latin typeface="Cambria Math" panose="02040503050406030204" pitchFamily="18" charset="0"/>
                            <a:ea typeface="+mn-ea"/>
                            <a:cs typeface="+mn-cs"/>
                          </a:rPr>
                          <m:t>00 </m:t>
                        </m:r>
                        <m:r>
                          <a:rPr lang="en-US" sz="1100" b="0" i="1">
                            <a:solidFill>
                              <a:schemeClr val="dk1"/>
                            </a:solidFill>
                            <a:effectLst/>
                            <a:latin typeface="Cambria Math" panose="02040503050406030204" pitchFamily="18" charset="0"/>
                            <a:ea typeface="+mn-ea"/>
                            <a:cs typeface="+mn-cs"/>
                          </a:rPr>
                          <m:t>𝑓</m:t>
                        </m:r>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𝑡</m:t>
                            </m:r>
                          </m:e>
                          <m:sup>
                            <m:r>
                              <a:rPr lang="en-US" sz="1100" b="0" i="1">
                                <a:solidFill>
                                  <a:schemeClr val="dk1"/>
                                </a:solidFill>
                                <a:effectLst/>
                                <a:latin typeface="Cambria Math" panose="02040503050406030204" pitchFamily="18" charset="0"/>
                                <a:ea typeface="+mn-ea"/>
                                <a:cs typeface="+mn-cs"/>
                              </a:rPr>
                              <m:t>2</m:t>
                            </m:r>
                          </m:sup>
                        </m:sSup>
                      </m:den>
                    </m:f>
                  </m:oMath>
                </m:oMathPara>
              </a14:m>
              <a:endParaRPr lang="en-US" sz="120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BB94E7A8-B44E-49E7-9C19-86E0F71A7BC0}"/>
                </a:ext>
              </a:extLst>
            </xdr:cNvPr>
            <xdr:cNvSpPr txBox="1"/>
          </xdr:nvSpPr>
          <xdr:spPr>
            <a:xfrm>
              <a:off x="609600" y="172720"/>
              <a:ext cx="6337300" cy="975868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3.5 PERMEABLE</a:t>
              </a:r>
              <a:r>
                <a:rPr lang="en-US" sz="1400" b="1" baseline="0">
                  <a:solidFill>
                    <a:schemeClr val="dk1"/>
                  </a:solidFill>
                  <a:effectLst/>
                  <a:latin typeface="+mn-lt"/>
                  <a:ea typeface="+mn-ea"/>
                  <a:cs typeface="+mn-cs"/>
                </a:rPr>
                <a:t> PAVEMENT</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a:solidFill>
                  <a:schemeClr val="dk1"/>
                </a:solidFill>
                <a:effectLst/>
                <a:latin typeface="+mn-lt"/>
                <a:ea typeface="+mn-ea"/>
                <a:cs typeface="+mn-cs"/>
              </a:endParaRPr>
            </a:p>
            <a:p>
              <a:pPr lvl="0"/>
              <a:r>
                <a:rPr lang="en-US" sz="1200" b="1" i="0">
                  <a:solidFill>
                    <a:schemeClr val="dk1"/>
                  </a:solidFill>
                  <a:effectLst/>
                  <a:latin typeface="+mn-lt"/>
                  <a:ea typeface="+mn-ea"/>
                  <a:cs typeface="+mn-cs"/>
                </a:rPr>
                <a:t>Design Types</a:t>
              </a:r>
            </a:p>
            <a:p>
              <a:pPr lvl="0"/>
              <a:r>
                <a:rPr lang="en-US" sz="1200" b="1" i="0">
                  <a:solidFill>
                    <a:schemeClr val="dk1"/>
                  </a:solidFill>
                  <a:effectLst/>
                  <a:latin typeface="+mn-lt"/>
                  <a:ea typeface="+mn-ea"/>
                  <a:cs typeface="+mn-cs"/>
                </a:rPr>
                <a:t>Enhanced.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that can infiltration the design storm volume in 48 hours (no underdrain).</a:t>
              </a:r>
            </a:p>
            <a:p>
              <a:pPr lvl="0"/>
              <a:r>
                <a:rPr lang="en-US" sz="1200" b="1" i="0">
                  <a:solidFill>
                    <a:schemeClr val="dk1"/>
                  </a:solidFill>
                  <a:effectLst/>
                  <a:latin typeface="+mn-lt"/>
                  <a:ea typeface="+mn-ea"/>
                  <a:cs typeface="+mn-cs"/>
                </a:rPr>
                <a:t>Underdrained Enhanced.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with underdrain(s) that contain a water quality filter layer and an infiltration sump beneath the underdrain sized to drain the design storm in 48 hours.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Standard.</a:t>
              </a:r>
              <a:r>
                <a:rPr lang="en-US" sz="1200" i="0">
                  <a:solidFill>
                    <a:schemeClr val="dk1"/>
                  </a:solidFill>
                  <a:effectLst/>
                  <a:latin typeface="+mn-lt"/>
                  <a:ea typeface="+mn-ea"/>
                  <a:cs typeface="+mn-cs"/>
                </a:rPr>
                <a:t> </a:t>
              </a:r>
              <a:r>
                <a:rPr lang="en-US" sz="1100">
                  <a:solidFill>
                    <a:schemeClr val="dk1"/>
                  </a:solidFill>
                  <a:effectLst/>
                  <a:latin typeface="+mn-lt"/>
                  <a:ea typeface="+mn-ea"/>
                  <a:cs typeface="+mn-cs"/>
                </a:rPr>
                <a:t>Practice with a standard underdrain design and no infiltration sump or water quality filter.</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Permeable Pavement Storage Volume</a:t>
              </a:r>
              <a:endParaRPr lang="en-US" sz="1200">
                <a:effectLst/>
              </a:endParaRPr>
            </a:p>
            <a:p>
              <a:endParaRPr lang="en-US" sz="1100">
                <a:solidFill>
                  <a:schemeClr val="dk1"/>
                </a:solidFill>
                <a:effectLst/>
                <a:latin typeface="+mn-lt"/>
                <a:ea typeface="+mn-ea"/>
                <a:cs typeface="+mn-cs"/>
              </a:endParaRPr>
            </a:p>
            <a:p>
              <a:pPr/>
              <a:r>
                <a:rPr lang="en-US" sz="1200" i="0">
                  <a:solidFill>
                    <a:schemeClr val="dk1"/>
                  </a:solidFill>
                  <a:effectLst/>
                  <a:latin typeface="Cambria Math" panose="02040503050406030204" pitchFamily="18" charset="0"/>
                  <a:ea typeface="+mn-ea"/>
                  <a:cs typeface="+mn-cs"/>
                </a:rPr>
                <a:t>𝑆𝑣=𝐴_𝑝 [(𝑑_𝑝×𝜂_𝑟)+</a:t>
              </a:r>
              <a:r>
                <a:rPr lang="en-US" sz="1200" b="0" i="0">
                  <a:solidFill>
                    <a:schemeClr val="dk1"/>
                  </a:solidFill>
                  <a:effectLst/>
                  <a:latin typeface="Cambria Math" panose="02040503050406030204" pitchFamily="18" charset="0"/>
                  <a:ea typeface="+mn-ea"/>
                  <a:cs typeface="+mn-cs"/>
                </a:rPr>
                <a:t>(</a:t>
              </a:r>
              <a:r>
                <a:rPr lang="en-US" sz="1200" i="0">
                  <a:solidFill>
                    <a:schemeClr val="dk1"/>
                  </a:solidFill>
                  <a:effectLst/>
                  <a:latin typeface="Cambria Math" panose="02040503050406030204" pitchFamily="18" charset="0"/>
                  <a:ea typeface="+mn-ea"/>
                  <a:cs typeface="+mn-cs"/>
                </a:rPr>
                <a:t>𝐾_𝑠𝑎𝑡×𝑡_𝑓</a:t>
              </a:r>
              <a:r>
                <a:rPr lang="en-US" sz="1200" b="0" i="0">
                  <a:solidFill>
                    <a:schemeClr val="dk1"/>
                  </a:solidFill>
                  <a:effectLst/>
                  <a:latin typeface="Cambria Math" panose="02040503050406030204" pitchFamily="18" charset="0"/>
                  <a:ea typeface="+mn-ea"/>
                  <a:cs typeface="+mn-cs"/>
                </a:rPr>
                <a:t>)</a:t>
              </a:r>
              <a:r>
                <a:rPr lang="en-US" sz="1200" i="0">
                  <a:solidFill>
                    <a:schemeClr val="dk1"/>
                  </a:solidFill>
                  <a:effectLst/>
                  <a:latin typeface="Cambria Math" panose="02040503050406030204" pitchFamily="18" charset="0"/>
                  <a:ea typeface="+mn-ea"/>
                  <a:cs typeface="+mn-cs"/>
                </a:rPr>
                <a:t>]</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Sv</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A</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permeable pavement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  depth of the reservoir layer (ft)</a:t>
              </a:r>
            </a:p>
            <a:p>
              <a:r>
                <a:rPr lang="en-US" sz="1100">
                  <a:solidFill>
                    <a:schemeClr val="dk1"/>
                  </a:solidFill>
                  <a:effectLst/>
                  <a:ea typeface="+mn-ea"/>
                  <a:cs typeface="+mn-cs"/>
                </a:rPr>
                <a:t>	</a:t>
              </a:r>
              <a:r>
                <a:rPr lang="en-US" sz="1100" i="0">
                  <a:solidFill>
                    <a:schemeClr val="dk1"/>
                  </a:solidFill>
                  <a:effectLst/>
                  <a:latin typeface="Cambria Math" panose="02040503050406030204" pitchFamily="18" charset="0"/>
                  <a:ea typeface="+mn-ea"/>
                  <a:cs typeface="+mn-cs"/>
                </a:rPr>
                <a:t>𝜂_𝑟</a:t>
              </a:r>
              <a:r>
                <a:rPr lang="en-US" sz="1100">
                  <a:solidFill>
                    <a:schemeClr val="dk1"/>
                  </a:solidFill>
                  <a:effectLst/>
                  <a:latin typeface="+mn-lt"/>
                  <a:ea typeface="+mn-ea"/>
                  <a:cs typeface="+mn-cs"/>
                </a:rPr>
                <a:t>    =  effective porosity for the reservoir layer</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saturated hydraulic conductivity for the subgrade soils (ft/day) </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f</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time to fill the reservoir layer (days) </a:t>
              </a: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Permeable Pavement Sump Storage Volume</a:t>
              </a:r>
            </a:p>
            <a:p>
              <a:r>
                <a:rPr lang="en-US" sz="1100">
                  <a:solidFill>
                    <a:schemeClr val="dk1"/>
                  </a:solidFill>
                  <a:effectLst/>
                  <a:latin typeface="+mn-lt"/>
                  <a:ea typeface="+mn-ea"/>
                  <a:cs typeface="+mn-cs"/>
                </a:rPr>
                <a:t> </a:t>
              </a:r>
            </a:p>
            <a:p>
              <a:pPr/>
              <a:r>
                <a:rPr lang="en-US" sz="1200" i="0">
                  <a:solidFill>
                    <a:schemeClr val="dk1"/>
                  </a:solidFill>
                  <a:effectLst/>
                  <a:latin typeface="Cambria Math" panose="02040503050406030204" pitchFamily="18" charset="0"/>
                  <a:ea typeface="+mn-ea"/>
                  <a:cs typeface="+mn-cs"/>
                </a:rPr>
                <a:t>𝑆𝑣_𝑠𝑢𝑚𝑝=𝐴_𝑝 [(𝑑_𝑠×𝜂_𝑟)+𝐾_𝑠𝑎𝑡×𝑡_𝑓]</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a:t>
              </a:r>
            </a:p>
            <a:p>
              <a:pPr lvl="2"/>
              <a:r>
                <a:rPr lang="en-US" sz="1100" i="1">
                  <a:solidFill>
                    <a:schemeClr val="dk1"/>
                  </a:solidFill>
                  <a:effectLst/>
                  <a:latin typeface="+mn-lt"/>
                  <a:ea typeface="+mn-ea"/>
                  <a:cs typeface="+mn-cs"/>
                </a:rPr>
                <a:t>Sv</a:t>
              </a:r>
              <a:r>
                <a:rPr lang="en-US" sz="1100" i="1" baseline="-25000">
                  <a:solidFill>
                    <a:schemeClr val="dk1"/>
                  </a:solidFill>
                  <a:effectLst/>
                  <a:latin typeface="+mn-lt"/>
                  <a:ea typeface="+mn-ea"/>
                  <a:cs typeface="+mn-cs"/>
                </a:rPr>
                <a:t>sump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storage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lvl="2"/>
              <a:r>
                <a:rPr lang="en-US" sz="1100" i="1">
                  <a:solidFill>
                    <a:schemeClr val="dk1"/>
                  </a:solidFill>
                  <a:effectLst/>
                  <a:latin typeface="+mn-lt"/>
                  <a:ea typeface="+mn-ea"/>
                  <a:cs typeface="+mn-cs"/>
                </a:rPr>
                <a:t>d</a:t>
              </a:r>
              <a:r>
                <a:rPr lang="en-US" sz="1100" i="1" baseline="-25000">
                  <a:solidFill>
                    <a:schemeClr val="dk1"/>
                  </a:solidFill>
                  <a:effectLst/>
                  <a:latin typeface="+mn-lt"/>
                  <a:ea typeface="+mn-ea"/>
                  <a:cs typeface="+mn-cs"/>
                </a:rPr>
                <a:t>s</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depth of the sump layer  (ft)</a:t>
              </a:r>
            </a:p>
            <a:p>
              <a:pPr lvl="2"/>
              <a:r>
                <a:rPr lang="en-US" sz="1100" i="0">
                  <a:solidFill>
                    <a:schemeClr val="dk1"/>
                  </a:solidFill>
                  <a:effectLst/>
                  <a:latin typeface="Cambria Math" panose="02040503050406030204" pitchFamily="18" charset="0"/>
                  <a:ea typeface="+mn-ea"/>
                  <a:cs typeface="+mn-cs"/>
                </a:rPr>
                <a:t>𝜂_𝑟</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0.4 (effective porosity for the sump layer)</a:t>
              </a:r>
            </a:p>
            <a:p>
              <a:pPr lvl="2"/>
              <a:r>
                <a:rPr lang="en-US" sz="1100" i="1">
                  <a:solidFill>
                    <a:schemeClr val="dk1"/>
                  </a:solidFill>
                  <a:effectLst/>
                  <a:latin typeface="+mn-lt"/>
                  <a:ea typeface="+mn-ea"/>
                  <a:cs typeface="+mn-cs"/>
                </a:rPr>
                <a:t>A</a:t>
              </a:r>
              <a:r>
                <a:rPr lang="en-US" sz="1100" i="1" baseline="-25000">
                  <a:solidFill>
                    <a:schemeClr val="dk1"/>
                  </a:solidFill>
                  <a:effectLst/>
                  <a:latin typeface="+mn-lt"/>
                  <a:ea typeface="+mn-ea"/>
                  <a:cs typeface="+mn-cs"/>
                </a:rPr>
                <a:t>p</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permeable pavement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lvl="2"/>
              <a:r>
                <a:rPr lang="en-US" sz="1100" i="1">
                  <a:solidFill>
                    <a:schemeClr val="dk1"/>
                  </a:solidFill>
                  <a:effectLst/>
                  <a:latin typeface="+mn-lt"/>
                  <a:ea typeface="+mn-ea"/>
                  <a:cs typeface="+mn-cs"/>
                </a:rPr>
                <a:t>K</a:t>
              </a:r>
              <a:r>
                <a:rPr lang="en-US" sz="1100" i="1" baseline="-25000">
                  <a:solidFill>
                    <a:schemeClr val="dk1"/>
                  </a:solidFill>
                  <a:effectLst/>
                  <a:latin typeface="+mn-lt"/>
                  <a:ea typeface="+mn-ea"/>
                  <a:cs typeface="+mn-cs"/>
                </a:rPr>
                <a:t>sat</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field-verified saturated hydraulic conductivity for the subgrade soils (ft/day)</a:t>
              </a:r>
            </a:p>
            <a:p>
              <a:pPr lvl="2"/>
              <a:r>
                <a:rPr lang="en-US" sz="1100" i="1">
                  <a:solidFill>
                    <a:schemeClr val="dk1"/>
                  </a:solidFill>
                  <a:effectLst/>
                  <a:latin typeface="+mn-lt"/>
                  <a:ea typeface="+mn-ea"/>
                  <a:cs typeface="+mn-cs"/>
                </a:rPr>
                <a:t>t</a:t>
              </a:r>
              <a:r>
                <a:rPr lang="en-US" sz="1100" i="1" baseline="-25000">
                  <a:solidFill>
                    <a:schemeClr val="dk1"/>
                  </a:solidFill>
                  <a:effectLst/>
                  <a:latin typeface="+mn-lt"/>
                  <a:ea typeface="+mn-ea"/>
                  <a:cs typeface="+mn-cs"/>
                </a:rPr>
                <a:t>f</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time to fill the sump layer (days) (assume 2 hours or 0.083 days)</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Drawdown Time</a:t>
              </a:r>
              <a:endParaRPr lang="en-US" sz="1200">
                <a:effectLst/>
              </a:endParaRPr>
            </a:p>
            <a:p>
              <a:pPr/>
              <a:r>
                <a:rPr lang="en-US" sz="1200" i="0">
                  <a:solidFill>
                    <a:schemeClr val="dk1"/>
                  </a:solidFill>
                  <a:effectLst/>
                  <a:latin typeface="Cambria Math" panose="02040503050406030204" pitchFamily="18" charset="0"/>
                  <a:ea typeface="+mn-ea"/>
                  <a:cs typeface="+mn-cs"/>
                </a:rPr>
                <a:t>𝑡_𝑑=(𝑑_𝑝×𝜂_𝑟)/𝐾_𝑠𝑎𝑡 </a:t>
              </a:r>
              <a:endParaRPr lang="en-US" sz="1100">
                <a:solidFill>
                  <a:schemeClr val="dk1"/>
                </a:solidFill>
                <a:effectLst/>
                <a:latin typeface="+mn-lt"/>
                <a:ea typeface="+mn-ea"/>
                <a:cs typeface="+mn-cs"/>
              </a:endParaRPr>
            </a:p>
            <a:p>
              <a:r>
                <a:rPr lang="en-US" sz="1050">
                  <a:solidFill>
                    <a:schemeClr val="dk1"/>
                  </a:solidFill>
                  <a:effectLst/>
                  <a:latin typeface="+mn-lt"/>
                  <a:ea typeface="+mn-ea"/>
                  <a:cs typeface="+mn-cs"/>
                </a:rPr>
                <a:t>where:</a:t>
              </a:r>
            </a:p>
            <a:p>
              <a:r>
                <a:rPr lang="en-US" sz="1050" i="1">
                  <a:solidFill>
                    <a:schemeClr val="dk1"/>
                  </a:solidFill>
                  <a:effectLst/>
                  <a:latin typeface="+mn-lt"/>
                  <a:ea typeface="+mn-ea"/>
                  <a:cs typeface="+mn-cs"/>
                </a:rPr>
                <a:t>	t</a:t>
              </a:r>
              <a:r>
                <a:rPr lang="en-US" sz="1050" i="1" baseline="-25000">
                  <a:solidFill>
                    <a:schemeClr val="dk1"/>
                  </a:solidFill>
                  <a:effectLst/>
                  <a:latin typeface="+mn-lt"/>
                  <a:ea typeface="+mn-ea"/>
                  <a:cs typeface="+mn-cs"/>
                </a:rPr>
                <a:t>d</a:t>
              </a:r>
              <a:r>
                <a:rPr lang="en-US" sz="1050" i="0" baseline="0">
                  <a:solidFill>
                    <a:schemeClr val="dk1"/>
                  </a:solidFill>
                  <a:effectLst/>
                  <a:latin typeface="+mn-lt"/>
                  <a:ea typeface="+mn-ea"/>
                  <a:cs typeface="+mn-cs"/>
                </a:rPr>
                <a:t> </a:t>
              </a:r>
              <a:r>
                <a:rPr lang="en-US" sz="1050">
                  <a:solidFill>
                    <a:schemeClr val="dk1"/>
                  </a:solidFill>
                  <a:effectLst/>
                  <a:latin typeface="+mn-lt"/>
                  <a:ea typeface="+mn-ea"/>
                  <a:cs typeface="+mn-cs"/>
                </a:rPr>
                <a:t>  =</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drawdown time (days)</a:t>
              </a:r>
            </a:p>
            <a:p>
              <a:endParaRPr lang="en-US" sz="12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Enhanced permeable pavement designs </a:t>
              </a:r>
              <a:r>
                <a:rPr lang="en-US" sz="1100" b="0" baseline="0">
                  <a:solidFill>
                    <a:schemeClr val="dk1"/>
                  </a:solidFill>
                  <a:effectLst/>
                  <a:latin typeface="+mn-lt"/>
                  <a:ea typeface="+mn-ea"/>
                  <a:cs typeface="+mn-cs"/>
                </a:rPr>
                <a:t>retain 100%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endParaRPr lang="en-US" sz="1200">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eaLnBrk="1" fontAlgn="auto" latinLnBrk="0" hangingPunct="1"/>
              <a:endParaRPr lang="en-US" sz="1100">
                <a:solidFill>
                  <a:schemeClr val="dk1"/>
                </a:solidFill>
                <a:effectLst/>
                <a:latin typeface="+mn-lt"/>
                <a:ea typeface="+mn-ea"/>
                <a:cs typeface="+mn-cs"/>
              </a:endParaRPr>
            </a:p>
            <a:p>
              <a:r>
                <a:rPr lang="en-US" sz="1200" b="1" baseline="0">
                  <a:solidFill>
                    <a:schemeClr val="dk1"/>
                  </a:solidFill>
                  <a:effectLst/>
                  <a:latin typeface="+mn-lt"/>
                  <a:ea typeface="+mn-ea"/>
                  <a:cs typeface="+mn-cs"/>
                </a:rPr>
                <a:t>Underdrained Enhanced permeable pavement designs </a:t>
              </a:r>
              <a:r>
                <a:rPr lang="en-US" sz="1100" b="0" baseline="0">
                  <a:solidFill>
                    <a:schemeClr val="dk1"/>
                  </a:solidFill>
                  <a:effectLst/>
                  <a:latin typeface="+mn-lt"/>
                  <a:ea typeface="+mn-ea"/>
                  <a:cs typeface="+mn-cs"/>
                </a:rPr>
                <a:t>retain 100% of their storage volume below the sump depth, and, above their sump invert, they retain storage at a rate of 5.0 cubic feet per 100 square feet of permeable pavement, therefore:</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Cambria Math" panose="02040503050406030204" pitchFamily="18" charset="0"/>
                  <a:ea typeface="+mn-ea"/>
                  <a:cs typeface="+mn-cs"/>
                </a:rPr>
                <a:t>𝑅</a:t>
              </a:r>
              <a:r>
                <a:rPr lang="en-US" sz="1100" i="0">
                  <a:solidFill>
                    <a:schemeClr val="dk1"/>
                  </a:solidFill>
                  <a:effectLst/>
                  <a:latin typeface="Cambria Math" panose="02040503050406030204" pitchFamily="18" charset="0"/>
                  <a:ea typeface="+mn-ea"/>
                  <a:cs typeface="+mn-cs"/>
                </a:rPr>
                <a:t>𝑣=</a:t>
              </a:r>
              <a:r>
                <a:rPr lang="en-US" sz="1100" b="0" i="0">
                  <a:solidFill>
                    <a:schemeClr val="dk1"/>
                  </a:solidFill>
                  <a:effectLst/>
                  <a:latin typeface="Cambria Math" panose="02040503050406030204" pitchFamily="18" charset="0"/>
                  <a:ea typeface="+mn-ea"/>
                  <a:cs typeface="+mn-cs"/>
                </a:rPr>
                <a:t>𝑆𝑣(𝑠𝑢𝑚𝑝)+</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5.0 𝑓𝑡^3</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𝐴_</a:t>
              </a:r>
              <a:r>
                <a:rPr lang="en-US" sz="1100" i="0">
                  <a:solidFill>
                    <a:schemeClr val="dk1"/>
                  </a:solidFill>
                  <a:effectLst/>
                  <a:latin typeface="Cambria Math" panose="02040503050406030204" pitchFamily="18" charset="0"/>
                  <a:ea typeface="+mn-ea"/>
                  <a:cs typeface="+mn-cs"/>
                </a:rPr>
                <a:t>𝑝)/(1</a:t>
              </a:r>
              <a:r>
                <a:rPr lang="en-US" sz="1100" b="0" i="0">
                  <a:solidFill>
                    <a:schemeClr val="dk1"/>
                  </a:solidFill>
                  <a:effectLst/>
                  <a:latin typeface="Cambria Math" panose="02040503050406030204" pitchFamily="18" charset="0"/>
                  <a:ea typeface="+mn-ea"/>
                  <a:cs typeface="+mn-cs"/>
                </a:rPr>
                <a:t>00 𝑓𝑡^2 )</a:t>
              </a:r>
              <a:endParaRPr lang="en-US">
                <a:effectLst/>
              </a:endParaRPr>
            </a:p>
            <a:p>
              <a:endParaRPr lang="en-US">
                <a:effectLst/>
              </a:endParaRPr>
            </a:p>
            <a:p>
              <a:r>
                <a:rPr lang="en-US" sz="1200" b="1" baseline="0">
                  <a:solidFill>
                    <a:schemeClr val="dk1"/>
                  </a:solidFill>
                  <a:effectLst/>
                  <a:latin typeface="+mn-lt"/>
                  <a:ea typeface="+mn-ea"/>
                  <a:cs typeface="+mn-cs"/>
                </a:rPr>
                <a:t>Standard permeable pavement designs</a:t>
              </a:r>
              <a:r>
                <a:rPr lang="en-US" sz="1200" b="0" baseline="0">
                  <a:solidFill>
                    <a:schemeClr val="dk1"/>
                  </a:solidFill>
                  <a:effectLst/>
                  <a:latin typeface="+mn-lt"/>
                  <a:ea typeface="+mn-ea"/>
                  <a:cs typeface="+mn-cs"/>
                </a:rPr>
                <a:t> </a:t>
              </a:r>
              <a:r>
                <a:rPr lang="en-US" sz="1100" b="0" baseline="0">
                  <a:solidFill>
                    <a:schemeClr val="dk1"/>
                  </a:solidFill>
                  <a:effectLst/>
                  <a:latin typeface="+mn-lt"/>
                  <a:ea typeface="+mn-ea"/>
                  <a:cs typeface="+mn-cs"/>
                </a:rPr>
                <a:t>retain storage volume at a rate of 5.0 cubic feet per 100 square feet of permeable pavement, therefore:</a:t>
              </a: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5.0 𝑓𝑡^3</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𝐴_</a:t>
              </a:r>
              <a:r>
                <a:rPr lang="en-US" sz="1100" i="0">
                  <a:solidFill>
                    <a:schemeClr val="dk1"/>
                  </a:solidFill>
                  <a:effectLst/>
                  <a:latin typeface="Cambria Math" panose="02040503050406030204" pitchFamily="18" charset="0"/>
                  <a:ea typeface="+mn-ea"/>
                  <a:cs typeface="+mn-cs"/>
                </a:rPr>
                <a:t>𝑝)/(1</a:t>
              </a:r>
              <a:r>
                <a:rPr lang="en-US" sz="1100" b="0" i="0">
                  <a:solidFill>
                    <a:schemeClr val="dk1"/>
                  </a:solidFill>
                  <a:effectLst/>
                  <a:latin typeface="Cambria Math" panose="02040503050406030204" pitchFamily="18" charset="0"/>
                  <a:ea typeface="+mn-ea"/>
                  <a:cs typeface="+mn-cs"/>
                </a:rPr>
                <a:t>00 𝑓𝑡^2 )</a:t>
              </a:r>
              <a:endParaRPr lang="en-US" sz="1200">
                <a:solidFill>
                  <a:schemeClr val="dk1"/>
                </a:solidFill>
                <a:effectLst/>
                <a:latin typeface="+mn-lt"/>
                <a:ea typeface="+mn-ea"/>
                <a:cs typeface="+mn-cs"/>
              </a:endParaRPr>
            </a:p>
          </xdr:txBody>
        </xdr:sp>
      </mc:Fallback>
    </mc:AlternateContent>
    <xdr:clientData/>
  </xdr:twoCellAnchor>
  <xdr:twoCellAnchor>
    <xdr:from>
      <xdr:col>8</xdr:col>
      <xdr:colOff>533400</xdr:colOff>
      <xdr:row>54</xdr:row>
      <xdr:rowOff>175260</xdr:rowOff>
    </xdr:from>
    <xdr:to>
      <xdr:col>12</xdr:col>
      <xdr:colOff>182880</xdr:colOff>
      <xdr:row>58</xdr:row>
      <xdr:rowOff>45720</xdr:rowOff>
    </xdr:to>
    <xdr:sp macro="[0]!ClearDataPermeablePavement" textlink="">
      <xdr:nvSpPr>
        <xdr:cNvPr id="3" name="Rectangle 2">
          <a:extLst>
            <a:ext uri="{FF2B5EF4-FFF2-40B4-BE49-F238E27FC236}">
              <a16:creationId xmlns:a16="http://schemas.microsoft.com/office/drawing/2014/main" id="{55E36171-F92D-4F67-BAF8-D9A42CCD80BD}"/>
            </a:ext>
          </a:extLst>
        </xdr:cNvPr>
        <xdr:cNvSpPr/>
      </xdr:nvSpPr>
      <xdr:spPr>
        <a:xfrm>
          <a:off x="9761220" y="8488680"/>
          <a:ext cx="2339340" cy="80772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a:t>Click Here to Clear Entered Data</a:t>
          </a:r>
        </a:p>
      </xdr:txBody>
    </xdr:sp>
    <xdr:clientData/>
  </xdr:twoCellAnchor>
  <xdr:twoCellAnchor>
    <xdr:from>
      <xdr:col>9</xdr:col>
      <xdr:colOff>0</xdr:colOff>
      <xdr:row>23</xdr:row>
      <xdr:rowOff>121920</xdr:rowOff>
    </xdr:from>
    <xdr:to>
      <xdr:col>18</xdr:col>
      <xdr:colOff>0</xdr:colOff>
      <xdr:row>34</xdr:row>
      <xdr:rowOff>7620</xdr:rowOff>
    </xdr:to>
    <xdr:grpSp>
      <xdr:nvGrpSpPr>
        <xdr:cNvPr id="13" name="Group 12">
          <a:extLst>
            <a:ext uri="{FF2B5EF4-FFF2-40B4-BE49-F238E27FC236}">
              <a16:creationId xmlns:a16="http://schemas.microsoft.com/office/drawing/2014/main" id="{11548862-4A3F-483B-8C57-7AC64E5EF1A4}"/>
            </a:ext>
          </a:extLst>
        </xdr:cNvPr>
        <xdr:cNvGrpSpPr/>
      </xdr:nvGrpSpPr>
      <xdr:grpSpPr>
        <a:xfrm>
          <a:off x="8374380" y="4404360"/>
          <a:ext cx="6004560" cy="1897380"/>
          <a:chOff x="9014460" y="190500"/>
          <a:chExt cx="6004560" cy="1897380"/>
        </a:xfrm>
      </xdr:grpSpPr>
      <xdr:sp macro="" textlink="">
        <xdr:nvSpPr>
          <xdr:cNvPr id="6" name="TextBox 5">
            <a:extLst>
              <a:ext uri="{FF2B5EF4-FFF2-40B4-BE49-F238E27FC236}">
                <a16:creationId xmlns:a16="http://schemas.microsoft.com/office/drawing/2014/main" id="{B13E3EC9-0081-4084-9026-4968813D510F}"/>
              </a:ext>
            </a:extLst>
          </xdr:cNvPr>
          <xdr:cNvSpPr txBox="1"/>
        </xdr:nvSpPr>
        <xdr:spPr>
          <a:xfrm>
            <a:off x="9014460" y="190500"/>
            <a:ext cx="6004560" cy="18973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effectLst/>
                <a:latin typeface="Times New Roman" panose="02020603050405020304" pitchFamily="18" charset="0"/>
                <a:ea typeface="Calibri" panose="020F0502020204030204" pitchFamily="34" charset="0"/>
              </a:rPr>
              <a:t>Standard permeable pavement design cross section.</a:t>
            </a:r>
            <a:endParaRPr lang="en-US" sz="1400" b="1"/>
          </a:p>
        </xdr:txBody>
      </xdr:sp>
      <xdr:pic>
        <xdr:nvPicPr>
          <xdr:cNvPr id="5" name="Picture 4">
            <a:extLst>
              <a:ext uri="{FF2B5EF4-FFF2-40B4-BE49-F238E27FC236}">
                <a16:creationId xmlns:a16="http://schemas.microsoft.com/office/drawing/2014/main" id="{B45F5CD0-EC1B-4DFD-B0C2-01232E3D642F}"/>
              </a:ext>
            </a:extLst>
          </xdr:cNvPr>
          <xdr:cNvPicPr/>
        </xdr:nvPicPr>
        <xdr:blipFill rotWithShape="1">
          <a:blip xmlns:r="http://schemas.openxmlformats.org/officeDocument/2006/relationships" r:embed="rId1"/>
          <a:srcRect t="69148" b="13118"/>
          <a:stretch/>
        </xdr:blipFill>
        <xdr:spPr bwMode="auto">
          <a:xfrm>
            <a:off x="9113520" y="457200"/>
            <a:ext cx="5852160" cy="1630680"/>
          </a:xfrm>
          <a:prstGeom prst="rect">
            <a:avLst/>
          </a:prstGeom>
          <a:ln>
            <a:noFill/>
          </a:ln>
          <a:extLst>
            <a:ext uri="{53640926-AAD7-44D8-BBD7-CCE9431645EC}">
              <a14:shadowObscured xmlns:a14="http://schemas.microsoft.com/office/drawing/2010/main"/>
            </a:ext>
          </a:extLst>
        </xdr:spPr>
      </xdr:pic>
    </xdr:grpSp>
    <xdr:clientData/>
  </xdr:twoCellAnchor>
  <xdr:twoCellAnchor>
    <xdr:from>
      <xdr:col>9</xdr:col>
      <xdr:colOff>0</xdr:colOff>
      <xdr:row>12</xdr:row>
      <xdr:rowOff>0</xdr:rowOff>
    </xdr:from>
    <xdr:to>
      <xdr:col>18</xdr:col>
      <xdr:colOff>0</xdr:colOff>
      <xdr:row>22</xdr:row>
      <xdr:rowOff>68580</xdr:rowOff>
    </xdr:to>
    <xdr:grpSp>
      <xdr:nvGrpSpPr>
        <xdr:cNvPr id="14" name="Group 13">
          <a:extLst>
            <a:ext uri="{FF2B5EF4-FFF2-40B4-BE49-F238E27FC236}">
              <a16:creationId xmlns:a16="http://schemas.microsoft.com/office/drawing/2014/main" id="{CF26321C-B087-497B-ABDF-EE94C8B2DC5F}"/>
            </a:ext>
          </a:extLst>
        </xdr:cNvPr>
        <xdr:cNvGrpSpPr/>
      </xdr:nvGrpSpPr>
      <xdr:grpSpPr>
        <a:xfrm>
          <a:off x="8374380" y="2270760"/>
          <a:ext cx="6004560" cy="1897380"/>
          <a:chOff x="9014460" y="2270760"/>
          <a:chExt cx="6004560" cy="1897380"/>
        </a:xfrm>
      </xdr:grpSpPr>
      <xdr:sp macro="" textlink="">
        <xdr:nvSpPr>
          <xdr:cNvPr id="8" name="TextBox 7">
            <a:extLst>
              <a:ext uri="{FF2B5EF4-FFF2-40B4-BE49-F238E27FC236}">
                <a16:creationId xmlns:a16="http://schemas.microsoft.com/office/drawing/2014/main" id="{5AAD224A-CCE1-483A-BDF5-90672EC5D4F1}"/>
              </a:ext>
            </a:extLst>
          </xdr:cNvPr>
          <xdr:cNvSpPr txBox="1"/>
        </xdr:nvSpPr>
        <xdr:spPr>
          <a:xfrm>
            <a:off x="9014460" y="2270760"/>
            <a:ext cx="6004560" cy="18973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effectLst/>
                <a:latin typeface="Times New Roman" panose="02020603050405020304" pitchFamily="18" charset="0"/>
                <a:ea typeface="Calibri" panose="020F0502020204030204" pitchFamily="34" charset="0"/>
              </a:rPr>
              <a:t>Underdrained enhanced permeable pavement 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9" name="Picture 8">
            <a:extLst>
              <a:ext uri="{FF2B5EF4-FFF2-40B4-BE49-F238E27FC236}">
                <a16:creationId xmlns:a16="http://schemas.microsoft.com/office/drawing/2014/main" id="{261F04F5-60D2-4A02-AC71-46AE6BC04283}"/>
              </a:ext>
            </a:extLst>
          </xdr:cNvPr>
          <xdr:cNvPicPr/>
        </xdr:nvPicPr>
        <xdr:blipFill rotWithShape="1">
          <a:blip xmlns:r="http://schemas.openxmlformats.org/officeDocument/2006/relationships" r:embed="rId1"/>
          <a:srcRect t="13374" b="65822"/>
          <a:stretch/>
        </xdr:blipFill>
        <xdr:spPr bwMode="auto">
          <a:xfrm>
            <a:off x="9113520" y="2552700"/>
            <a:ext cx="5852160" cy="1600200"/>
          </a:xfrm>
          <a:prstGeom prst="rect">
            <a:avLst/>
          </a:prstGeom>
          <a:ln>
            <a:noFill/>
          </a:ln>
          <a:extLst>
            <a:ext uri="{53640926-AAD7-44D8-BBD7-CCE9431645EC}">
              <a14:shadowObscured xmlns:a14="http://schemas.microsoft.com/office/drawing/2010/main"/>
            </a:ext>
          </a:extLst>
        </xdr:spPr>
      </xdr:pic>
    </xdr:grpSp>
    <xdr:clientData/>
  </xdr:twoCellAnchor>
  <xdr:twoCellAnchor>
    <xdr:from>
      <xdr:col>9</xdr:col>
      <xdr:colOff>0</xdr:colOff>
      <xdr:row>1</xdr:row>
      <xdr:rowOff>7620</xdr:rowOff>
    </xdr:from>
    <xdr:to>
      <xdr:col>18</xdr:col>
      <xdr:colOff>0</xdr:colOff>
      <xdr:row>11</xdr:row>
      <xdr:rowOff>0</xdr:rowOff>
    </xdr:to>
    <xdr:grpSp>
      <xdr:nvGrpSpPr>
        <xdr:cNvPr id="15" name="Group 14">
          <a:extLst>
            <a:ext uri="{FF2B5EF4-FFF2-40B4-BE49-F238E27FC236}">
              <a16:creationId xmlns:a16="http://schemas.microsoft.com/office/drawing/2014/main" id="{5635737F-D57B-4FA7-B3AF-DB1D3A927BB7}"/>
            </a:ext>
          </a:extLst>
        </xdr:cNvPr>
        <xdr:cNvGrpSpPr/>
      </xdr:nvGrpSpPr>
      <xdr:grpSpPr>
        <a:xfrm>
          <a:off x="8374380" y="190500"/>
          <a:ext cx="6004560" cy="1897380"/>
          <a:chOff x="9014460" y="4465320"/>
          <a:chExt cx="6004560" cy="1897380"/>
        </a:xfrm>
      </xdr:grpSpPr>
      <xdr:sp macro="" textlink="">
        <xdr:nvSpPr>
          <xdr:cNvPr id="11" name="TextBox 10">
            <a:extLst>
              <a:ext uri="{FF2B5EF4-FFF2-40B4-BE49-F238E27FC236}">
                <a16:creationId xmlns:a16="http://schemas.microsoft.com/office/drawing/2014/main" id="{D3E02579-13A7-4292-BB62-C8206BF30397}"/>
              </a:ext>
            </a:extLst>
          </xdr:cNvPr>
          <xdr:cNvSpPr txBox="1"/>
        </xdr:nvSpPr>
        <xdr:spPr>
          <a:xfrm>
            <a:off x="9014460" y="4465320"/>
            <a:ext cx="6004560" cy="18973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effectLst/>
                <a:latin typeface="Times New Roman" panose="02020603050405020304" pitchFamily="18" charset="0"/>
                <a:ea typeface="Calibri" panose="020F0502020204030204" pitchFamily="34" charset="0"/>
              </a:rPr>
              <a:t>Enhanced</a:t>
            </a:r>
            <a:r>
              <a:rPr lang="en-US" sz="1400" b="1">
                <a:effectLst/>
                <a:latin typeface="Times New Roman" panose="02020603050405020304" pitchFamily="18" charset="0"/>
                <a:ea typeface="Calibri" panose="020F0502020204030204" pitchFamily="34" charset="0"/>
              </a:rPr>
              <a:t> permeable pavement 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12" name="Picture 11">
            <a:extLst>
              <a:ext uri="{FF2B5EF4-FFF2-40B4-BE49-F238E27FC236}">
                <a16:creationId xmlns:a16="http://schemas.microsoft.com/office/drawing/2014/main" id="{BCFE4DB9-1E21-41A5-B8C4-41B594F22023}"/>
              </a:ext>
            </a:extLst>
          </xdr:cNvPr>
          <xdr:cNvPicPr/>
        </xdr:nvPicPr>
        <xdr:blipFill rotWithShape="1">
          <a:blip xmlns:r="http://schemas.openxmlformats.org/officeDocument/2006/relationships" r:embed="rId1"/>
          <a:srcRect t="39626" b="40758"/>
          <a:stretch/>
        </xdr:blipFill>
        <xdr:spPr bwMode="auto">
          <a:xfrm>
            <a:off x="9075420" y="4831080"/>
            <a:ext cx="5943600" cy="1508760"/>
          </a:xfrm>
          <a:prstGeom prst="rect">
            <a:avLst/>
          </a:prstGeom>
          <a:ln>
            <a:noFill/>
          </a:ln>
          <a:extLst>
            <a:ext uri="{53640926-AAD7-44D8-BBD7-CCE9431645EC}">
              <a14:shadowObscured xmlns:a14="http://schemas.microsoft.com/office/drawing/2010/main"/>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55</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24503AB9-BF3E-4DDB-942D-68928331F76B}"/>
                </a:ext>
              </a:extLst>
            </xdr:cNvPr>
            <xdr:cNvSpPr txBox="1"/>
          </xdr:nvSpPr>
          <xdr:spPr>
            <a:xfrm>
              <a:off x="609600" y="182880"/>
              <a:ext cx="7437120" cy="1009650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3.6 BIORETENTION</a:t>
              </a:r>
              <a:endParaRPr lang="en-US" sz="1400" b="1"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Design Types</a:t>
              </a:r>
            </a:p>
            <a:p>
              <a:pPr lvl="0"/>
              <a:r>
                <a:rPr lang="en-US" sz="1200" b="1" i="0">
                  <a:solidFill>
                    <a:schemeClr val="dk1"/>
                  </a:solidFill>
                  <a:effectLst/>
                  <a:latin typeface="+mn-lt"/>
                  <a:ea typeface="+mn-ea"/>
                  <a:cs typeface="+mn-cs"/>
                </a:rPr>
                <a:t>Enhanced</a:t>
              </a:r>
              <a:r>
                <a:rPr lang="en-US" sz="1200">
                  <a:solidFill>
                    <a:schemeClr val="dk1"/>
                  </a:solidFill>
                  <a:effectLst/>
                  <a:latin typeface="+mn-lt"/>
                  <a:ea typeface="+mn-ea"/>
                  <a:cs typeface="+mn-cs"/>
                </a:rPr>
                <a:t>. </a:t>
              </a:r>
              <a:r>
                <a:rPr lang="en-US" sz="1100">
                  <a:solidFill>
                    <a:schemeClr val="dk1"/>
                  </a:solidFill>
                  <a:effectLst/>
                  <a:latin typeface="+mn-lt"/>
                  <a:ea typeface="+mn-ea"/>
                  <a:cs typeface="+mn-cs"/>
                </a:rPr>
                <a:t>Practices that can infiltrate the design storm volume within 72 hours.</a:t>
              </a:r>
            </a:p>
            <a:p>
              <a:pPr lvl="0"/>
              <a:r>
                <a:rPr lang="en-US" sz="1200" b="1" i="0">
                  <a:solidFill>
                    <a:schemeClr val="dk1"/>
                  </a:solidFill>
                  <a:effectLst/>
                  <a:latin typeface="+mn-lt"/>
                  <a:ea typeface="+mn-ea"/>
                  <a:cs typeface="+mn-cs"/>
                </a:rPr>
                <a:t>Enhanced with</a:t>
              </a:r>
              <a:r>
                <a:rPr lang="en-US" sz="1200" b="1" i="0" baseline="0">
                  <a:solidFill>
                    <a:schemeClr val="dk1"/>
                  </a:solidFill>
                  <a:effectLst/>
                  <a:latin typeface="+mn-lt"/>
                  <a:ea typeface="+mn-ea"/>
                  <a:cs typeface="+mn-cs"/>
                </a:rPr>
                <a:t> Underdrain</a:t>
              </a:r>
              <a:r>
                <a:rPr lang="en-US" sz="1200">
                  <a:solidFill>
                    <a:schemeClr val="dk1"/>
                  </a:solidFill>
                  <a:effectLst/>
                  <a:latin typeface="+mn-lt"/>
                  <a:ea typeface="+mn-ea"/>
                  <a:cs typeface="+mn-cs"/>
                </a:rPr>
                <a:t>. </a:t>
              </a:r>
              <a:r>
                <a:rPr lang="en-US" sz="1100">
                  <a:solidFill>
                    <a:schemeClr val="dk1"/>
                  </a:solidFill>
                  <a:effectLst/>
                  <a:latin typeface="+mn-lt"/>
                  <a:ea typeface="+mn-ea"/>
                  <a:cs typeface="+mn-cs"/>
                </a:rPr>
                <a:t>Practices with underdrains that contain at least 24 inches of filter media depth and an infiltration sump/storage layer</a:t>
              </a:r>
              <a:r>
                <a:rPr lang="en-US" sz="1100" baseline="0">
                  <a:solidFill>
                    <a:schemeClr val="dk1"/>
                  </a:solidFill>
                  <a:effectLst/>
                  <a:latin typeface="+mn-lt"/>
                  <a:ea typeface="+mn-ea"/>
                  <a:cs typeface="+mn-cs"/>
                </a:rPr>
                <a:t> </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Standard</a:t>
              </a:r>
              <a:r>
                <a:rPr lang="en-US" sz="1100">
                  <a:solidFill>
                    <a:schemeClr val="dk1"/>
                  </a:solidFill>
                  <a:effectLst/>
                  <a:latin typeface="+mn-lt"/>
                  <a:ea typeface="+mn-ea"/>
                  <a:cs typeface="+mn-cs"/>
                </a:rPr>
                <a:t>. Practices with a standard underdrain design and at</a:t>
              </a:r>
              <a:r>
                <a:rPr lang="en-US" sz="1100" baseline="0">
                  <a:solidFill>
                    <a:schemeClr val="dk1"/>
                  </a:solidFill>
                  <a:effectLst/>
                  <a:latin typeface="+mn-lt"/>
                  <a:ea typeface="+mn-ea"/>
                  <a:cs typeface="+mn-cs"/>
                </a:rPr>
                <a:t> least 18 </a:t>
              </a:r>
              <a:r>
                <a:rPr lang="en-US" sz="1100">
                  <a:solidFill>
                    <a:schemeClr val="dk1"/>
                  </a:solidFill>
                  <a:effectLst/>
                  <a:latin typeface="+mn-lt"/>
                  <a:ea typeface="+mn-ea"/>
                  <a:cs typeface="+mn-cs"/>
                </a:rPr>
                <a:t>inches of filter media depth.</a:t>
              </a:r>
            </a:p>
            <a:p>
              <a:pPr lvl="0"/>
              <a:endParaRPr lang="en-US" sz="110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Bioretention Storage Volume</a:t>
              </a:r>
            </a:p>
            <a:p>
              <a:pPr algn="ctr"/>
              <a:r>
                <a:rPr lang="en-US" sz="1200">
                  <a:solidFill>
                    <a:schemeClr val="dk1"/>
                  </a:solidFill>
                  <a:effectLst/>
                  <a:latin typeface="+mn-lt"/>
                  <a:ea typeface="+mn-ea"/>
                  <a:cs typeface="+mn-cs"/>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𝑆𝐴</m:t>
                      </m:r>
                    </m:e>
                    <m:sub>
                      <m:r>
                        <a:rPr lang="en-US" sz="1200" i="1">
                          <a:solidFill>
                            <a:schemeClr val="dk1"/>
                          </a:solidFill>
                          <a:effectLst/>
                          <a:latin typeface="Cambria Math" panose="02040503050406030204" pitchFamily="18" charset="0"/>
                          <a:ea typeface="+mn-ea"/>
                          <a:cs typeface="+mn-cs"/>
                        </a:rPr>
                        <m:t>𝑏𝑜𝑡𝑡𝑜𝑚</m:t>
                      </m:r>
                    </m:sub>
                  </m:sSub>
                  <m:r>
                    <a:rPr lang="en-US" sz="1200" i="1">
                      <a:solidFill>
                        <a:schemeClr val="dk1"/>
                      </a:solidFill>
                      <a:effectLst/>
                      <a:latin typeface="Cambria Math" panose="02040503050406030204" pitchFamily="18" charset="0"/>
                      <a:ea typeface="+mn-ea"/>
                      <a:cs typeface="+mn-cs"/>
                    </a:rPr>
                    <m:t>×</m:t>
                  </m:r>
                  <m:d>
                    <m:dPr>
                      <m:begChr m:val="["/>
                      <m:endChr m:val="]"/>
                      <m:ctrlPr>
                        <a:rPr lang="en-US" sz="1200" i="1">
                          <a:solidFill>
                            <a:schemeClr val="dk1"/>
                          </a:solidFill>
                          <a:effectLst/>
                          <a:latin typeface="Cambria Math" panose="02040503050406030204" pitchFamily="18" charset="0"/>
                          <a:ea typeface="+mn-ea"/>
                          <a:cs typeface="+mn-cs"/>
                        </a:rPr>
                      </m:ctrlPr>
                    </m:dPr>
                    <m:e>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𝑚𝑒𝑑𝑖𝑎</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𝑚𝑒𝑑𝑖𝑎</m:t>
                              </m:r>
                            </m:sub>
                          </m:sSub>
                        </m:e>
                      </m:d>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𝑔𝑟𝑎𝑣𝑒𝑙</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𝑔𝑟𝑎𝑣𝑒𝑙</m:t>
                              </m:r>
                            </m:sub>
                          </m:sSub>
                        </m:e>
                      </m:d>
                    </m:e>
                  </m:d>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𝑆𝐴</m:t>
                      </m:r>
                    </m:e>
                    <m:sub>
                      <m:r>
                        <a:rPr lang="en-US" sz="1200" i="1">
                          <a:solidFill>
                            <a:schemeClr val="dk1"/>
                          </a:solidFill>
                          <a:effectLst/>
                          <a:latin typeface="Cambria Math" panose="02040503050406030204" pitchFamily="18" charset="0"/>
                          <a:ea typeface="+mn-ea"/>
                          <a:cs typeface="+mn-cs"/>
                        </a:rPr>
                        <m:t>𝑎𝑣𝑒𝑟𝑎𝑔𝑒</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𝑝𝑜𝑛𝑑𝑖𝑛𝑔</m:t>
                      </m:r>
                    </m:sub>
                  </m:sSub>
                  <m:r>
                    <a:rPr lang="en-US" sz="1200" i="1">
                      <a:solidFill>
                        <a:schemeClr val="dk1"/>
                      </a:solidFill>
                      <a:effectLst/>
                      <a:latin typeface="Cambria Math" panose="02040503050406030204" pitchFamily="18" charset="0"/>
                      <a:ea typeface="+mn-ea"/>
                      <a:cs typeface="+mn-cs"/>
                    </a:rPr>
                    <m:t>)</m:t>
                  </m:r>
                </m:oMath>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bioretention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depth of the filter media, including mulch layer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effective porosity of the filter media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depth of the underdrain and underground storage gravel layer, including choker stone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effective porosity of the gravel layer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ponding</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ponding depth of bioretention (ft)</a:t>
              </a:r>
              <a:endParaRPr lang="en-US">
                <a:effectLst/>
              </a:endParaRP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average</a:t>
              </a:r>
              <a:r>
                <a:rPr lang="en-US" sz="1100">
                  <a:solidFill>
                    <a:schemeClr val="dk1"/>
                  </a:solidFill>
                  <a:effectLst/>
                  <a:latin typeface="+mn-lt"/>
                  <a:ea typeface="+mn-ea"/>
                  <a:cs typeface="+mn-cs"/>
                </a:rPr>
                <a:t>   =  average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Typically,</a:t>
              </a: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m:t>
                    </m:r>
                    <m:r>
                      <a:rPr lang="en-US" sz="1200" b="0" i="1">
                        <a:solidFill>
                          <a:schemeClr val="dk1"/>
                        </a:solidFill>
                        <a:effectLst/>
                        <a:latin typeface="Cambria Math" panose="02040503050406030204" pitchFamily="18" charset="0"/>
                        <a:ea typeface="+mn-ea"/>
                        <a:cs typeface="+mn-cs"/>
                      </a:rPr>
                      <m:t>𝐴</m:t>
                    </m:r>
                    <m:r>
                      <a:rPr lang="en-US" sz="1200" b="0" i="1" baseline="-25000">
                        <a:solidFill>
                          <a:schemeClr val="dk1"/>
                        </a:solidFill>
                        <a:effectLst/>
                        <a:latin typeface="Cambria Math" panose="02040503050406030204" pitchFamily="18" charset="0"/>
                        <a:ea typeface="+mn-ea"/>
                        <a:cs typeface="+mn-cs"/>
                      </a:rPr>
                      <m:t>𝑎𝑣𝑒𝑟𝑎𝑔𝑒</m:t>
                    </m:r>
                    <m:r>
                      <a:rPr lang="en-US" sz="1200" i="1">
                        <a:solidFill>
                          <a:schemeClr val="dk1"/>
                        </a:solidFill>
                        <a:effectLst/>
                        <a:latin typeface="Cambria Math" panose="02040503050406030204" pitchFamily="18" charset="0"/>
                        <a:ea typeface="+mn-ea"/>
                        <a:cs typeface="+mn-cs"/>
                      </a:rPr>
                      <m:t>=</m:t>
                    </m:r>
                    <m:f>
                      <m:fPr>
                        <m:ctrlPr>
                          <a:rPr lang="en-US" sz="1200" i="1">
                            <a:solidFill>
                              <a:schemeClr val="dk1"/>
                            </a:solidFill>
                            <a:effectLst/>
                            <a:latin typeface="Cambria Math" panose="02040503050406030204" pitchFamily="18" charset="0"/>
                            <a:ea typeface="+mn-ea"/>
                            <a:cs typeface="+mn-cs"/>
                          </a:rPr>
                        </m:ctrlPr>
                      </m:fPr>
                      <m:num>
                        <m:r>
                          <a:rPr lang="en-US" sz="1200" i="1">
                            <a:solidFill>
                              <a:schemeClr val="dk1"/>
                            </a:solidFill>
                            <a:effectLst/>
                            <a:latin typeface="Cambria Math" panose="02040503050406030204" pitchFamily="18" charset="0"/>
                            <a:ea typeface="+mn-ea"/>
                            <a:cs typeface="+mn-cs"/>
                          </a:rPr>
                          <m:t>𝑆𝐴</m:t>
                        </m:r>
                        <m:r>
                          <a:rPr lang="en-US" sz="1200" b="0" i="1" baseline="-25000">
                            <a:solidFill>
                              <a:schemeClr val="dk1"/>
                            </a:solidFill>
                            <a:effectLst/>
                            <a:latin typeface="Cambria Math" panose="02040503050406030204" pitchFamily="18" charset="0"/>
                            <a:ea typeface="+mn-ea"/>
                            <a:cs typeface="+mn-cs"/>
                          </a:rPr>
                          <m:t>𝑏𝑜𝑡𝑡𝑜𝑚</m:t>
                        </m:r>
                        <m:r>
                          <a:rPr lang="en-US" sz="1200" b="0" i="1">
                            <a:solidFill>
                              <a:schemeClr val="dk1"/>
                            </a:solidFill>
                            <a:effectLst/>
                            <a:latin typeface="Cambria Math" panose="02040503050406030204" pitchFamily="18" charset="0"/>
                            <a:ea typeface="+mn-ea"/>
                            <a:cs typeface="+mn-cs"/>
                          </a:rPr>
                          <m:t>+</m:t>
                        </m:r>
                        <m:r>
                          <a:rPr lang="en-US" sz="1100" i="1">
                            <a:solidFill>
                              <a:schemeClr val="dk1"/>
                            </a:solidFill>
                            <a:effectLst/>
                            <a:latin typeface="Cambria Math" panose="02040503050406030204" pitchFamily="18" charset="0"/>
                            <a:ea typeface="+mn-ea"/>
                            <a:cs typeface="+mn-cs"/>
                          </a:rPr>
                          <m:t>𝑆𝐴</m:t>
                        </m:r>
                        <m:r>
                          <a:rPr lang="en-US" sz="1100" b="0" i="1" baseline="-25000">
                            <a:solidFill>
                              <a:schemeClr val="dk1"/>
                            </a:solidFill>
                            <a:effectLst/>
                            <a:latin typeface="Cambria Math" panose="02040503050406030204" pitchFamily="18" charset="0"/>
                            <a:ea typeface="+mn-ea"/>
                            <a:cs typeface="+mn-cs"/>
                          </a:rPr>
                          <m:t>𝑡𝑜𝑝</m:t>
                        </m:r>
                      </m:num>
                      <m:den>
                        <m:r>
                          <a:rPr lang="en-US" sz="1200" i="1">
                            <a:solidFill>
                              <a:schemeClr val="dk1"/>
                            </a:solidFill>
                            <a:effectLst/>
                            <a:latin typeface="Cambria Math" panose="02040503050406030204" pitchFamily="18" charset="0"/>
                            <a:ea typeface="+mn-ea"/>
                            <a:cs typeface="+mn-cs"/>
                          </a:rPr>
                          <m:t>2</m:t>
                        </m:r>
                      </m:den>
                    </m:f>
                  </m:oMath>
                </m:oMathPara>
              </a14:m>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where:  	</a:t>
              </a:r>
              <a:r>
                <a:rPr lang="en-US" sz="1100" i="1">
                  <a:solidFill>
                    <a:schemeClr val="dk1"/>
                  </a:solidFill>
                  <a:effectLst/>
                  <a:latin typeface="+mn-lt"/>
                  <a:ea typeface="+mn-ea"/>
                  <a:cs typeface="+mn-cs"/>
                </a:rPr>
                <a:t>SA</a:t>
              </a:r>
              <a:r>
                <a:rPr lang="en-US" sz="1100" i="1" baseline="-25000">
                  <a:solidFill>
                    <a:schemeClr val="dk1"/>
                  </a:solidFill>
                  <a:effectLst/>
                  <a:latin typeface="+mn-lt"/>
                  <a:ea typeface="+mn-ea"/>
                  <a:cs typeface="+mn-cs"/>
                </a:rPr>
                <a:t>top</a:t>
              </a:r>
              <a:r>
                <a:rPr lang="en-US" sz="1100">
                  <a:solidFill>
                    <a:schemeClr val="dk1"/>
                  </a:solidFill>
                  <a:effectLst/>
                  <a:latin typeface="+mn-lt"/>
                  <a:ea typeface="+mn-ea"/>
                  <a:cs typeface="+mn-cs"/>
                </a:rPr>
                <a:t>   =  top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Enhanced with Underdrain Bioretention Infiltration Sump Depth</a:t>
              </a:r>
              <a:r>
                <a:rPr lang="en-US" sz="1200">
                  <a:solidFill>
                    <a:schemeClr val="dk1"/>
                  </a:solidFill>
                  <a:effectLst/>
                  <a:latin typeface="+mn-lt"/>
                  <a:ea typeface="+mn-ea"/>
                  <a:cs typeface="+mn-cs"/>
                </a:rPr>
                <a:t> </a:t>
              </a:r>
            </a:p>
            <a:p>
              <a:pPr/>
              <a14:m>
                <m:oMathPara xmlns:m="http://schemas.openxmlformats.org/officeDocument/2006/math">
                  <m:oMathParaPr>
                    <m:jc m:val="centerGroup"/>
                  </m:oMathParaPr>
                  <m:oMath xmlns:m="http://schemas.openxmlformats.org/officeDocument/2006/math">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𝑠𝑢𝑚𝑝</m:t>
                        </m:r>
                      </m:sub>
                    </m:sSub>
                    <m:r>
                      <a:rPr lang="en-US" sz="1200" i="1">
                        <a:solidFill>
                          <a:schemeClr val="dk1"/>
                        </a:solidFill>
                        <a:effectLst/>
                        <a:latin typeface="Cambria Math" panose="02040503050406030204" pitchFamily="18" charset="0"/>
                        <a:ea typeface="+mn-ea"/>
                        <a:cs typeface="+mn-cs"/>
                      </a:rPr>
                      <m:t>=</m:t>
                    </m:r>
                    <m:f>
                      <m:fPr>
                        <m:ctrlPr>
                          <a:rPr lang="en-US" sz="1200" i="1">
                            <a:solidFill>
                              <a:schemeClr val="dk1"/>
                            </a:solidFill>
                            <a:effectLst/>
                            <a:latin typeface="Cambria Math" panose="02040503050406030204" pitchFamily="18" charset="0"/>
                            <a:ea typeface="+mn-ea"/>
                            <a:cs typeface="+mn-cs"/>
                          </a:rPr>
                        </m:ctrlPr>
                      </m:fPr>
                      <m:num>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𝑑</m:t>
                            </m:r>
                          </m:sub>
                        </m:sSub>
                        <m:r>
                          <a:rPr lang="en-US" sz="1200" i="1">
                            <a:solidFill>
                              <a:schemeClr val="dk1"/>
                            </a:solidFill>
                            <a:effectLst/>
                            <a:latin typeface="Cambria Math" panose="02040503050406030204" pitchFamily="18" charset="0"/>
                            <a:ea typeface="+mn-ea"/>
                            <a:cs typeface="+mn-cs"/>
                          </a:rPr>
                          <m:t>)</m:t>
                        </m:r>
                      </m:num>
                      <m:den>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𝑟</m:t>
                            </m:r>
                          </m:sub>
                        </m:sSub>
                      </m:den>
                    </m:f>
                  </m:oMath>
                </m:oMathPara>
              </a14:m>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sump</a:t>
              </a:r>
              <a:r>
                <a:rPr lang="en-US" sz="1100">
                  <a:solidFill>
                    <a:schemeClr val="dk1"/>
                  </a:solidFill>
                  <a:effectLst/>
                  <a:latin typeface="+mn-lt"/>
                  <a:ea typeface="+mn-ea"/>
                  <a:cs typeface="+mn-cs"/>
                </a:rPr>
                <a:t>  =   depth of the infiltration sump (ft)</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field-verified saturated hydraulic conductivity for the native soils (ft/day) </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a:solidFill>
                    <a:schemeClr val="dk1"/>
                  </a:solidFill>
                  <a:effectLst/>
                  <a:latin typeface="+mn-lt"/>
                  <a:ea typeface="+mn-ea"/>
                  <a:cs typeface="+mn-cs"/>
                </a:rPr>
                <a:t>  =  drawdown time </a:t>
              </a:r>
            </a:p>
            <a:p>
              <a:r>
                <a:rPr lang="en-US" sz="1100" i="1">
                  <a:solidFill>
                    <a:schemeClr val="dk1"/>
                  </a:solidFill>
                  <a:effectLst/>
                  <a:latin typeface="+mn-lt"/>
                  <a:ea typeface="+mn-ea"/>
                  <a:cs typeface="+mn-cs"/>
                </a:rPr>
                <a:t>	n</a:t>
              </a:r>
              <a:r>
                <a:rPr lang="en-US" sz="1100" i="1" baseline="-25000">
                  <a:solidFill>
                    <a:schemeClr val="dk1"/>
                  </a:solidFill>
                  <a:effectLst/>
                  <a:latin typeface="+mn-lt"/>
                  <a:ea typeface="+mn-ea"/>
                  <a:cs typeface="+mn-cs"/>
                </a:rPr>
                <a:t>r</a:t>
              </a:r>
              <a:r>
                <a:rPr lang="en-US" sz="1100">
                  <a:solidFill>
                    <a:schemeClr val="dk1"/>
                  </a:solidFill>
                  <a:effectLst/>
                  <a:latin typeface="+mn-lt"/>
                  <a:ea typeface="+mn-ea"/>
                  <a:cs typeface="+mn-cs"/>
                </a:rPr>
                <a:t>  =  available porosity of the stone reservoir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For non-underdrained designs, a check must be performed to ensure that the entire Sv infiltrates within 72 hours, as shown</a:t>
              </a:r>
              <a:r>
                <a:rPr lang="en-US" sz="1100" baseline="0">
                  <a:solidFill>
                    <a:schemeClr val="dk1"/>
                  </a:solidFill>
                  <a:effectLst/>
                  <a:latin typeface="+mn-lt"/>
                  <a:ea typeface="+mn-ea"/>
                  <a:cs typeface="+mn-cs"/>
                </a:rPr>
                <a:t> below</a:t>
              </a:r>
              <a:r>
                <a:rPr lang="en-US" sz="1100">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Enhanced</a:t>
              </a:r>
              <a:r>
                <a:rPr lang="en-US" sz="1200" b="1" baseline="0">
                  <a:solidFill>
                    <a:schemeClr val="dk1"/>
                  </a:solidFill>
                  <a:effectLst/>
                  <a:latin typeface="+mn-lt"/>
                  <a:ea typeface="+mn-ea"/>
                  <a:cs typeface="+mn-cs"/>
                </a:rPr>
                <a:t> </a:t>
              </a:r>
              <a:r>
                <a:rPr lang="en-US" sz="1200" b="1">
                  <a:solidFill>
                    <a:schemeClr val="dk1"/>
                  </a:solidFill>
                  <a:effectLst/>
                  <a:latin typeface="+mn-lt"/>
                  <a:ea typeface="+mn-ea"/>
                  <a:cs typeface="+mn-cs"/>
                </a:rPr>
                <a:t>Bioretention Infiltration Rate Check</a:t>
              </a:r>
              <a:r>
                <a:rPr lang="en-US" sz="120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𝑆𝑣</m:t>
                        </m:r>
                      </m:e>
                      <m:sub>
                        <m:r>
                          <a:rPr lang="en-US" sz="1200" i="1">
                            <a:solidFill>
                              <a:schemeClr val="dk1"/>
                            </a:solidFill>
                            <a:effectLst/>
                            <a:latin typeface="Cambria Math" panose="02040503050406030204" pitchFamily="18" charset="0"/>
                            <a:ea typeface="+mn-ea"/>
                            <a:cs typeface="+mn-cs"/>
                          </a:rPr>
                          <m:t>𝑖𝑛𝑓𝑖𝑙𝑡𝑟𝑎𝑡𝑒</m:t>
                        </m:r>
                      </m:sub>
                    </m:sSub>
                    <m:r>
                      <a:rPr lang="en-US" sz="1200" i="1">
                        <a:solidFill>
                          <a:schemeClr val="dk1"/>
                        </a:solidFill>
                        <a:effectLst/>
                        <a:latin typeface="Cambria Math" panose="02040503050406030204" pitchFamily="18" charset="0"/>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𝑆𝐴</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𝑏𝑜𝑡𝑡𝑜𝑚</m:t>
                        </m:r>
                      </m:sub>
                    </m:s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𝐾</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𝑠𝑎𝑡</m:t>
                        </m:r>
                      </m:sub>
                    </m:s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𝑡</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𝑑</m:t>
                        </m:r>
                      </m:sub>
                    </m:s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oMath>
                </m:oMathPara>
              </a14:m>
              <a:endParaRPr kumimoji="0" lang="en-US" sz="1200" b="0" i="0" u="none" strike="noStrike" kern="0" cap="none" spc="0" normalizeH="0" baseline="0" noProof="0">
                <a:ln>
                  <a:noFill/>
                </a:ln>
                <a:solidFill>
                  <a:prstClr val="black"/>
                </a:solidFill>
                <a:effectLst/>
                <a:uLnTx/>
                <a:uFillTx/>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where:	</a:t>
              </a:r>
            </a:p>
            <a:p>
              <a:r>
                <a:rPr lang="en-US" sz="1100" i="1">
                  <a:solidFill>
                    <a:schemeClr val="dk1"/>
                  </a:solidFill>
                  <a:effectLst/>
                  <a:latin typeface="+mn-lt"/>
                  <a:ea typeface="+mn-ea"/>
                  <a:cs typeface="+mn-cs"/>
                </a:rPr>
                <a:t>	Sv</a:t>
              </a:r>
              <a:r>
                <a:rPr lang="en-US" sz="1100" i="1" baseline="-25000">
                  <a:solidFill>
                    <a:schemeClr val="dk1"/>
                  </a:solidFill>
                  <a:effectLst/>
                  <a:latin typeface="+mn-lt"/>
                  <a:ea typeface="+mn-ea"/>
                  <a:cs typeface="+mn-cs"/>
                </a:rPr>
                <a:t>infiltrate</a:t>
              </a:r>
              <a:r>
                <a:rPr lang="en-US" sz="1100">
                  <a:solidFill>
                    <a:schemeClr val="dk1"/>
                  </a:solidFill>
                  <a:effectLst/>
                  <a:latin typeface="+mn-lt"/>
                  <a:ea typeface="+mn-ea"/>
                  <a:cs typeface="+mn-cs"/>
                </a:rPr>
                <a:t> =  storage volume that will infiltrate within 72 hours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field-verified saturated hydraulic conductivity for the native soils (ft/day)</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a:solidFill>
                    <a:schemeClr val="dk1"/>
                  </a:solidFill>
                  <a:effectLst/>
                  <a:latin typeface="+mn-lt"/>
                  <a:ea typeface="+mn-ea"/>
                  <a:cs typeface="+mn-cs"/>
                </a:rPr>
                <a:t>  =  drawdown time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Sv</a:t>
              </a:r>
              <a:r>
                <a:rPr lang="en-US" sz="1100" baseline="-25000">
                  <a:solidFill>
                    <a:schemeClr val="dk1"/>
                  </a:solidFill>
                  <a:effectLst/>
                  <a:latin typeface="+mn-lt"/>
                  <a:ea typeface="+mn-ea"/>
                  <a:cs typeface="+mn-cs"/>
                </a:rPr>
                <a:t>infiltrate </a:t>
              </a:r>
              <a:r>
                <a:rPr lang="en-US" sz="1100">
                  <a:solidFill>
                    <a:schemeClr val="dk1"/>
                  </a:solidFill>
                  <a:effectLst/>
                  <a:latin typeface="+mn-lt"/>
                  <a:ea typeface="+mn-ea"/>
                  <a:cs typeface="+mn-cs"/>
                </a:rPr>
                <a:t>is greater than or equal to Sv, then the entire Sv will infiltrate within 72 hours. If it is not, the storage volume of the bioretention area should be reduced accordingly.</a:t>
              </a:r>
            </a:p>
            <a:p>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Enhanced and Enhanced with underdrain bioretention designs </a:t>
              </a:r>
              <a:r>
                <a:rPr lang="en-US" sz="1100" b="0" baseline="0">
                  <a:solidFill>
                    <a:schemeClr val="dk1"/>
                  </a:solidFill>
                  <a:effectLst/>
                  <a:latin typeface="+mn-lt"/>
                  <a:ea typeface="+mn-ea"/>
                  <a:cs typeface="+mn-cs"/>
                </a:rPr>
                <a:t>retain 100%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b="1"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Standard bioretention designs </a:t>
              </a:r>
              <a:r>
                <a:rPr lang="en-US" sz="1100" b="0" baseline="0">
                  <a:solidFill>
                    <a:schemeClr val="dk1"/>
                  </a:solidFill>
                  <a:effectLst/>
                  <a:latin typeface="+mn-lt"/>
                  <a:ea typeface="+mn-ea"/>
                  <a:cs typeface="+mn-cs"/>
                </a:rPr>
                <a:t>retain 60%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=0.6×</m:t>
                    </m:r>
                    <m:r>
                      <a:rPr lang="en-US" sz="1200" b="0" i="1">
                        <a:solidFill>
                          <a:schemeClr val="dk1"/>
                        </a:solidFill>
                        <a:effectLst/>
                        <a:latin typeface="Cambria Math" panose="02040503050406030204" pitchFamily="18" charset="0"/>
                        <a:ea typeface="+mn-ea"/>
                        <a:cs typeface="+mn-cs"/>
                      </a:rPr>
                      <m:t>𝑆𝑣</m:t>
                    </m:r>
                  </m:oMath>
                </m:oMathPara>
              </a14:m>
              <a:endParaRPr lang="en-US" sz="1200" b="0">
                <a:solidFill>
                  <a:schemeClr val="dk1"/>
                </a:solidFill>
                <a:effectLst/>
                <a:ea typeface="+mn-ea"/>
                <a:cs typeface="+mn-cs"/>
              </a:endParaRPr>
            </a:p>
            <a:p>
              <a:endParaRPr lang="en-US" sz="120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24503AB9-BF3E-4DDB-942D-68928331F76B}"/>
                </a:ext>
              </a:extLst>
            </xdr:cNvPr>
            <xdr:cNvSpPr txBox="1"/>
          </xdr:nvSpPr>
          <xdr:spPr>
            <a:xfrm>
              <a:off x="609600" y="182880"/>
              <a:ext cx="7437120" cy="1009650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3.6 BIORETENTION</a:t>
              </a:r>
              <a:endParaRPr lang="en-US" sz="1400" b="1"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Design Types</a:t>
              </a:r>
            </a:p>
            <a:p>
              <a:pPr lvl="0"/>
              <a:r>
                <a:rPr lang="en-US" sz="1200" b="1" i="0">
                  <a:solidFill>
                    <a:schemeClr val="dk1"/>
                  </a:solidFill>
                  <a:effectLst/>
                  <a:latin typeface="+mn-lt"/>
                  <a:ea typeface="+mn-ea"/>
                  <a:cs typeface="+mn-cs"/>
                </a:rPr>
                <a:t>Enhanced</a:t>
              </a:r>
              <a:r>
                <a:rPr lang="en-US" sz="1200">
                  <a:solidFill>
                    <a:schemeClr val="dk1"/>
                  </a:solidFill>
                  <a:effectLst/>
                  <a:latin typeface="+mn-lt"/>
                  <a:ea typeface="+mn-ea"/>
                  <a:cs typeface="+mn-cs"/>
                </a:rPr>
                <a:t>. </a:t>
              </a:r>
              <a:r>
                <a:rPr lang="en-US" sz="1100">
                  <a:solidFill>
                    <a:schemeClr val="dk1"/>
                  </a:solidFill>
                  <a:effectLst/>
                  <a:latin typeface="+mn-lt"/>
                  <a:ea typeface="+mn-ea"/>
                  <a:cs typeface="+mn-cs"/>
                </a:rPr>
                <a:t>Practices that can infiltrate the design storm volume within 72 hours.</a:t>
              </a:r>
            </a:p>
            <a:p>
              <a:pPr lvl="0"/>
              <a:r>
                <a:rPr lang="en-US" sz="1200" b="1" i="0">
                  <a:solidFill>
                    <a:schemeClr val="dk1"/>
                  </a:solidFill>
                  <a:effectLst/>
                  <a:latin typeface="+mn-lt"/>
                  <a:ea typeface="+mn-ea"/>
                  <a:cs typeface="+mn-cs"/>
                </a:rPr>
                <a:t>Enhanced with</a:t>
              </a:r>
              <a:r>
                <a:rPr lang="en-US" sz="1200" b="1" i="0" baseline="0">
                  <a:solidFill>
                    <a:schemeClr val="dk1"/>
                  </a:solidFill>
                  <a:effectLst/>
                  <a:latin typeface="+mn-lt"/>
                  <a:ea typeface="+mn-ea"/>
                  <a:cs typeface="+mn-cs"/>
                </a:rPr>
                <a:t> Underdrain</a:t>
              </a:r>
              <a:r>
                <a:rPr lang="en-US" sz="1200">
                  <a:solidFill>
                    <a:schemeClr val="dk1"/>
                  </a:solidFill>
                  <a:effectLst/>
                  <a:latin typeface="+mn-lt"/>
                  <a:ea typeface="+mn-ea"/>
                  <a:cs typeface="+mn-cs"/>
                </a:rPr>
                <a:t>. </a:t>
              </a:r>
              <a:r>
                <a:rPr lang="en-US" sz="1100">
                  <a:solidFill>
                    <a:schemeClr val="dk1"/>
                  </a:solidFill>
                  <a:effectLst/>
                  <a:latin typeface="+mn-lt"/>
                  <a:ea typeface="+mn-ea"/>
                  <a:cs typeface="+mn-cs"/>
                </a:rPr>
                <a:t>Practices with underdrains that contain at least 24 inches of filter media depth and an infiltration sump/storage layer</a:t>
              </a:r>
              <a:r>
                <a:rPr lang="en-US" sz="1100" baseline="0">
                  <a:solidFill>
                    <a:schemeClr val="dk1"/>
                  </a:solidFill>
                  <a:effectLst/>
                  <a:latin typeface="+mn-lt"/>
                  <a:ea typeface="+mn-ea"/>
                  <a:cs typeface="+mn-cs"/>
                </a:rPr>
                <a:t> </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Standard</a:t>
              </a:r>
              <a:r>
                <a:rPr lang="en-US" sz="1100">
                  <a:solidFill>
                    <a:schemeClr val="dk1"/>
                  </a:solidFill>
                  <a:effectLst/>
                  <a:latin typeface="+mn-lt"/>
                  <a:ea typeface="+mn-ea"/>
                  <a:cs typeface="+mn-cs"/>
                </a:rPr>
                <a:t>. Practices with a standard underdrain design and at</a:t>
              </a:r>
              <a:r>
                <a:rPr lang="en-US" sz="1100" baseline="0">
                  <a:solidFill>
                    <a:schemeClr val="dk1"/>
                  </a:solidFill>
                  <a:effectLst/>
                  <a:latin typeface="+mn-lt"/>
                  <a:ea typeface="+mn-ea"/>
                  <a:cs typeface="+mn-cs"/>
                </a:rPr>
                <a:t> least 18 </a:t>
              </a:r>
              <a:r>
                <a:rPr lang="en-US" sz="1100">
                  <a:solidFill>
                    <a:schemeClr val="dk1"/>
                  </a:solidFill>
                  <a:effectLst/>
                  <a:latin typeface="+mn-lt"/>
                  <a:ea typeface="+mn-ea"/>
                  <a:cs typeface="+mn-cs"/>
                </a:rPr>
                <a:t>inches of filter media depth.</a:t>
              </a:r>
            </a:p>
            <a:p>
              <a:pPr lvl="0"/>
              <a:endParaRPr lang="en-US" sz="110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Bioretention Storage Volume</a:t>
              </a:r>
            </a:p>
            <a:p>
              <a:pPr algn="ctr"/>
              <a:r>
                <a:rPr lang="en-US" sz="1200">
                  <a:solidFill>
                    <a:schemeClr val="dk1"/>
                  </a:solidFill>
                  <a:effectLst/>
                  <a:latin typeface="+mn-lt"/>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𝑆𝑣</a:t>
              </a:r>
              <a:r>
                <a:rPr lang="en-US" sz="1200" i="0">
                  <a:solidFill>
                    <a:schemeClr val="dk1"/>
                  </a:solidFill>
                  <a:effectLst/>
                  <a:latin typeface="Cambria Math" panose="02040503050406030204" pitchFamily="18" charset="0"/>
                  <a:ea typeface="+mn-ea"/>
                  <a:cs typeface="+mn-cs"/>
                </a:rPr>
                <a:t>=〖𝑆𝐴〗_𝑏𝑜𝑡𝑡𝑜𝑚×[(𝑑_𝑚𝑒𝑑𝑖𝑎×𝜂_𝑚𝑒𝑑𝑖𝑎 )+(𝑑_𝑔𝑟𝑎𝑣𝑒𝑙×𝜂_𝑔𝑟𝑎𝑣𝑒𝑙 )]+(〖𝑆𝐴〗_𝑎𝑣𝑒𝑟𝑎𝑔𝑒×𝑑_𝑝𝑜𝑛𝑑𝑖𝑛𝑔)</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bioretention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depth of the filter media, including mulch layer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effective porosity of the filter media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depth of the underdrain and underground storage gravel layer, including choker stone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effective porosity of the gravel layer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ponding</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ponding depth of bioretention (ft)</a:t>
              </a:r>
              <a:endParaRPr lang="en-US">
                <a:effectLst/>
              </a:endParaRP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average</a:t>
              </a:r>
              <a:r>
                <a:rPr lang="en-US" sz="1100">
                  <a:solidFill>
                    <a:schemeClr val="dk1"/>
                  </a:solidFill>
                  <a:effectLst/>
                  <a:latin typeface="+mn-lt"/>
                  <a:ea typeface="+mn-ea"/>
                  <a:cs typeface="+mn-cs"/>
                </a:rPr>
                <a:t>   =  average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Typically,</a:t>
              </a:r>
            </a:p>
            <a:p>
              <a:pPr marL="0" marR="0" lvl="0" indent="0" defTabSz="914400" eaLnBrk="1" fontAlgn="auto" latinLnBrk="0" hangingPunct="1">
                <a:lnSpc>
                  <a:spcPct val="100000"/>
                </a:lnSpc>
                <a:spcBef>
                  <a:spcPts val="0"/>
                </a:spcBef>
                <a:spcAft>
                  <a:spcPts val="0"/>
                </a:spcAft>
                <a:buClrTx/>
                <a:buSzTx/>
                <a:buFontTx/>
                <a:buNone/>
                <a:tabLst/>
                <a:defRPr/>
              </a:pPr>
              <a:r>
                <a:rPr lang="en-US" sz="1200" i="0">
                  <a:solidFill>
                    <a:schemeClr val="dk1"/>
                  </a:solidFill>
                  <a:effectLst/>
                  <a:latin typeface="Cambria Math" panose="02040503050406030204" pitchFamily="18" charset="0"/>
                  <a:ea typeface="+mn-ea"/>
                  <a:cs typeface="+mn-cs"/>
                </a:rPr>
                <a:t>𝑆</a:t>
              </a:r>
              <a:r>
                <a:rPr lang="en-US" sz="1200" b="0" i="0">
                  <a:solidFill>
                    <a:schemeClr val="dk1"/>
                  </a:solidFill>
                  <a:effectLst/>
                  <a:latin typeface="Cambria Math" panose="02040503050406030204" pitchFamily="18" charset="0"/>
                  <a:ea typeface="+mn-ea"/>
                  <a:cs typeface="+mn-cs"/>
                </a:rPr>
                <a:t>𝐴</a:t>
              </a:r>
              <a:r>
                <a:rPr lang="en-US" sz="1200" b="0" i="0" baseline="-25000">
                  <a:solidFill>
                    <a:schemeClr val="dk1"/>
                  </a:solidFill>
                  <a:effectLst/>
                  <a:latin typeface="Cambria Math" panose="02040503050406030204" pitchFamily="18" charset="0"/>
                  <a:ea typeface="+mn-ea"/>
                  <a:cs typeface="+mn-cs"/>
                </a:rPr>
                <a:t>𝑎𝑣𝑒𝑟𝑎𝑔𝑒</a:t>
              </a:r>
              <a:r>
                <a:rPr lang="en-US" sz="1200" i="0">
                  <a:solidFill>
                    <a:schemeClr val="dk1"/>
                  </a:solidFill>
                  <a:effectLst/>
                  <a:latin typeface="Cambria Math" panose="02040503050406030204" pitchFamily="18" charset="0"/>
                  <a:ea typeface="+mn-ea"/>
                  <a:cs typeface="+mn-cs"/>
                </a:rPr>
                <a:t>=(𝑆𝐴</a:t>
              </a:r>
              <a:r>
                <a:rPr lang="en-US" sz="1200" b="0" i="0" baseline="-25000">
                  <a:solidFill>
                    <a:schemeClr val="dk1"/>
                  </a:solidFill>
                  <a:effectLst/>
                  <a:latin typeface="Cambria Math" panose="02040503050406030204" pitchFamily="18" charset="0"/>
                  <a:ea typeface="+mn-ea"/>
                  <a:cs typeface="+mn-cs"/>
                </a:rPr>
                <a:t>𝑏𝑜𝑡𝑡𝑜𝑚</a:t>
              </a:r>
              <a:r>
                <a:rPr lang="en-US" sz="1200" b="0" i="0">
                  <a:solidFill>
                    <a:schemeClr val="dk1"/>
                  </a:solidFill>
                  <a:effectLst/>
                  <a:latin typeface="Cambria Math" panose="02040503050406030204" pitchFamily="18" charset="0"/>
                  <a:ea typeface="+mn-ea"/>
                  <a:cs typeface="+mn-cs"/>
                </a:rPr>
                <a:t>+</a:t>
              </a:r>
              <a:r>
                <a:rPr lang="en-US" sz="1100" i="0">
                  <a:solidFill>
                    <a:schemeClr val="dk1"/>
                  </a:solidFill>
                  <a:effectLst/>
                  <a:latin typeface="Cambria Math" panose="02040503050406030204" pitchFamily="18" charset="0"/>
                  <a:ea typeface="+mn-ea"/>
                  <a:cs typeface="+mn-cs"/>
                </a:rPr>
                <a:t>𝑆𝐴</a:t>
              </a:r>
              <a:r>
                <a:rPr lang="en-US" sz="1100" b="0" i="0" baseline="-25000">
                  <a:solidFill>
                    <a:schemeClr val="dk1"/>
                  </a:solidFill>
                  <a:effectLst/>
                  <a:latin typeface="Cambria Math" panose="02040503050406030204" pitchFamily="18" charset="0"/>
                  <a:ea typeface="+mn-ea"/>
                  <a:cs typeface="+mn-cs"/>
                </a:rPr>
                <a:t>𝑡𝑜𝑝</a:t>
              </a:r>
              <a:r>
                <a:rPr lang="en-US" sz="1200" b="0" i="0" baseline="-25000">
                  <a:solidFill>
                    <a:schemeClr val="dk1"/>
                  </a:solidFill>
                  <a:effectLst/>
                  <a:latin typeface="Cambria Math" panose="02040503050406030204" pitchFamily="18" charset="0"/>
                  <a:ea typeface="+mn-ea"/>
                  <a:cs typeface="+mn-cs"/>
                </a:rPr>
                <a:t>)/</a:t>
              </a:r>
              <a:r>
                <a:rPr lang="en-US" sz="1200" i="0">
                  <a:solidFill>
                    <a:schemeClr val="dk1"/>
                  </a:solidFill>
                  <a:effectLst/>
                  <a:latin typeface="Cambria Math" panose="02040503050406030204" pitchFamily="18" charset="0"/>
                  <a:ea typeface="+mn-ea"/>
                  <a:cs typeface="+mn-cs"/>
                </a:rPr>
                <a:t>2</a:t>
              </a:r>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where:  	</a:t>
              </a:r>
              <a:r>
                <a:rPr lang="en-US" sz="1100" i="1">
                  <a:solidFill>
                    <a:schemeClr val="dk1"/>
                  </a:solidFill>
                  <a:effectLst/>
                  <a:latin typeface="+mn-lt"/>
                  <a:ea typeface="+mn-ea"/>
                  <a:cs typeface="+mn-cs"/>
                </a:rPr>
                <a:t>SA</a:t>
              </a:r>
              <a:r>
                <a:rPr lang="en-US" sz="1100" i="1" baseline="-25000">
                  <a:solidFill>
                    <a:schemeClr val="dk1"/>
                  </a:solidFill>
                  <a:effectLst/>
                  <a:latin typeface="+mn-lt"/>
                  <a:ea typeface="+mn-ea"/>
                  <a:cs typeface="+mn-cs"/>
                </a:rPr>
                <a:t>top</a:t>
              </a:r>
              <a:r>
                <a:rPr lang="en-US" sz="1100">
                  <a:solidFill>
                    <a:schemeClr val="dk1"/>
                  </a:solidFill>
                  <a:effectLst/>
                  <a:latin typeface="+mn-lt"/>
                  <a:ea typeface="+mn-ea"/>
                  <a:cs typeface="+mn-cs"/>
                </a:rPr>
                <a:t>   =  top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Enhanced with Underdrain Bioretention Infiltration Sump Depth</a:t>
              </a:r>
              <a:r>
                <a:rPr lang="en-US" sz="1200">
                  <a:solidFill>
                    <a:schemeClr val="dk1"/>
                  </a:solidFill>
                  <a:effectLst/>
                  <a:latin typeface="+mn-lt"/>
                  <a:ea typeface="+mn-ea"/>
                  <a:cs typeface="+mn-cs"/>
                </a:rPr>
                <a:t> </a:t>
              </a:r>
            </a:p>
            <a:p>
              <a:pPr/>
              <a:r>
                <a:rPr lang="en-US" sz="1200" i="0">
                  <a:solidFill>
                    <a:schemeClr val="dk1"/>
                  </a:solidFill>
                  <a:effectLst/>
                  <a:latin typeface="Cambria Math" panose="02040503050406030204" pitchFamily="18" charset="0"/>
                  <a:ea typeface="+mn-ea"/>
                  <a:cs typeface="+mn-cs"/>
                </a:rPr>
                <a:t>𝑑_𝑠𝑢𝑚𝑝=((𝐾_𝑠𝑎𝑡×𝑡_𝑑))/𝜂_𝑟 </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sump</a:t>
              </a:r>
              <a:r>
                <a:rPr lang="en-US" sz="1100">
                  <a:solidFill>
                    <a:schemeClr val="dk1"/>
                  </a:solidFill>
                  <a:effectLst/>
                  <a:latin typeface="+mn-lt"/>
                  <a:ea typeface="+mn-ea"/>
                  <a:cs typeface="+mn-cs"/>
                </a:rPr>
                <a:t>  =   depth of the infiltration sump (ft)</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field-verified saturated hydraulic conductivity for the native soils (ft/day) </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a:solidFill>
                    <a:schemeClr val="dk1"/>
                  </a:solidFill>
                  <a:effectLst/>
                  <a:latin typeface="+mn-lt"/>
                  <a:ea typeface="+mn-ea"/>
                  <a:cs typeface="+mn-cs"/>
                </a:rPr>
                <a:t>  =  drawdown time </a:t>
              </a:r>
            </a:p>
            <a:p>
              <a:r>
                <a:rPr lang="en-US" sz="1100" i="1">
                  <a:solidFill>
                    <a:schemeClr val="dk1"/>
                  </a:solidFill>
                  <a:effectLst/>
                  <a:latin typeface="+mn-lt"/>
                  <a:ea typeface="+mn-ea"/>
                  <a:cs typeface="+mn-cs"/>
                </a:rPr>
                <a:t>	n</a:t>
              </a:r>
              <a:r>
                <a:rPr lang="en-US" sz="1100" i="1" baseline="-25000">
                  <a:solidFill>
                    <a:schemeClr val="dk1"/>
                  </a:solidFill>
                  <a:effectLst/>
                  <a:latin typeface="+mn-lt"/>
                  <a:ea typeface="+mn-ea"/>
                  <a:cs typeface="+mn-cs"/>
                </a:rPr>
                <a:t>r</a:t>
              </a:r>
              <a:r>
                <a:rPr lang="en-US" sz="1100">
                  <a:solidFill>
                    <a:schemeClr val="dk1"/>
                  </a:solidFill>
                  <a:effectLst/>
                  <a:latin typeface="+mn-lt"/>
                  <a:ea typeface="+mn-ea"/>
                  <a:cs typeface="+mn-cs"/>
                </a:rPr>
                <a:t>  =  available porosity of the stone reservoir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For non-underdrained designs, a check must be performed to ensure that the entire Sv infiltrates within 72 hours, as shown</a:t>
              </a:r>
              <a:r>
                <a:rPr lang="en-US" sz="1100" baseline="0">
                  <a:solidFill>
                    <a:schemeClr val="dk1"/>
                  </a:solidFill>
                  <a:effectLst/>
                  <a:latin typeface="+mn-lt"/>
                  <a:ea typeface="+mn-ea"/>
                  <a:cs typeface="+mn-cs"/>
                </a:rPr>
                <a:t> below</a:t>
              </a:r>
              <a:r>
                <a:rPr lang="en-US" sz="1100">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200" b="1">
                  <a:solidFill>
                    <a:schemeClr val="dk1"/>
                  </a:solidFill>
                  <a:effectLst/>
                  <a:latin typeface="+mn-lt"/>
                  <a:ea typeface="+mn-ea"/>
                  <a:cs typeface="+mn-cs"/>
                </a:rPr>
                <a:t>Enhanced</a:t>
              </a:r>
              <a:r>
                <a:rPr lang="en-US" sz="1200" b="1" baseline="0">
                  <a:solidFill>
                    <a:schemeClr val="dk1"/>
                  </a:solidFill>
                  <a:effectLst/>
                  <a:latin typeface="+mn-lt"/>
                  <a:ea typeface="+mn-ea"/>
                  <a:cs typeface="+mn-cs"/>
                </a:rPr>
                <a:t> </a:t>
              </a:r>
              <a:r>
                <a:rPr lang="en-US" sz="1200" b="1">
                  <a:solidFill>
                    <a:schemeClr val="dk1"/>
                  </a:solidFill>
                  <a:effectLst/>
                  <a:latin typeface="+mn-lt"/>
                  <a:ea typeface="+mn-ea"/>
                  <a:cs typeface="+mn-cs"/>
                </a:rPr>
                <a:t>Bioretention Infiltration Rate Check</a:t>
              </a:r>
              <a:r>
                <a:rPr lang="en-US" sz="120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i="0">
                  <a:solidFill>
                    <a:schemeClr val="dk1"/>
                  </a:solidFill>
                  <a:effectLst/>
                  <a:latin typeface="Cambria Math" panose="02040503050406030204" pitchFamily="18" charset="0"/>
                  <a:ea typeface="+mn-ea"/>
                  <a:cs typeface="+mn-cs"/>
                </a:rPr>
                <a:t>〖𝑆𝑣〗_𝑖𝑛𝑓𝑖𝑙𝑡𝑟𝑎𝑡𝑒=</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〖𝑆𝐴〗_𝑏𝑜𝑡𝑡𝑜𝑚 (𝐾_𝑠𝑎𝑡×𝑡_𝑑)</a:t>
              </a:r>
              <a:endParaRPr kumimoji="0" lang="en-US" sz="1200" b="0" i="0" u="none" strike="noStrike" kern="0" cap="none" spc="0" normalizeH="0" baseline="0" noProof="0">
                <a:ln>
                  <a:noFill/>
                </a:ln>
                <a:solidFill>
                  <a:prstClr val="black"/>
                </a:solidFill>
                <a:effectLst/>
                <a:uLnTx/>
                <a:uFillTx/>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where:	</a:t>
              </a:r>
            </a:p>
            <a:p>
              <a:r>
                <a:rPr lang="en-US" sz="1100" i="1">
                  <a:solidFill>
                    <a:schemeClr val="dk1"/>
                  </a:solidFill>
                  <a:effectLst/>
                  <a:latin typeface="+mn-lt"/>
                  <a:ea typeface="+mn-ea"/>
                  <a:cs typeface="+mn-cs"/>
                </a:rPr>
                <a:t>	Sv</a:t>
              </a:r>
              <a:r>
                <a:rPr lang="en-US" sz="1100" i="1" baseline="-25000">
                  <a:solidFill>
                    <a:schemeClr val="dk1"/>
                  </a:solidFill>
                  <a:effectLst/>
                  <a:latin typeface="+mn-lt"/>
                  <a:ea typeface="+mn-ea"/>
                  <a:cs typeface="+mn-cs"/>
                </a:rPr>
                <a:t>infiltrate</a:t>
              </a:r>
              <a:r>
                <a:rPr lang="en-US" sz="1100">
                  <a:solidFill>
                    <a:schemeClr val="dk1"/>
                  </a:solidFill>
                  <a:effectLst/>
                  <a:latin typeface="+mn-lt"/>
                  <a:ea typeface="+mn-ea"/>
                  <a:cs typeface="+mn-cs"/>
                </a:rPr>
                <a:t> =  storage volume that will infiltrate within 72 hours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bioretention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a:solidFill>
                    <a:schemeClr val="dk1"/>
                  </a:solidFill>
                  <a:effectLst/>
                  <a:latin typeface="+mn-lt"/>
                  <a:ea typeface="+mn-ea"/>
                  <a:cs typeface="+mn-cs"/>
                </a:rPr>
                <a:t>  =  field-verified saturated hydraulic conductivity for the native soils (ft/day)</a:t>
              </a: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a:solidFill>
                    <a:schemeClr val="dk1"/>
                  </a:solidFill>
                  <a:effectLst/>
                  <a:latin typeface="+mn-lt"/>
                  <a:ea typeface="+mn-ea"/>
                  <a:cs typeface="+mn-cs"/>
                </a:rPr>
                <a:t>  =  drawdown time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Sv</a:t>
              </a:r>
              <a:r>
                <a:rPr lang="en-US" sz="1100" baseline="-25000">
                  <a:solidFill>
                    <a:schemeClr val="dk1"/>
                  </a:solidFill>
                  <a:effectLst/>
                  <a:latin typeface="+mn-lt"/>
                  <a:ea typeface="+mn-ea"/>
                  <a:cs typeface="+mn-cs"/>
                </a:rPr>
                <a:t>infiltrate </a:t>
              </a:r>
              <a:r>
                <a:rPr lang="en-US" sz="1100">
                  <a:solidFill>
                    <a:schemeClr val="dk1"/>
                  </a:solidFill>
                  <a:effectLst/>
                  <a:latin typeface="+mn-lt"/>
                  <a:ea typeface="+mn-ea"/>
                  <a:cs typeface="+mn-cs"/>
                </a:rPr>
                <a:t>is greater than or equal to Sv, then the entire Sv will infiltrate within 72 hours. If it is not, the storage volume of the bioretention area should be reduced accordingly.</a:t>
              </a:r>
            </a:p>
            <a:p>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Enhanced and Enhanced with underdrain bioretention designs </a:t>
              </a:r>
              <a:r>
                <a:rPr lang="en-US" sz="1100" b="0" baseline="0">
                  <a:solidFill>
                    <a:schemeClr val="dk1"/>
                  </a:solidFill>
                  <a:effectLst/>
                  <a:latin typeface="+mn-lt"/>
                  <a:ea typeface="+mn-ea"/>
                  <a:cs typeface="+mn-cs"/>
                </a:rPr>
                <a:t>retain 100%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b="1"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Standard bioretention designs </a:t>
              </a:r>
              <a:r>
                <a:rPr lang="en-US" sz="1100" b="0" baseline="0">
                  <a:solidFill>
                    <a:schemeClr val="dk1"/>
                  </a:solidFill>
                  <a:effectLst/>
                  <a:latin typeface="+mn-lt"/>
                  <a:ea typeface="+mn-ea"/>
                  <a:cs typeface="+mn-cs"/>
                </a:rPr>
                <a:t>retain 60%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𝑣=0.6×</a:t>
              </a:r>
              <a:r>
                <a:rPr lang="en-US" sz="1200" b="0" i="0">
                  <a:solidFill>
                    <a:schemeClr val="dk1"/>
                  </a:solidFill>
                  <a:effectLst/>
                  <a:latin typeface="Cambria Math" panose="02040503050406030204" pitchFamily="18" charset="0"/>
                  <a:ea typeface="+mn-ea"/>
                  <a:cs typeface="+mn-cs"/>
                </a:rPr>
                <a:t>𝑆𝑣</a:t>
              </a:r>
              <a:endParaRPr lang="en-US" sz="1200" b="0">
                <a:solidFill>
                  <a:schemeClr val="dk1"/>
                </a:solidFill>
                <a:effectLst/>
                <a:ea typeface="+mn-ea"/>
                <a:cs typeface="+mn-cs"/>
              </a:endParaRPr>
            </a:p>
            <a:p>
              <a:endParaRPr lang="en-US" sz="1200">
                <a:solidFill>
                  <a:schemeClr val="dk1"/>
                </a:solidFill>
                <a:effectLst/>
                <a:latin typeface="+mn-lt"/>
                <a:ea typeface="+mn-ea"/>
                <a:cs typeface="+mn-cs"/>
              </a:endParaRPr>
            </a:p>
          </xdr:txBody>
        </xdr:sp>
      </mc:Fallback>
    </mc:AlternateContent>
    <xdr:clientData/>
  </xdr:twoCellAnchor>
  <xdr:twoCellAnchor>
    <xdr:from>
      <xdr:col>8</xdr:col>
      <xdr:colOff>209550</xdr:colOff>
      <xdr:row>59</xdr:row>
      <xdr:rowOff>104775</xdr:rowOff>
    </xdr:from>
    <xdr:to>
      <xdr:col>12</xdr:col>
      <xdr:colOff>361950</xdr:colOff>
      <xdr:row>65</xdr:row>
      <xdr:rowOff>19050</xdr:rowOff>
    </xdr:to>
    <xdr:sp macro="[0]!ClearDataBioretention" textlink="">
      <xdr:nvSpPr>
        <xdr:cNvPr id="3" name="Rectangle 2">
          <a:extLst>
            <a:ext uri="{FF2B5EF4-FFF2-40B4-BE49-F238E27FC236}">
              <a16:creationId xmlns:a16="http://schemas.microsoft.com/office/drawing/2014/main" id="{BCFB3EB7-560F-4710-8B31-A8A75B6D4C70}"/>
            </a:ext>
          </a:extLst>
        </xdr:cNvPr>
        <xdr:cNvSpPr/>
      </xdr:nvSpPr>
      <xdr:spPr>
        <a:xfrm>
          <a:off x="10315575" y="11744325"/>
          <a:ext cx="3257550" cy="11430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a:t>Click Here to</a:t>
          </a:r>
          <a:r>
            <a:rPr lang="en-US" sz="2800" baseline="0"/>
            <a:t> Clear Entered Data</a:t>
          </a:r>
          <a:endParaRPr lang="en-US" sz="2800"/>
        </a:p>
      </xdr:txBody>
    </xdr:sp>
    <xdr:clientData/>
  </xdr:twoCellAnchor>
  <xdr:twoCellAnchor>
    <xdr:from>
      <xdr:col>9</xdr:col>
      <xdr:colOff>0</xdr:colOff>
      <xdr:row>0</xdr:row>
      <xdr:rowOff>185056</xdr:rowOff>
    </xdr:from>
    <xdr:to>
      <xdr:col>18</xdr:col>
      <xdr:colOff>0</xdr:colOff>
      <xdr:row>19</xdr:row>
      <xdr:rowOff>0</xdr:rowOff>
    </xdr:to>
    <xdr:grpSp>
      <xdr:nvGrpSpPr>
        <xdr:cNvPr id="20" name="Group 19">
          <a:extLst>
            <a:ext uri="{FF2B5EF4-FFF2-40B4-BE49-F238E27FC236}">
              <a16:creationId xmlns:a16="http://schemas.microsoft.com/office/drawing/2014/main" id="{9215B38F-2F39-482E-9D0F-B2674CF25458}"/>
            </a:ext>
          </a:extLst>
        </xdr:cNvPr>
        <xdr:cNvGrpSpPr/>
      </xdr:nvGrpSpPr>
      <xdr:grpSpPr>
        <a:xfrm>
          <a:off x="9448800" y="185056"/>
          <a:ext cx="5486400" cy="3624944"/>
          <a:chOff x="11397343" y="185056"/>
          <a:chExt cx="5486400" cy="3624944"/>
        </a:xfrm>
      </xdr:grpSpPr>
      <xdr:sp macro="" textlink="">
        <xdr:nvSpPr>
          <xdr:cNvPr id="5" name="TextBox 4">
            <a:extLst>
              <a:ext uri="{FF2B5EF4-FFF2-40B4-BE49-F238E27FC236}">
                <a16:creationId xmlns:a16="http://schemas.microsoft.com/office/drawing/2014/main" id="{ED661ED5-3080-4958-8CF3-D2C5278183F3}"/>
              </a:ext>
            </a:extLst>
          </xdr:cNvPr>
          <xdr:cNvSpPr txBox="1"/>
        </xdr:nvSpPr>
        <xdr:spPr>
          <a:xfrm>
            <a:off x="11397343" y="185056"/>
            <a:ext cx="5486400" cy="36249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effectLst/>
                <a:latin typeface="Times New Roman" panose="02020603050405020304" pitchFamily="18" charset="0"/>
                <a:ea typeface="Calibri" panose="020F0502020204030204" pitchFamily="34" charset="0"/>
              </a:rPr>
              <a:t>Enhanced</a:t>
            </a:r>
            <a:r>
              <a:rPr lang="en-US" sz="1400" b="1">
                <a:effectLst/>
                <a:latin typeface="Times New Roman" panose="02020603050405020304" pitchFamily="18" charset="0"/>
                <a:ea typeface="Calibri" panose="020F0502020204030204" pitchFamily="34" charset="0"/>
              </a:rPr>
              <a:t> bioretention 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13" name="Picture 12">
            <a:extLst>
              <a:ext uri="{FF2B5EF4-FFF2-40B4-BE49-F238E27FC236}">
                <a16:creationId xmlns:a16="http://schemas.microsoft.com/office/drawing/2014/main" id="{C9DC99E9-FC17-42DB-994A-638DD64DE368}"/>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06200" y="566964"/>
            <a:ext cx="5212080" cy="3232150"/>
          </a:xfrm>
          <a:prstGeom prst="rect">
            <a:avLst/>
          </a:prstGeom>
          <a:ln w="3175">
            <a:noFill/>
          </a:ln>
        </xdr:spPr>
      </xdr:pic>
    </xdr:grpSp>
    <xdr:clientData/>
  </xdr:twoCellAnchor>
  <xdr:twoCellAnchor>
    <xdr:from>
      <xdr:col>9</xdr:col>
      <xdr:colOff>0</xdr:colOff>
      <xdr:row>20</xdr:row>
      <xdr:rowOff>0</xdr:rowOff>
    </xdr:from>
    <xdr:to>
      <xdr:col>18</xdr:col>
      <xdr:colOff>0</xdr:colOff>
      <xdr:row>39</xdr:row>
      <xdr:rowOff>1</xdr:rowOff>
    </xdr:to>
    <xdr:grpSp>
      <xdr:nvGrpSpPr>
        <xdr:cNvPr id="19" name="Group 18">
          <a:extLst>
            <a:ext uri="{FF2B5EF4-FFF2-40B4-BE49-F238E27FC236}">
              <a16:creationId xmlns:a16="http://schemas.microsoft.com/office/drawing/2014/main" id="{D36697A4-E5F7-4AA7-B4A4-AA1D17DE8F90}"/>
            </a:ext>
          </a:extLst>
        </xdr:cNvPr>
        <xdr:cNvGrpSpPr/>
      </xdr:nvGrpSpPr>
      <xdr:grpSpPr>
        <a:xfrm>
          <a:off x="9448800" y="4008120"/>
          <a:ext cx="5486400" cy="3764281"/>
          <a:chOff x="11397343" y="4005943"/>
          <a:chExt cx="5486400" cy="3722915"/>
        </a:xfrm>
      </xdr:grpSpPr>
      <xdr:sp macro="" textlink="">
        <xdr:nvSpPr>
          <xdr:cNvPr id="10" name="TextBox 9">
            <a:extLst>
              <a:ext uri="{FF2B5EF4-FFF2-40B4-BE49-F238E27FC236}">
                <a16:creationId xmlns:a16="http://schemas.microsoft.com/office/drawing/2014/main" id="{15A74359-4622-4A49-9E55-50C22AAF76AD}"/>
              </a:ext>
            </a:extLst>
          </xdr:cNvPr>
          <xdr:cNvSpPr txBox="1"/>
        </xdr:nvSpPr>
        <xdr:spPr>
          <a:xfrm>
            <a:off x="11397343" y="4005943"/>
            <a:ext cx="5486400" cy="372291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effectLst/>
                <a:latin typeface="Times New Roman" panose="02020603050405020304" pitchFamily="18" charset="0"/>
                <a:ea typeface="Calibri" panose="020F0502020204030204" pitchFamily="34" charset="0"/>
              </a:rPr>
              <a:t>Underdrained enhanced bioretetion 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14" name="Picture 13">
            <a:extLst>
              <a:ext uri="{FF2B5EF4-FFF2-40B4-BE49-F238E27FC236}">
                <a16:creationId xmlns:a16="http://schemas.microsoft.com/office/drawing/2014/main" id="{E0423AC0-3A74-432E-949C-A44F30D5CB0A}"/>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15642"/>
          <a:stretch/>
        </xdr:blipFill>
        <xdr:spPr bwMode="auto">
          <a:xfrm>
            <a:off x="11506199" y="4397829"/>
            <a:ext cx="5212081" cy="3285853"/>
          </a:xfrm>
          <a:prstGeom prst="rect">
            <a:avLst/>
          </a:prstGeom>
          <a:ln w="3175">
            <a:noFill/>
          </a:ln>
          <a:extLst>
            <a:ext uri="{53640926-AAD7-44D8-BBD7-CCE9431645EC}">
              <a14:shadowObscured xmlns:a14="http://schemas.microsoft.com/office/drawing/2010/main"/>
            </a:ext>
          </a:extLst>
        </xdr:spPr>
      </xdr:pic>
    </xdr:grpSp>
    <xdr:clientData/>
  </xdr:twoCellAnchor>
  <xdr:twoCellAnchor>
    <xdr:from>
      <xdr:col>9</xdr:col>
      <xdr:colOff>0</xdr:colOff>
      <xdr:row>39</xdr:row>
      <xdr:rowOff>195942</xdr:rowOff>
    </xdr:from>
    <xdr:to>
      <xdr:col>18</xdr:col>
      <xdr:colOff>0</xdr:colOff>
      <xdr:row>58</xdr:row>
      <xdr:rowOff>206827</xdr:rowOff>
    </xdr:to>
    <xdr:grpSp>
      <xdr:nvGrpSpPr>
        <xdr:cNvPr id="21" name="Group 20">
          <a:extLst>
            <a:ext uri="{FF2B5EF4-FFF2-40B4-BE49-F238E27FC236}">
              <a16:creationId xmlns:a16="http://schemas.microsoft.com/office/drawing/2014/main" id="{EE8DE1C9-CB01-4A5D-AB55-34CB97C79076}"/>
            </a:ext>
          </a:extLst>
        </xdr:cNvPr>
        <xdr:cNvGrpSpPr/>
      </xdr:nvGrpSpPr>
      <xdr:grpSpPr>
        <a:xfrm>
          <a:off x="9448800" y="7968342"/>
          <a:ext cx="5486400" cy="3798025"/>
          <a:chOff x="11397343" y="7924800"/>
          <a:chExt cx="5486400" cy="3722915"/>
        </a:xfrm>
      </xdr:grpSpPr>
      <xdr:sp macro="" textlink="">
        <xdr:nvSpPr>
          <xdr:cNvPr id="17" name="TextBox 16">
            <a:extLst>
              <a:ext uri="{FF2B5EF4-FFF2-40B4-BE49-F238E27FC236}">
                <a16:creationId xmlns:a16="http://schemas.microsoft.com/office/drawing/2014/main" id="{B2FE08C2-30E7-4A14-8344-6847AEB84FC2}"/>
              </a:ext>
            </a:extLst>
          </xdr:cNvPr>
          <xdr:cNvSpPr txBox="1"/>
        </xdr:nvSpPr>
        <xdr:spPr>
          <a:xfrm>
            <a:off x="11397343" y="7924800"/>
            <a:ext cx="5486400" cy="372291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effectLst/>
                <a:latin typeface="Times New Roman" panose="02020603050405020304" pitchFamily="18" charset="0"/>
                <a:ea typeface="Calibri" panose="020F0502020204030204" pitchFamily="34" charset="0"/>
              </a:rPr>
              <a:t>Standard bioretetion 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18" name="Picture 17">
            <a:extLst>
              <a:ext uri="{FF2B5EF4-FFF2-40B4-BE49-F238E27FC236}">
                <a16:creationId xmlns:a16="http://schemas.microsoft.com/office/drawing/2014/main" id="{DC8B74AE-3DA5-4CDD-80FD-ECAF6E3A3441}"/>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433266" y="8182973"/>
            <a:ext cx="5285014" cy="3464742"/>
          </a:xfrm>
          <a:prstGeom prst="rect">
            <a:avLst/>
          </a:prstGeom>
          <a:ln w="3175">
            <a:noFill/>
          </a:ln>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38</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237A2A3F-7A30-466F-8447-255587BB84C8}"/>
                </a:ext>
              </a:extLst>
            </xdr:cNvPr>
            <xdr:cNvSpPr txBox="1"/>
          </xdr:nvSpPr>
          <xdr:spPr>
            <a:xfrm>
              <a:off x="609600" y="182880"/>
              <a:ext cx="6256020" cy="502158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3.8 INFILTRATION</a:t>
              </a:r>
              <a:r>
                <a:rPr lang="en-US" sz="1400" b="1" baseline="0">
                  <a:solidFill>
                    <a:schemeClr val="dk1"/>
                  </a:solidFill>
                  <a:effectLst/>
                  <a:latin typeface="+mn-lt"/>
                  <a:ea typeface="+mn-ea"/>
                  <a:cs typeface="+mn-cs"/>
                </a:rPr>
                <a:t> BASINS AND TRENCHES</a:t>
              </a:r>
            </a:p>
            <a:p>
              <a:endParaRPr lang="en-US" sz="1100" b="1">
                <a:solidFill>
                  <a:schemeClr val="dk1"/>
                </a:solidFill>
                <a:effectLst/>
                <a:latin typeface="+mn-lt"/>
                <a:ea typeface="+mn-ea"/>
                <a:cs typeface="+mn-cs"/>
              </a:endParaRPr>
            </a:p>
            <a:p>
              <a:r>
                <a:rPr lang="en-US" sz="1200">
                  <a:solidFill>
                    <a:schemeClr val="dk1"/>
                  </a:solidFill>
                  <a:effectLst/>
                  <a:latin typeface="+mn-lt"/>
                  <a:ea typeface="+mn-ea"/>
                  <a:cs typeface="+mn-cs"/>
                </a:rPr>
                <a:t>I-1	Infiltration trench</a:t>
              </a:r>
            </a:p>
            <a:p>
              <a:r>
                <a:rPr lang="en-US" sz="1200">
                  <a:solidFill>
                    <a:schemeClr val="dk1"/>
                  </a:solidFill>
                  <a:effectLst/>
                  <a:latin typeface="+mn-lt"/>
                  <a:ea typeface="+mn-ea"/>
                  <a:cs typeface="+mn-cs"/>
                </a:rPr>
                <a:t>I-2	Infiltration basin</a:t>
              </a:r>
            </a:p>
            <a:p>
              <a:r>
                <a:rPr lang="en-US" sz="110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Infiltration Trench</a:t>
              </a:r>
              <a:r>
                <a:rPr lang="en-US" sz="1200" b="1" baseline="0">
                  <a:solidFill>
                    <a:schemeClr val="dk1"/>
                  </a:solidFill>
                  <a:effectLst/>
                  <a:latin typeface="+mn-lt"/>
                  <a:ea typeface="+mn-ea"/>
                  <a:cs typeface="+mn-cs"/>
                </a:rPr>
                <a:t> Storage Volume</a:t>
              </a:r>
              <a:endParaRPr lang="en-US" sz="1200">
                <a:effectLst/>
              </a:endParaRPr>
            </a:p>
            <a:p>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𝑆𝐴</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𝑟</m:t>
                        </m:r>
                      </m:sub>
                    </m:sSub>
                    <m:r>
                      <a:rPr lang="en-US" sz="120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𝑑</m:t>
                    </m:r>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𝑓</m:t>
                            </m:r>
                          </m:sub>
                        </m:sSub>
                      </m:e>
                    </m:d>
                    <m:r>
                      <a:rPr lang="en-US" sz="1200" i="1">
                        <a:solidFill>
                          <a:schemeClr val="dk1"/>
                        </a:solidFill>
                        <a:effectLst/>
                        <a:latin typeface="Cambria Math" panose="02040503050406030204" pitchFamily="18" charset="0"/>
                        <a:ea typeface="+mn-ea"/>
                        <a:cs typeface="+mn-cs"/>
                      </a:rPr>
                      <m:t>]</m:t>
                    </m:r>
                  </m:oMath>
                </m:oMathPara>
              </a14:m>
              <a:endParaRPr lang="en-US" sz="1200">
                <a:effectLst/>
              </a:endParaRPr>
            </a:p>
            <a:p>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Infiltration Basin</a:t>
              </a:r>
              <a:r>
                <a:rPr lang="en-US" sz="1200" b="1" baseline="0">
                  <a:solidFill>
                    <a:schemeClr val="dk1"/>
                  </a:solidFill>
                  <a:effectLst/>
                  <a:latin typeface="+mn-lt"/>
                  <a:ea typeface="+mn-ea"/>
                  <a:cs typeface="+mn-cs"/>
                </a:rPr>
                <a:t> Storage Volume</a:t>
              </a:r>
              <a:endParaRPr lang="en-US" sz="1200" b="1">
                <a:solidFill>
                  <a:schemeClr val="dk1"/>
                </a:solidFill>
                <a:effectLst/>
                <a:latin typeface="+mn-lt"/>
                <a:ea typeface="+mn-ea"/>
                <a:cs typeface="+mn-cs"/>
              </a:endParaRPr>
            </a:p>
            <a:p>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𝑆𝐴</m:t>
                    </m:r>
                    <m:r>
                      <a:rPr lang="en-US" sz="120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𝑑</m:t>
                    </m:r>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𝑓</m:t>
                            </m:r>
                          </m:sub>
                        </m:sSub>
                      </m:e>
                    </m:d>
                    <m:r>
                      <a:rPr lang="en-US" sz="1200" i="1">
                        <a:solidFill>
                          <a:schemeClr val="dk1"/>
                        </a:solidFill>
                        <a:effectLst/>
                        <a:latin typeface="Cambria Math" panose="02040503050406030204" pitchFamily="18" charset="0"/>
                        <a:ea typeface="+mn-ea"/>
                        <a:cs typeface="+mn-cs"/>
                      </a:rPr>
                      <m:t>]</m:t>
                    </m:r>
                  </m:oMath>
                </m:oMathPara>
              </a14:m>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(volume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fully infiltrated through the practice)(ft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a:solidFill>
                    <a:schemeClr val="dk1"/>
                  </a:solidFill>
                  <a:effectLst/>
                  <a:latin typeface="+mn-lt"/>
                  <a:ea typeface="+mn-ea"/>
                  <a:cs typeface="+mn-cs"/>
                </a:rPr>
                <a:t>      =  infiltration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r</a:t>
              </a:r>
              <a:r>
                <a:rPr lang="en-US" sz="1100">
                  <a:solidFill>
                    <a:schemeClr val="dk1"/>
                  </a:solidFill>
                  <a:effectLst/>
                  <a:latin typeface="+mn-lt"/>
                  <a:ea typeface="+mn-ea"/>
                  <a:cs typeface="+mn-cs"/>
                </a:rPr>
                <a:t>       =  avilable porosity of the stone reservoir </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d</a:t>
              </a:r>
              <a:r>
                <a:rPr lang="en-US" sz="1100">
                  <a:solidFill>
                    <a:schemeClr val="dk1"/>
                  </a:solidFill>
                  <a:effectLst/>
                  <a:latin typeface="+mn-lt"/>
                  <a:ea typeface="+mn-ea"/>
                  <a:cs typeface="+mn-cs"/>
                </a:rPr>
                <a:t>        =  infiltration depth (ft)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field-verified saturated hydraulic conductivity for the native soils (ft/day)</a:t>
              </a:r>
              <a:endParaRPr lang="en-US">
                <a:effectLst/>
              </a:endParaRP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f</a:t>
              </a:r>
              <a:r>
                <a:rPr lang="en-US" sz="1100">
                  <a:solidFill>
                    <a:schemeClr val="dk1"/>
                  </a:solidFill>
                  <a:effectLst/>
                  <a:latin typeface="+mn-lt"/>
                  <a:ea typeface="+mn-ea"/>
                  <a:cs typeface="+mn-cs"/>
                </a:rPr>
                <a:t>       =  time to fill</a:t>
              </a:r>
              <a:r>
                <a:rPr lang="en-US" sz="1100" baseline="0">
                  <a:solidFill>
                    <a:schemeClr val="dk1"/>
                  </a:solidFill>
                  <a:effectLst/>
                  <a:latin typeface="+mn-lt"/>
                  <a:ea typeface="+mn-ea"/>
                  <a:cs typeface="+mn-cs"/>
                </a:rPr>
                <a:t> infiltration capacity (days) </a:t>
              </a:r>
              <a:endParaRPr lang="en-US">
                <a:effectLst/>
              </a:endParaRPr>
            </a:p>
            <a:p>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Maximum Underground Reservoir Depth for Infiltration Trenches</a:t>
              </a:r>
              <a:endParaRPr lang="en-US" sz="1200">
                <a:effectLst/>
              </a:endParaRPr>
            </a:p>
            <a:p>
              <a:pPr/>
              <a:br>
                <a:rPr lang="en-US" sz="1100">
                  <a:solidFill>
                    <a:schemeClr val="dk1"/>
                  </a:solidFill>
                  <a:effectLst/>
                  <a:latin typeface="+mn-lt"/>
                  <a:ea typeface="+mn-ea"/>
                  <a:cs typeface="+mn-cs"/>
                </a:rPr>
              </a:br>
              <a14:m>
                <m:oMathPara xmlns:m="http://schemas.openxmlformats.org/officeDocument/2006/math">
                  <m:oMathParaPr>
                    <m:jc m:val="centerGroup"/>
                  </m:oMathParaPr>
                  <m:oMath xmlns:m="http://schemas.openxmlformats.org/officeDocument/2006/math">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𝑑</m:t>
                        </m:r>
                      </m:e>
                      <m:sub>
                        <m:r>
                          <a:rPr lang="en-US" sz="1100" i="1">
                            <a:solidFill>
                              <a:schemeClr val="dk1"/>
                            </a:solidFill>
                            <a:effectLst/>
                            <a:latin typeface="Cambria Math" panose="02040503050406030204" pitchFamily="18" charset="0"/>
                            <a:ea typeface="+mn-ea"/>
                            <a:cs typeface="+mn-cs"/>
                          </a:rPr>
                          <m:t>𝑚𝑎𝑥</m:t>
                        </m:r>
                      </m:sub>
                    </m:sSub>
                    <m:r>
                      <a:rPr lang="en-US" sz="1100" i="1">
                        <a:solidFill>
                          <a:schemeClr val="dk1"/>
                        </a:solidFill>
                        <a:effectLst/>
                        <a:latin typeface="Cambria Math" panose="02040503050406030204" pitchFamily="18" charset="0"/>
                        <a:ea typeface="+mn-ea"/>
                        <a:cs typeface="+mn-cs"/>
                      </a:rPr>
                      <m:t>=</m:t>
                    </m:r>
                    <m:f>
                      <m:fPr>
                        <m:ctrlPr>
                          <a:rPr lang="en-US" sz="1100" i="1">
                            <a:solidFill>
                              <a:schemeClr val="dk1"/>
                            </a:solidFill>
                            <a:effectLst/>
                            <a:latin typeface="Cambria Math" panose="02040503050406030204" pitchFamily="18" charset="0"/>
                            <a:ea typeface="+mn-ea"/>
                            <a:cs typeface="+mn-cs"/>
                          </a:rPr>
                        </m:ctrlPr>
                      </m:fPr>
                      <m:num>
                        <m:r>
                          <a:rPr lang="en-US" sz="1100" i="1">
                            <a:solidFill>
                              <a:schemeClr val="dk1"/>
                            </a:solidFill>
                            <a:effectLst/>
                            <a:latin typeface="Cambria Math" panose="02040503050406030204" pitchFamily="18" charset="0"/>
                            <a:ea typeface="+mn-ea"/>
                            <a:cs typeface="+mn-cs"/>
                          </a:rPr>
                          <m:t>(</m:t>
                        </m:r>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𝐾</m:t>
                            </m:r>
                          </m:e>
                          <m:sub>
                            <m:r>
                              <a:rPr lang="en-US" sz="1100" i="1">
                                <a:solidFill>
                                  <a:schemeClr val="dk1"/>
                                </a:solidFill>
                                <a:effectLst/>
                                <a:latin typeface="Cambria Math" panose="02040503050406030204" pitchFamily="18" charset="0"/>
                                <a:ea typeface="+mn-ea"/>
                                <a:cs typeface="+mn-cs"/>
                              </a:rPr>
                              <m:t>𝑠𝑎𝑡</m:t>
                            </m:r>
                          </m:sub>
                        </m:sSub>
                        <m:r>
                          <a:rPr lang="en-US" sz="1100" i="1">
                            <a:solidFill>
                              <a:schemeClr val="dk1"/>
                            </a:solidFill>
                            <a:effectLst/>
                            <a:latin typeface="Cambria Math" panose="02040503050406030204" pitchFamily="18" charset="0"/>
                            <a:ea typeface="+mn-ea"/>
                            <a:cs typeface="+mn-cs"/>
                          </a:rPr>
                          <m:t>×</m:t>
                        </m:r>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𝑡</m:t>
                            </m:r>
                          </m:e>
                          <m:sub>
                            <m:r>
                              <a:rPr lang="en-US" sz="1100" i="1">
                                <a:solidFill>
                                  <a:schemeClr val="dk1"/>
                                </a:solidFill>
                                <a:effectLst/>
                                <a:latin typeface="Cambria Math" panose="02040503050406030204" pitchFamily="18" charset="0"/>
                                <a:ea typeface="+mn-ea"/>
                                <a:cs typeface="+mn-cs"/>
                              </a:rPr>
                              <m:t>𝑑</m:t>
                            </m:r>
                          </m:sub>
                        </m:sSub>
                        <m:r>
                          <a:rPr lang="en-US" sz="1100" i="1">
                            <a:solidFill>
                              <a:schemeClr val="dk1"/>
                            </a:solidFill>
                            <a:effectLst/>
                            <a:latin typeface="Cambria Math" panose="02040503050406030204" pitchFamily="18" charset="0"/>
                            <a:ea typeface="+mn-ea"/>
                            <a:cs typeface="+mn-cs"/>
                          </a:rPr>
                          <m:t>)</m:t>
                        </m:r>
                      </m:num>
                      <m:den>
                        <m:sSub>
                          <m:sSubPr>
                            <m:ctrlPr>
                              <a:rPr lang="en-US" sz="1100" i="1">
                                <a:solidFill>
                                  <a:schemeClr val="dk1"/>
                                </a:solidFill>
                                <a:effectLst/>
                                <a:latin typeface="Cambria Math" panose="02040503050406030204" pitchFamily="18" charset="0"/>
                                <a:ea typeface="+mn-ea"/>
                                <a:cs typeface="+mn-cs"/>
                              </a:rPr>
                            </m:ctrlPr>
                          </m:sSubPr>
                          <m:e>
                            <m:r>
                              <a:rPr lang="en-US" sz="1100" i="1">
                                <a:solidFill>
                                  <a:schemeClr val="dk1"/>
                                </a:solidFill>
                                <a:effectLst/>
                                <a:latin typeface="Cambria Math" panose="02040503050406030204" pitchFamily="18" charset="0"/>
                                <a:ea typeface="+mn-ea"/>
                                <a:cs typeface="+mn-cs"/>
                              </a:rPr>
                              <m:t>𝜂</m:t>
                            </m:r>
                          </m:e>
                          <m:sub>
                            <m:r>
                              <a:rPr lang="en-US" sz="1100" i="1">
                                <a:solidFill>
                                  <a:schemeClr val="dk1"/>
                                </a:solidFill>
                                <a:effectLst/>
                                <a:latin typeface="Cambria Math" panose="02040503050406030204" pitchFamily="18" charset="0"/>
                                <a:ea typeface="+mn-ea"/>
                                <a:cs typeface="+mn-cs"/>
                              </a:rPr>
                              <m:t>𝑟</m:t>
                            </m:r>
                          </m:sub>
                        </m:sSub>
                      </m:den>
                    </m:f>
                  </m:oMath>
                </m:oMathPara>
              </a14:m>
              <a:endParaRPr lang="en-US">
                <a:effectLst/>
              </a:endParaRPr>
            </a:p>
            <a:p>
              <a:r>
                <a:rPr lang="en-US" sz="1100">
                  <a:solidFill>
                    <a:schemeClr val="dk1"/>
                  </a:solidFill>
                  <a:effectLst/>
                  <a:latin typeface="+mn-lt"/>
                  <a:ea typeface="+mn-ea"/>
                  <a:cs typeface="+mn-cs"/>
                </a:rPr>
                <a:t>where:</a:t>
              </a:r>
              <a:endParaRPr lang="en-US">
                <a:effectLst/>
              </a:endParaRP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max</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depth of the infiltration practice (ft)</a:t>
              </a:r>
              <a:endParaRPr lang="en-US">
                <a:effectLst/>
              </a:endParaRP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drawdown time (day) </a:t>
              </a:r>
              <a:endParaRPr lang="en-US">
                <a:effectLst/>
              </a:endParaRPr>
            </a:p>
            <a:p>
              <a:endParaRPr lang="en-US" sz="1100" b="0" i="1">
                <a:solidFill>
                  <a:schemeClr val="dk1"/>
                </a:solidFill>
                <a:effectLst/>
                <a:latin typeface="+mn-lt"/>
                <a:ea typeface="+mn-ea"/>
                <a:cs typeface="+mn-cs"/>
              </a:endParaRPr>
            </a:p>
            <a:p>
              <a:r>
                <a:rPr lang="en-US" sz="1200" b="1">
                  <a:solidFill>
                    <a:schemeClr val="dk1"/>
                  </a:solidFill>
                  <a:effectLst/>
                  <a:latin typeface="+mn-lt"/>
                  <a:ea typeface="+mn-ea"/>
                  <a:cs typeface="+mn-cs"/>
                </a:rPr>
                <a:t>Maximum Surface Basin Depth for Infiltration Basins</a:t>
              </a:r>
              <a:endParaRPr lang="en-US" sz="1200">
                <a:effectLst/>
              </a:endParaRPr>
            </a:p>
            <a:p>
              <a:pPr/>
              <a:br>
                <a:rPr lang="en-US" sz="1100">
                  <a:solidFill>
                    <a:schemeClr val="dk1"/>
                  </a:solidFill>
                  <a:effectLst/>
                  <a:latin typeface="+mn-lt"/>
                  <a:ea typeface="+mn-ea"/>
                  <a:cs typeface="+mn-cs"/>
                </a:rPr>
              </a:br>
              <a14:m>
                <m:oMathPara xmlns:m="http://schemas.openxmlformats.org/officeDocument/2006/math">
                  <m:oMathParaPr>
                    <m:jc m:val="centerGroup"/>
                  </m:oMathParaPr>
                  <m:oMath xmlns:m="http://schemas.openxmlformats.org/officeDocument/2006/math">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𝑚𝑎𝑥</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𝐾</m:t>
                        </m:r>
                      </m:e>
                      <m:sub>
                        <m:r>
                          <a:rPr lang="en-US" sz="1200" i="1">
                            <a:solidFill>
                              <a:schemeClr val="dk1"/>
                            </a:solidFill>
                            <a:effectLst/>
                            <a:latin typeface="Cambria Math" panose="02040503050406030204" pitchFamily="18" charset="0"/>
                            <a:ea typeface="+mn-ea"/>
                            <a:cs typeface="+mn-cs"/>
                          </a:rPr>
                          <m:t>𝑠𝑎𝑡</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𝑡</m:t>
                        </m:r>
                      </m:e>
                      <m:sub>
                        <m:r>
                          <a:rPr lang="en-US" sz="1200" i="1">
                            <a:solidFill>
                              <a:schemeClr val="dk1"/>
                            </a:solidFill>
                            <a:effectLst/>
                            <a:latin typeface="Cambria Math" panose="02040503050406030204" pitchFamily="18" charset="0"/>
                            <a:ea typeface="+mn-ea"/>
                            <a:cs typeface="+mn-cs"/>
                          </a:rPr>
                          <m:t>𝑑</m:t>
                        </m:r>
                      </m:sub>
                    </m:sSub>
                  </m:oMath>
                </m:oMathPara>
              </a14:m>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a:t>
              </a:r>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Infiltration practices </a:t>
              </a:r>
              <a:r>
                <a:rPr lang="en-US" sz="1100" b="0" baseline="0">
                  <a:solidFill>
                    <a:schemeClr val="dk1"/>
                  </a:solidFill>
                  <a:effectLst/>
                  <a:latin typeface="+mn-lt"/>
                  <a:ea typeface="+mn-ea"/>
                  <a:cs typeface="+mn-cs"/>
                </a:rPr>
                <a:t>receives 100% retention value of their calculated storage volume, therefore:</a:t>
              </a:r>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pPr algn="ctr"/>
              <a:endParaRPr lang="en-US" sz="1100">
                <a:solidFill>
                  <a:schemeClr val="dk1"/>
                </a:solidFill>
                <a:effectLst/>
                <a:latin typeface="+mn-lt"/>
                <a:ea typeface="+mn-ea"/>
                <a:cs typeface="+mn-cs"/>
              </a:endParaRPr>
            </a:p>
            <a:p>
              <a:pPr algn="ctr"/>
              <a:r>
                <a:rPr lang="en-US" sz="1100">
                  <a:solidFill>
                    <a:schemeClr val="dk1"/>
                  </a:solidFill>
                  <a:effectLst/>
                  <a:latin typeface="+mn-lt"/>
                  <a:ea typeface="+mn-ea"/>
                  <a:cs typeface="+mn-cs"/>
                </a:rPr>
                <a:t>where:</a:t>
              </a:r>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a:p>
              <a:endParaRPr lang="en-US" sz="120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237A2A3F-7A30-466F-8447-255587BB84C8}"/>
                </a:ext>
              </a:extLst>
            </xdr:cNvPr>
            <xdr:cNvSpPr txBox="1"/>
          </xdr:nvSpPr>
          <xdr:spPr>
            <a:xfrm>
              <a:off x="609600" y="182880"/>
              <a:ext cx="6256020" cy="502158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3.8 INFILTRATION</a:t>
              </a:r>
              <a:r>
                <a:rPr lang="en-US" sz="1400" b="1" baseline="0">
                  <a:solidFill>
                    <a:schemeClr val="dk1"/>
                  </a:solidFill>
                  <a:effectLst/>
                  <a:latin typeface="+mn-lt"/>
                  <a:ea typeface="+mn-ea"/>
                  <a:cs typeface="+mn-cs"/>
                </a:rPr>
                <a:t> BASINS AND TRENCHES</a:t>
              </a:r>
            </a:p>
            <a:p>
              <a:endParaRPr lang="en-US" sz="1100" b="1">
                <a:solidFill>
                  <a:schemeClr val="dk1"/>
                </a:solidFill>
                <a:effectLst/>
                <a:latin typeface="+mn-lt"/>
                <a:ea typeface="+mn-ea"/>
                <a:cs typeface="+mn-cs"/>
              </a:endParaRPr>
            </a:p>
            <a:p>
              <a:r>
                <a:rPr lang="en-US" sz="1200">
                  <a:solidFill>
                    <a:schemeClr val="dk1"/>
                  </a:solidFill>
                  <a:effectLst/>
                  <a:latin typeface="+mn-lt"/>
                  <a:ea typeface="+mn-ea"/>
                  <a:cs typeface="+mn-cs"/>
                </a:rPr>
                <a:t>I-1	Infiltration trench</a:t>
              </a:r>
            </a:p>
            <a:p>
              <a:r>
                <a:rPr lang="en-US" sz="1200">
                  <a:solidFill>
                    <a:schemeClr val="dk1"/>
                  </a:solidFill>
                  <a:effectLst/>
                  <a:latin typeface="+mn-lt"/>
                  <a:ea typeface="+mn-ea"/>
                  <a:cs typeface="+mn-cs"/>
                </a:rPr>
                <a:t>I-2	Infiltration basin</a:t>
              </a:r>
            </a:p>
            <a:p>
              <a:r>
                <a:rPr lang="en-US" sz="110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Infiltration Trench</a:t>
              </a:r>
              <a:r>
                <a:rPr lang="en-US" sz="1200" b="1" baseline="0">
                  <a:solidFill>
                    <a:schemeClr val="dk1"/>
                  </a:solidFill>
                  <a:effectLst/>
                  <a:latin typeface="+mn-lt"/>
                  <a:ea typeface="+mn-ea"/>
                  <a:cs typeface="+mn-cs"/>
                </a:rPr>
                <a:t> Storage Volume</a:t>
              </a:r>
              <a:endParaRPr lang="en-US" sz="1200">
                <a:effectLst/>
              </a:endParaRPr>
            </a:p>
            <a:p>
              <a:pPr/>
              <a:r>
                <a:rPr lang="en-US" sz="1200" i="0">
                  <a:solidFill>
                    <a:schemeClr val="dk1"/>
                  </a:solidFill>
                  <a:effectLst/>
                  <a:latin typeface="Cambria Math" panose="02040503050406030204" pitchFamily="18" charset="0"/>
                  <a:ea typeface="+mn-ea"/>
                  <a:cs typeface="+mn-cs"/>
                </a:rPr>
                <a:t>𝑆𝑣=𝑆𝐴×[(𝜂_𝑟×𝑑)+(𝐾_𝑠𝑎𝑡×𝑡_𝑓 )]</a:t>
              </a:r>
              <a:endParaRPr lang="en-US" sz="1200">
                <a:effectLst/>
              </a:endParaRPr>
            </a:p>
            <a:p>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Infiltration Basin</a:t>
              </a:r>
              <a:r>
                <a:rPr lang="en-US" sz="1200" b="1" baseline="0">
                  <a:solidFill>
                    <a:schemeClr val="dk1"/>
                  </a:solidFill>
                  <a:effectLst/>
                  <a:latin typeface="+mn-lt"/>
                  <a:ea typeface="+mn-ea"/>
                  <a:cs typeface="+mn-cs"/>
                </a:rPr>
                <a:t> Storage Volume</a:t>
              </a:r>
              <a:endParaRPr lang="en-US" sz="1200" b="1">
                <a:solidFill>
                  <a:schemeClr val="dk1"/>
                </a:solidFill>
                <a:effectLst/>
                <a:latin typeface="+mn-lt"/>
                <a:ea typeface="+mn-ea"/>
                <a:cs typeface="+mn-cs"/>
              </a:endParaRPr>
            </a:p>
            <a:p>
              <a:pPr/>
              <a:r>
                <a:rPr lang="en-US" sz="1200" i="0">
                  <a:solidFill>
                    <a:schemeClr val="dk1"/>
                  </a:solidFill>
                  <a:effectLst/>
                  <a:latin typeface="Cambria Math" panose="02040503050406030204" pitchFamily="18" charset="0"/>
                  <a:ea typeface="+mn-ea"/>
                  <a:cs typeface="+mn-cs"/>
                </a:rPr>
                <a:t>𝑆𝑣=𝑆𝐴×[𝑑+(𝐾_𝑠𝑎𝑡×𝑡_𝑓 )]</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 </a:t>
              </a: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(volume</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fully infiltrated through the practice)(ft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a:solidFill>
                    <a:schemeClr val="dk1"/>
                  </a:solidFill>
                  <a:effectLst/>
                  <a:latin typeface="+mn-lt"/>
                  <a:ea typeface="+mn-ea"/>
                  <a:cs typeface="+mn-cs"/>
                </a:rPr>
                <a:t>      =  infiltration surface area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r</a:t>
              </a:r>
              <a:r>
                <a:rPr lang="en-US" sz="1100">
                  <a:solidFill>
                    <a:schemeClr val="dk1"/>
                  </a:solidFill>
                  <a:effectLst/>
                  <a:latin typeface="+mn-lt"/>
                  <a:ea typeface="+mn-ea"/>
                  <a:cs typeface="+mn-cs"/>
                </a:rPr>
                <a:t>       =  avilable porosity of the stone reservoir </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d</a:t>
              </a:r>
              <a:r>
                <a:rPr lang="en-US" sz="1100">
                  <a:solidFill>
                    <a:schemeClr val="dk1"/>
                  </a:solidFill>
                  <a:effectLst/>
                  <a:latin typeface="+mn-lt"/>
                  <a:ea typeface="+mn-ea"/>
                  <a:cs typeface="+mn-cs"/>
                </a:rPr>
                <a:t>        =  infiltration depth (ft)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K</a:t>
              </a:r>
              <a:r>
                <a:rPr lang="en-US" sz="1100" i="1" baseline="-25000">
                  <a:solidFill>
                    <a:schemeClr val="dk1"/>
                  </a:solidFill>
                  <a:effectLst/>
                  <a:latin typeface="+mn-lt"/>
                  <a:ea typeface="+mn-ea"/>
                  <a:cs typeface="+mn-cs"/>
                </a:rPr>
                <a:t>sat</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field-verified saturated hydraulic conductivity for the native soils (ft/day)</a:t>
              </a:r>
              <a:endParaRPr lang="en-US">
                <a:effectLst/>
              </a:endParaRP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f</a:t>
              </a:r>
              <a:r>
                <a:rPr lang="en-US" sz="1100">
                  <a:solidFill>
                    <a:schemeClr val="dk1"/>
                  </a:solidFill>
                  <a:effectLst/>
                  <a:latin typeface="+mn-lt"/>
                  <a:ea typeface="+mn-ea"/>
                  <a:cs typeface="+mn-cs"/>
                </a:rPr>
                <a:t>       =  time to fill</a:t>
              </a:r>
              <a:r>
                <a:rPr lang="en-US" sz="1100" baseline="0">
                  <a:solidFill>
                    <a:schemeClr val="dk1"/>
                  </a:solidFill>
                  <a:effectLst/>
                  <a:latin typeface="+mn-lt"/>
                  <a:ea typeface="+mn-ea"/>
                  <a:cs typeface="+mn-cs"/>
                </a:rPr>
                <a:t> infiltration capacity (days) </a:t>
              </a:r>
              <a:endParaRPr lang="en-US">
                <a:effectLst/>
              </a:endParaRPr>
            </a:p>
            <a:p>
              <a:endParaRPr lang="en-US" sz="1100" b="1">
                <a:solidFill>
                  <a:schemeClr val="dk1"/>
                </a:solidFill>
                <a:effectLst/>
                <a:latin typeface="+mn-lt"/>
                <a:ea typeface="+mn-ea"/>
                <a:cs typeface="+mn-cs"/>
              </a:endParaRPr>
            </a:p>
            <a:p>
              <a:r>
                <a:rPr lang="en-US" sz="1200" b="1">
                  <a:solidFill>
                    <a:schemeClr val="dk1"/>
                  </a:solidFill>
                  <a:effectLst/>
                  <a:latin typeface="+mn-lt"/>
                  <a:ea typeface="+mn-ea"/>
                  <a:cs typeface="+mn-cs"/>
                </a:rPr>
                <a:t>Maximum Underground Reservoir Depth for Infiltration Trenches</a:t>
              </a:r>
              <a:endParaRPr lang="en-US" sz="1200">
                <a:effectLst/>
              </a:endParaRPr>
            </a:p>
            <a:p>
              <a:pPr/>
              <a:br>
                <a:rPr lang="en-US" sz="1100">
                  <a:solidFill>
                    <a:schemeClr val="dk1"/>
                  </a:solidFill>
                  <a:effectLst/>
                  <a:latin typeface="+mn-lt"/>
                  <a:ea typeface="+mn-ea"/>
                  <a:cs typeface="+mn-cs"/>
                </a:rPr>
              </a:br>
              <a:r>
                <a:rPr lang="en-US" sz="1100" i="0">
                  <a:solidFill>
                    <a:schemeClr val="dk1"/>
                  </a:solidFill>
                  <a:effectLst/>
                  <a:latin typeface="Cambria Math" panose="02040503050406030204" pitchFamily="18" charset="0"/>
                  <a:ea typeface="+mn-ea"/>
                  <a:cs typeface="+mn-cs"/>
                </a:rPr>
                <a:t>𝑑_𝑚𝑎𝑥=((𝐾_𝑠𝑎𝑡×𝑡_𝑑))/𝜂_𝑟 </a:t>
              </a:r>
              <a:endParaRPr lang="en-US">
                <a:effectLst/>
              </a:endParaRPr>
            </a:p>
            <a:p>
              <a:r>
                <a:rPr lang="en-US" sz="1100">
                  <a:solidFill>
                    <a:schemeClr val="dk1"/>
                  </a:solidFill>
                  <a:effectLst/>
                  <a:latin typeface="+mn-lt"/>
                  <a:ea typeface="+mn-ea"/>
                  <a:cs typeface="+mn-cs"/>
                </a:rPr>
                <a:t>where:</a:t>
              </a:r>
              <a:endParaRPr lang="en-US">
                <a:effectLst/>
              </a:endParaRP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max</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depth of the infiltration practice (ft)</a:t>
              </a:r>
              <a:endParaRPr lang="en-US">
                <a:effectLst/>
              </a:endParaRPr>
            </a:p>
            <a:p>
              <a:r>
                <a:rPr lang="en-US" sz="1100" i="1">
                  <a:solidFill>
                    <a:schemeClr val="dk1"/>
                  </a:solidFill>
                  <a:effectLst/>
                  <a:latin typeface="+mn-lt"/>
                  <a:ea typeface="+mn-ea"/>
                  <a:cs typeface="+mn-cs"/>
                </a:rPr>
                <a:t>	t</a:t>
              </a:r>
              <a:r>
                <a:rPr lang="en-US" sz="1100" i="1" baseline="-25000">
                  <a:solidFill>
                    <a:schemeClr val="dk1"/>
                  </a:solidFill>
                  <a:effectLst/>
                  <a:latin typeface="+mn-lt"/>
                  <a:ea typeface="+mn-ea"/>
                  <a:cs typeface="+mn-cs"/>
                </a:rPr>
                <a:t>d</a:t>
              </a:r>
              <a:r>
                <a:rPr lang="en-US" sz="1100" i="0" baseline="0">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drawdown time (day) </a:t>
              </a:r>
              <a:endParaRPr lang="en-US">
                <a:effectLst/>
              </a:endParaRPr>
            </a:p>
            <a:p>
              <a:endParaRPr lang="en-US" sz="1100" b="0" i="1">
                <a:solidFill>
                  <a:schemeClr val="dk1"/>
                </a:solidFill>
                <a:effectLst/>
                <a:latin typeface="+mn-lt"/>
                <a:ea typeface="+mn-ea"/>
                <a:cs typeface="+mn-cs"/>
              </a:endParaRPr>
            </a:p>
            <a:p>
              <a:r>
                <a:rPr lang="en-US" sz="1200" b="1">
                  <a:solidFill>
                    <a:schemeClr val="dk1"/>
                  </a:solidFill>
                  <a:effectLst/>
                  <a:latin typeface="+mn-lt"/>
                  <a:ea typeface="+mn-ea"/>
                  <a:cs typeface="+mn-cs"/>
                </a:rPr>
                <a:t>Maximum Surface Basin Depth for Infiltration Basins</a:t>
              </a:r>
              <a:endParaRPr lang="en-US" sz="1200">
                <a:effectLst/>
              </a:endParaRPr>
            </a:p>
            <a:p>
              <a:pPr/>
              <a:br>
                <a:rPr lang="en-US" sz="1100">
                  <a:solidFill>
                    <a:schemeClr val="dk1"/>
                  </a:solidFill>
                  <a:effectLst/>
                  <a:latin typeface="+mn-lt"/>
                  <a:ea typeface="+mn-ea"/>
                  <a:cs typeface="+mn-cs"/>
                </a:rPr>
              </a:br>
              <a:r>
                <a:rPr lang="en-US" sz="1200" i="0">
                  <a:solidFill>
                    <a:schemeClr val="dk1"/>
                  </a:solidFill>
                  <a:effectLst/>
                  <a:latin typeface="Cambria Math" panose="02040503050406030204" pitchFamily="18" charset="0"/>
                  <a:ea typeface="+mn-ea"/>
                  <a:cs typeface="+mn-cs"/>
                </a:rPr>
                <a:t>𝑑_𝑚𝑎𝑥=𝐾_𝑠𝑎𝑡×𝑡_𝑑</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a:t>
              </a:r>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Infiltration practices </a:t>
              </a:r>
              <a:r>
                <a:rPr lang="en-US" sz="1100" b="0" baseline="0">
                  <a:solidFill>
                    <a:schemeClr val="dk1"/>
                  </a:solidFill>
                  <a:effectLst/>
                  <a:latin typeface="+mn-lt"/>
                  <a:ea typeface="+mn-ea"/>
                  <a:cs typeface="+mn-cs"/>
                </a:rPr>
                <a:t>receives 100% retention value of their calculated storage volume, therefore:</a:t>
              </a:r>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a:t>
              </a:r>
              <a:r>
                <a:rPr lang="en-US" sz="1200" b="0" i="0">
                  <a:solidFill>
                    <a:schemeClr val="dk1"/>
                  </a:solidFill>
                  <a:effectLst/>
                  <a:latin typeface="Cambria Math" panose="02040503050406030204" pitchFamily="18" charset="0"/>
                  <a:ea typeface="+mn-ea"/>
                  <a:cs typeface="+mn-cs"/>
                </a:rPr>
                <a:t>𝑆𝑣</a:t>
              </a:r>
              <a:endParaRPr lang="en-US" sz="1200">
                <a:effectLst/>
              </a:endParaRPr>
            </a:p>
            <a:p>
              <a:pPr algn="ctr"/>
              <a:endParaRPr lang="en-US" sz="1100">
                <a:solidFill>
                  <a:schemeClr val="dk1"/>
                </a:solidFill>
                <a:effectLst/>
                <a:latin typeface="+mn-lt"/>
                <a:ea typeface="+mn-ea"/>
                <a:cs typeface="+mn-cs"/>
              </a:endParaRPr>
            </a:p>
            <a:p>
              <a:pPr algn="ctr"/>
              <a:r>
                <a:rPr lang="en-US" sz="1100">
                  <a:solidFill>
                    <a:schemeClr val="dk1"/>
                  </a:solidFill>
                  <a:effectLst/>
                  <a:latin typeface="+mn-lt"/>
                  <a:ea typeface="+mn-ea"/>
                  <a:cs typeface="+mn-cs"/>
                </a:rPr>
                <a:t>where:</a:t>
              </a:r>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a:p>
              <a:endParaRPr lang="en-US" sz="1200">
                <a:solidFill>
                  <a:schemeClr val="dk1"/>
                </a:solidFill>
                <a:effectLst/>
                <a:latin typeface="+mn-lt"/>
                <a:ea typeface="+mn-ea"/>
                <a:cs typeface="+mn-cs"/>
              </a:endParaRPr>
            </a:p>
          </xdr:txBody>
        </xdr:sp>
      </mc:Fallback>
    </mc:AlternateContent>
    <xdr:clientData/>
  </xdr:twoCellAnchor>
  <xdr:twoCellAnchor>
    <xdr:from>
      <xdr:col>7</xdr:col>
      <xdr:colOff>76200</xdr:colOff>
      <xdr:row>40</xdr:row>
      <xdr:rowOff>22860</xdr:rowOff>
    </xdr:from>
    <xdr:to>
      <xdr:col>10</xdr:col>
      <xdr:colOff>598170</xdr:colOff>
      <xdr:row>44</xdr:row>
      <xdr:rowOff>83820</xdr:rowOff>
    </xdr:to>
    <xdr:sp macro="[0]!Module6.ClearDataInfiltration" textlink="">
      <xdr:nvSpPr>
        <xdr:cNvPr id="3" name="Rectangle 2">
          <a:extLst>
            <a:ext uri="{FF2B5EF4-FFF2-40B4-BE49-F238E27FC236}">
              <a16:creationId xmlns:a16="http://schemas.microsoft.com/office/drawing/2014/main" id="{B244F0BD-E365-4693-816D-7E926FBA752C}"/>
            </a:ext>
          </a:extLst>
        </xdr:cNvPr>
        <xdr:cNvSpPr/>
      </xdr:nvSpPr>
      <xdr:spPr>
        <a:xfrm>
          <a:off x="8061960" y="7467600"/>
          <a:ext cx="2350770" cy="85344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a:t>Click Here to</a:t>
          </a:r>
          <a:r>
            <a:rPr lang="en-US" sz="2000" baseline="0"/>
            <a:t> Clear Entered Data</a:t>
          </a:r>
          <a:endParaRPr lang="en-US" sz="20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6</xdr:col>
      <xdr:colOff>0</xdr:colOff>
      <xdr:row>19</xdr:row>
      <xdr:rowOff>175260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81417A8A-947E-431E-BF66-4084A43840E6}"/>
                </a:ext>
              </a:extLst>
            </xdr:cNvPr>
            <xdr:cNvSpPr txBox="1"/>
          </xdr:nvSpPr>
          <xdr:spPr>
            <a:xfrm>
              <a:off x="609600" y="182880"/>
              <a:ext cx="5692140" cy="383286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3.9</a:t>
              </a:r>
              <a:r>
                <a:rPr lang="en-US" sz="1400" b="1" baseline="0">
                  <a:solidFill>
                    <a:schemeClr val="dk1"/>
                  </a:solidFill>
                  <a:effectLst/>
                  <a:latin typeface="+mn-lt"/>
                  <a:ea typeface="+mn-ea"/>
                  <a:cs typeface="+mn-cs"/>
                </a:rPr>
                <a:t> O-1 GRASS CHANNEL</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Open Channel</a:t>
              </a:r>
              <a:r>
                <a:rPr lang="en-US" sz="1200" b="1" baseline="0">
                  <a:solidFill>
                    <a:schemeClr val="dk1"/>
                  </a:solidFill>
                  <a:effectLst/>
                  <a:latin typeface="+mn-lt"/>
                  <a:ea typeface="+mn-ea"/>
                  <a:cs typeface="+mn-cs"/>
                </a:rPr>
                <a:t> Type O-1 S</a:t>
              </a:r>
              <a:r>
                <a:rPr lang="en-US" sz="1200" b="1">
                  <a:solidFill>
                    <a:schemeClr val="dk1"/>
                  </a:solidFill>
                  <a:effectLst/>
                  <a:latin typeface="+mn-lt"/>
                  <a:ea typeface="+mn-ea"/>
                  <a:cs typeface="+mn-cs"/>
                </a:rPr>
                <a:t>torage Volume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algn="ctr"/>
              <a14:m>
                <m:oMathPara xmlns:m="http://schemas.openxmlformats.org/officeDocument/2006/math">
                  <m:oMathParaPr>
                    <m:jc m:val="centerGroup"/>
                  </m:oMathParaPr>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𝐷𝑒𝑠𝑖𝑔𝑛𝑆𝑡𝑜𝑟𝑚</m:t>
                    </m:r>
                  </m:oMath>
                </m:oMathPara>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Grass Channel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DesignStorm</a:t>
              </a:r>
              <a:r>
                <a:rPr lang="en-US" sz="1100">
                  <a:solidFill>
                    <a:schemeClr val="dk1"/>
                  </a:solidFill>
                  <a:effectLst/>
                  <a:latin typeface="+mn-lt"/>
                  <a:ea typeface="+mn-ea"/>
                  <a:cs typeface="+mn-cs"/>
                </a:rPr>
                <a:t>   =  SWRv or other design storm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p>
            <a:p>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(e.g., portion of the SWRv)</a:t>
              </a:r>
            </a:p>
            <a:p>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Grass channels</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retain 10% of their storage volume, therefore:</a:t>
              </a: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=0.1 </m:t>
                    </m:r>
                    <m:r>
                      <a:rPr lang="en-US" sz="11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a:p>
              <a:r>
                <a:rPr lang="en-US" sz="1200" b="1" baseline="0">
                  <a:solidFill>
                    <a:schemeClr val="dk1"/>
                  </a:solidFill>
                  <a:effectLst/>
                  <a:latin typeface="+mn-lt"/>
                  <a:ea typeface="+mn-ea"/>
                  <a:cs typeface="+mn-cs"/>
                </a:rPr>
                <a:t>Grass channels on Amended Soils </a:t>
              </a:r>
              <a:r>
                <a:rPr lang="en-US" sz="1100" b="0" baseline="0">
                  <a:solidFill>
                    <a:schemeClr val="dk1"/>
                  </a:solidFill>
                  <a:effectLst/>
                  <a:latin typeface="+mn-lt"/>
                  <a:ea typeface="+mn-ea"/>
                  <a:cs typeface="+mn-cs"/>
                </a:rPr>
                <a:t>retain 30%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=0.3 ×</m:t>
                    </m:r>
                    <m:r>
                      <a:rPr lang="en-US" sz="1200" b="0" i="1">
                        <a:solidFill>
                          <a:schemeClr val="dk1"/>
                        </a:solidFill>
                        <a:effectLst/>
                        <a:latin typeface="Cambria Math" panose="02040503050406030204" pitchFamily="18" charset="0"/>
                        <a:ea typeface="+mn-ea"/>
                        <a:cs typeface="+mn-cs"/>
                      </a:rPr>
                      <m:t>𝑆𝑣</m:t>
                    </m:r>
                  </m:oMath>
                </m:oMathPara>
              </a14:m>
              <a:endParaRPr lang="en-US" sz="1400">
                <a:effectLst/>
              </a:endParaRPr>
            </a:p>
          </xdr:txBody>
        </xdr:sp>
      </mc:Choice>
      <mc:Fallback xmlns="">
        <xdr:sp macro="" textlink="">
          <xdr:nvSpPr>
            <xdr:cNvPr id="2" name="TextBox 1">
              <a:extLst>
                <a:ext uri="{FF2B5EF4-FFF2-40B4-BE49-F238E27FC236}">
                  <a16:creationId xmlns:a16="http://schemas.microsoft.com/office/drawing/2014/main" id="{81417A8A-947E-431E-BF66-4084A43840E6}"/>
                </a:ext>
              </a:extLst>
            </xdr:cNvPr>
            <xdr:cNvSpPr txBox="1"/>
          </xdr:nvSpPr>
          <xdr:spPr>
            <a:xfrm>
              <a:off x="609600" y="182880"/>
              <a:ext cx="5692140" cy="383286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3.9</a:t>
              </a:r>
              <a:r>
                <a:rPr lang="en-US" sz="1400" b="1" baseline="0">
                  <a:solidFill>
                    <a:schemeClr val="dk1"/>
                  </a:solidFill>
                  <a:effectLst/>
                  <a:latin typeface="+mn-lt"/>
                  <a:ea typeface="+mn-ea"/>
                  <a:cs typeface="+mn-cs"/>
                </a:rPr>
                <a:t> O-1 GRASS CHANNEL</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Open Channel</a:t>
              </a:r>
              <a:r>
                <a:rPr lang="en-US" sz="1200" b="1" baseline="0">
                  <a:solidFill>
                    <a:schemeClr val="dk1"/>
                  </a:solidFill>
                  <a:effectLst/>
                  <a:latin typeface="+mn-lt"/>
                  <a:ea typeface="+mn-ea"/>
                  <a:cs typeface="+mn-cs"/>
                </a:rPr>
                <a:t> Type O-1 S</a:t>
              </a:r>
              <a:r>
                <a:rPr lang="en-US" sz="1200" b="1">
                  <a:solidFill>
                    <a:schemeClr val="dk1"/>
                  </a:solidFill>
                  <a:effectLst/>
                  <a:latin typeface="+mn-lt"/>
                  <a:ea typeface="+mn-ea"/>
                  <a:cs typeface="+mn-cs"/>
                </a:rPr>
                <a:t>torage Volume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algn="ct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𝑆𝑣</a:t>
              </a:r>
              <a:r>
                <a:rPr lang="en-US" sz="1200" i="0">
                  <a:solidFill>
                    <a:schemeClr val="dk1"/>
                  </a:solidFill>
                  <a:effectLst/>
                  <a:latin typeface="Cambria Math" panose="02040503050406030204" pitchFamily="18" charset="0"/>
                  <a:ea typeface="+mn-ea"/>
                  <a:cs typeface="+mn-cs"/>
                </a:rPr>
                <a:t>=</a:t>
              </a:r>
              <a:r>
                <a:rPr lang="en-US" sz="1200" b="0" i="0">
                  <a:solidFill>
                    <a:schemeClr val="dk1"/>
                  </a:solidFill>
                  <a:effectLst/>
                  <a:latin typeface="Cambria Math" panose="02040503050406030204" pitchFamily="18" charset="0"/>
                  <a:ea typeface="+mn-ea"/>
                  <a:cs typeface="+mn-cs"/>
                </a:rPr>
                <a:t>𝐷𝑒𝑠𝑖𝑔𝑛𝑆𝑡𝑜𝑟𝑚</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Grass Channel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DesignStorm</a:t>
              </a:r>
              <a:r>
                <a:rPr lang="en-US" sz="1100">
                  <a:solidFill>
                    <a:schemeClr val="dk1"/>
                  </a:solidFill>
                  <a:effectLst/>
                  <a:latin typeface="+mn-lt"/>
                  <a:ea typeface="+mn-ea"/>
                  <a:cs typeface="+mn-cs"/>
                </a:rPr>
                <a:t>   =  SWRv or other design storm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p>
            <a:p>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(e.g., portion of the SWRv)</a:t>
              </a:r>
            </a:p>
            <a:p>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Grass channels</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retain 10% of their storage volume, therefore:</a:t>
              </a: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𝑣=0.1 </a:t>
              </a:r>
              <a:r>
                <a:rPr lang="en-US" sz="1100" i="0">
                  <a:solidFill>
                    <a:schemeClr val="dk1"/>
                  </a:solidFill>
                  <a:effectLst/>
                  <a:latin typeface="Cambria Math" panose="02040503050406030204" pitchFamily="18" charset="0"/>
                  <a:ea typeface="+mn-ea"/>
                  <a:cs typeface="+mn-cs"/>
                </a:rPr>
                <a:t>×</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a:p>
              <a:r>
                <a:rPr lang="en-US" sz="1200" b="1" baseline="0">
                  <a:solidFill>
                    <a:schemeClr val="dk1"/>
                  </a:solidFill>
                  <a:effectLst/>
                  <a:latin typeface="+mn-lt"/>
                  <a:ea typeface="+mn-ea"/>
                  <a:cs typeface="+mn-cs"/>
                </a:rPr>
                <a:t>Grass channels on Amended Soils </a:t>
              </a:r>
              <a:r>
                <a:rPr lang="en-US" sz="1100" b="0" baseline="0">
                  <a:solidFill>
                    <a:schemeClr val="dk1"/>
                  </a:solidFill>
                  <a:effectLst/>
                  <a:latin typeface="+mn-lt"/>
                  <a:ea typeface="+mn-ea"/>
                  <a:cs typeface="+mn-cs"/>
                </a:rPr>
                <a:t>retain 30%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𝑣=0.3 ×</a:t>
              </a:r>
              <a:r>
                <a:rPr lang="en-US" sz="1200" b="0" i="0">
                  <a:solidFill>
                    <a:schemeClr val="dk1"/>
                  </a:solidFill>
                  <a:effectLst/>
                  <a:latin typeface="Cambria Math" panose="02040503050406030204" pitchFamily="18" charset="0"/>
                  <a:ea typeface="+mn-ea"/>
                  <a:cs typeface="+mn-cs"/>
                </a:rPr>
                <a:t>𝑆𝑣</a:t>
              </a:r>
              <a:endParaRPr lang="en-US" sz="1400">
                <a:effectLst/>
              </a:endParaRPr>
            </a:p>
          </xdr:txBody>
        </xdr:sp>
      </mc:Fallback>
    </mc:AlternateContent>
    <xdr:clientData/>
  </xdr:twoCellAnchor>
  <xdr:twoCellAnchor>
    <xdr:from>
      <xdr:col>7</xdr:col>
      <xdr:colOff>0</xdr:colOff>
      <xdr:row>20</xdr:row>
      <xdr:rowOff>0</xdr:rowOff>
    </xdr:from>
    <xdr:to>
      <xdr:col>11</xdr:col>
      <xdr:colOff>434340</xdr:colOff>
      <xdr:row>24</xdr:row>
      <xdr:rowOff>76200</xdr:rowOff>
    </xdr:to>
    <xdr:sp macro="[0]!ClearDataO1GrassChannel" textlink="">
      <xdr:nvSpPr>
        <xdr:cNvPr id="4" name="Rectangle 3">
          <a:extLst>
            <a:ext uri="{FF2B5EF4-FFF2-40B4-BE49-F238E27FC236}">
              <a16:creationId xmlns:a16="http://schemas.microsoft.com/office/drawing/2014/main" id="{B003F5AD-711B-4FED-B202-5FA78902049A}"/>
            </a:ext>
          </a:extLst>
        </xdr:cNvPr>
        <xdr:cNvSpPr/>
      </xdr:nvSpPr>
      <xdr:spPr>
        <a:xfrm>
          <a:off x="6979920" y="3726180"/>
          <a:ext cx="2263140" cy="86868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 Here to</a:t>
          </a:r>
          <a:r>
            <a:rPr lang="en-US" sz="1800" baseline="0"/>
            <a:t> Clear Entered Data</a:t>
          </a:r>
          <a:endParaRPr lang="en-US" sz="18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3070860</xdr:colOff>
      <xdr:row>24</xdr:row>
      <xdr:rowOff>190500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668C0074-958E-4836-A292-F6E755F2CF30}"/>
                </a:ext>
              </a:extLst>
            </xdr:cNvPr>
            <xdr:cNvSpPr txBox="1"/>
          </xdr:nvSpPr>
          <xdr:spPr>
            <a:xfrm>
              <a:off x="609600" y="182880"/>
              <a:ext cx="7376160" cy="480822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3.9</a:t>
              </a:r>
              <a:r>
                <a:rPr lang="en-US" sz="1100" b="1" baseline="0">
                  <a:solidFill>
                    <a:schemeClr val="dk1"/>
                  </a:solidFill>
                  <a:effectLst/>
                  <a:latin typeface="+mn-lt"/>
                  <a:ea typeface="+mn-ea"/>
                  <a:cs typeface="+mn-cs"/>
                </a:rPr>
                <a:t> O-2 DRY SWALE</a:t>
              </a:r>
              <a:endParaRPr lang="en-US"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Open Channel</a:t>
              </a:r>
              <a:r>
                <a:rPr lang="en-US" sz="1100" b="1" baseline="0">
                  <a:solidFill>
                    <a:schemeClr val="dk1"/>
                  </a:solidFill>
                  <a:effectLst/>
                  <a:latin typeface="+mn-lt"/>
                  <a:ea typeface="+mn-ea"/>
                  <a:cs typeface="+mn-cs"/>
                </a:rPr>
                <a:t> Type O-2</a:t>
              </a:r>
              <a:r>
                <a:rPr lang="en-US" sz="1200" b="1">
                  <a:solidFill>
                    <a:schemeClr val="dk1"/>
                  </a:solidFill>
                  <a:effectLst/>
                  <a:latin typeface="+mn-lt"/>
                  <a:ea typeface="+mn-ea"/>
                  <a:cs typeface="+mn-cs"/>
                </a:rPr>
                <a:t> Storage Volume</a:t>
              </a:r>
            </a:p>
            <a:p>
              <a:pPr algn="ctr"/>
              <a:r>
                <a:rPr lang="en-US" sz="1200">
                  <a:solidFill>
                    <a:schemeClr val="dk1"/>
                  </a:solidFill>
                  <a:effectLst/>
                  <a:latin typeface="+mn-lt"/>
                  <a:ea typeface="+mn-ea"/>
                  <a:cs typeface="+mn-cs"/>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𝑆𝐴</m:t>
                      </m:r>
                    </m:e>
                    <m:sub>
                      <m:r>
                        <a:rPr lang="en-US" sz="1200" i="1">
                          <a:solidFill>
                            <a:schemeClr val="dk1"/>
                          </a:solidFill>
                          <a:effectLst/>
                          <a:latin typeface="Cambria Math" panose="02040503050406030204" pitchFamily="18" charset="0"/>
                          <a:ea typeface="+mn-ea"/>
                          <a:cs typeface="+mn-cs"/>
                        </a:rPr>
                        <m:t>𝑏𝑜𝑡𝑡𝑜𝑚</m:t>
                      </m:r>
                    </m:sub>
                  </m:sSub>
                  <m:r>
                    <a:rPr lang="en-US" sz="1200" i="1">
                      <a:solidFill>
                        <a:schemeClr val="dk1"/>
                      </a:solidFill>
                      <a:effectLst/>
                      <a:latin typeface="Cambria Math" panose="02040503050406030204" pitchFamily="18" charset="0"/>
                      <a:ea typeface="+mn-ea"/>
                      <a:cs typeface="+mn-cs"/>
                    </a:rPr>
                    <m:t>×</m:t>
                  </m:r>
                  <m:d>
                    <m:dPr>
                      <m:begChr m:val="["/>
                      <m:endChr m:val="]"/>
                      <m:ctrlPr>
                        <a:rPr lang="en-US" sz="1200" i="1">
                          <a:solidFill>
                            <a:schemeClr val="dk1"/>
                          </a:solidFill>
                          <a:effectLst/>
                          <a:latin typeface="Cambria Math" panose="02040503050406030204" pitchFamily="18" charset="0"/>
                          <a:ea typeface="+mn-ea"/>
                          <a:cs typeface="+mn-cs"/>
                        </a:rPr>
                      </m:ctrlPr>
                    </m:dPr>
                    <m:e>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𝑚𝑒𝑑𝑖𝑎</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𝑚𝑒𝑑𝑖𝑎</m:t>
                              </m:r>
                            </m:sub>
                          </m:sSub>
                        </m:e>
                      </m:d>
                      <m:r>
                        <a:rPr lang="en-US" sz="1200" i="1">
                          <a:solidFill>
                            <a:schemeClr val="dk1"/>
                          </a:solidFill>
                          <a:effectLst/>
                          <a:latin typeface="Cambria Math" panose="02040503050406030204" pitchFamily="18" charset="0"/>
                          <a:ea typeface="+mn-ea"/>
                          <a:cs typeface="+mn-cs"/>
                        </a:rPr>
                        <m:t>+</m:t>
                      </m:r>
                      <m:d>
                        <m:dPr>
                          <m:ctrlPr>
                            <a:rPr lang="en-US" sz="1200" i="1">
                              <a:solidFill>
                                <a:schemeClr val="dk1"/>
                              </a:solidFill>
                              <a:effectLst/>
                              <a:latin typeface="Cambria Math" panose="02040503050406030204" pitchFamily="18" charset="0"/>
                              <a:ea typeface="+mn-ea"/>
                              <a:cs typeface="+mn-cs"/>
                            </a:rPr>
                          </m:ctrlPr>
                        </m:dPr>
                        <m:e>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𝑔𝑟𝑎𝑣𝑒𝑙</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𝜂</m:t>
                              </m:r>
                            </m:e>
                            <m:sub>
                              <m:r>
                                <a:rPr lang="en-US" sz="1200" i="1">
                                  <a:solidFill>
                                    <a:schemeClr val="dk1"/>
                                  </a:solidFill>
                                  <a:effectLst/>
                                  <a:latin typeface="Cambria Math" panose="02040503050406030204" pitchFamily="18" charset="0"/>
                                  <a:ea typeface="+mn-ea"/>
                                  <a:cs typeface="+mn-cs"/>
                                </a:rPr>
                                <m:t>𝑔𝑟𝑎𝑣𝑒𝑙</m:t>
                              </m:r>
                            </m:sub>
                          </m:sSub>
                        </m:e>
                      </m:d>
                    </m:e>
                  </m:d>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𝑆𝐴</m:t>
                      </m:r>
                    </m:e>
                    <m:sub>
                      <m:r>
                        <a:rPr lang="en-US" sz="1200" i="1">
                          <a:solidFill>
                            <a:schemeClr val="dk1"/>
                          </a:solidFill>
                          <a:effectLst/>
                          <a:latin typeface="Cambria Math" panose="02040503050406030204" pitchFamily="18" charset="0"/>
                          <a:ea typeface="+mn-ea"/>
                          <a:cs typeface="+mn-cs"/>
                        </a:rPr>
                        <m:t>𝑎𝑣𝑒𝑟𝑎𝑔𝑒</m:t>
                      </m:r>
                    </m:sub>
                  </m:sSub>
                  <m:r>
                    <a:rPr lang="en-US" sz="1200" i="1">
                      <a:solidFill>
                        <a:schemeClr val="dk1"/>
                      </a:solidFill>
                      <a:effectLst/>
                      <a:latin typeface="Cambria Math" panose="02040503050406030204" pitchFamily="18" charset="0"/>
                      <a:ea typeface="+mn-ea"/>
                      <a:cs typeface="+mn-cs"/>
                    </a:rPr>
                    <m:t>×</m:t>
                  </m:r>
                  <m:sSub>
                    <m:sSubPr>
                      <m:ctrlPr>
                        <a:rPr lang="en-US" sz="1200" i="1">
                          <a:solidFill>
                            <a:schemeClr val="dk1"/>
                          </a:solidFill>
                          <a:effectLst/>
                          <a:latin typeface="Cambria Math" panose="02040503050406030204" pitchFamily="18" charset="0"/>
                          <a:ea typeface="+mn-ea"/>
                          <a:cs typeface="+mn-cs"/>
                        </a:rPr>
                      </m:ctrlPr>
                    </m:sSubPr>
                    <m:e>
                      <m:r>
                        <a:rPr lang="en-US" sz="1200" i="1">
                          <a:solidFill>
                            <a:schemeClr val="dk1"/>
                          </a:solidFill>
                          <a:effectLst/>
                          <a:latin typeface="Cambria Math" panose="02040503050406030204" pitchFamily="18" charset="0"/>
                          <a:ea typeface="+mn-ea"/>
                          <a:cs typeface="+mn-cs"/>
                        </a:rPr>
                        <m:t>𝑑</m:t>
                      </m:r>
                    </m:e>
                    <m:sub>
                      <m:r>
                        <a:rPr lang="en-US" sz="1200" i="1">
                          <a:solidFill>
                            <a:schemeClr val="dk1"/>
                          </a:solidFill>
                          <a:effectLst/>
                          <a:latin typeface="Cambria Math" panose="02040503050406030204" pitchFamily="18" charset="0"/>
                          <a:ea typeface="+mn-ea"/>
                          <a:cs typeface="+mn-cs"/>
                        </a:rPr>
                        <m:t>𝑝𝑜𝑛𝑑𝑖𝑛𝑔</m:t>
                      </m:r>
                    </m:sub>
                  </m:sSub>
                  <m:r>
                    <a:rPr lang="en-US" sz="1200" i="1">
                      <a:solidFill>
                        <a:schemeClr val="dk1"/>
                      </a:solidFill>
                      <a:effectLst/>
                      <a:latin typeface="Cambria Math" panose="02040503050406030204" pitchFamily="18" charset="0"/>
                      <a:ea typeface="+mn-ea"/>
                      <a:cs typeface="+mn-cs"/>
                    </a:rPr>
                    <m:t>)</m:t>
                  </m:r>
                </m:oMath>
              </a14:m>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dry swale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depth of the filter media, including mulch layer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effective porosity of the filter media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depth of the underdrain and underground storage gravel layer, including choker stone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effective porosity of the gravel layer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ponding</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ponding depth of dry swale (ft)</a:t>
              </a:r>
              <a:endParaRPr lang="en-US">
                <a:effectLst/>
              </a:endParaRP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average</a:t>
              </a:r>
              <a:r>
                <a:rPr lang="en-US" sz="1100">
                  <a:solidFill>
                    <a:schemeClr val="dk1"/>
                  </a:solidFill>
                  <a:effectLst/>
                  <a:latin typeface="+mn-lt"/>
                  <a:ea typeface="+mn-ea"/>
                  <a:cs typeface="+mn-cs"/>
                </a:rPr>
                <a:t>   =  average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Typically,</a:t>
              </a: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US" sz="1200" i="1">
                        <a:solidFill>
                          <a:schemeClr val="dk1"/>
                        </a:solidFill>
                        <a:effectLst/>
                        <a:latin typeface="Cambria Math" panose="02040503050406030204" pitchFamily="18" charset="0"/>
                        <a:ea typeface="+mn-ea"/>
                        <a:cs typeface="+mn-cs"/>
                      </a:rPr>
                      <m:t>𝑆</m:t>
                    </m:r>
                    <m:r>
                      <a:rPr lang="en-US" sz="1200" b="0" i="1">
                        <a:solidFill>
                          <a:schemeClr val="dk1"/>
                        </a:solidFill>
                        <a:effectLst/>
                        <a:latin typeface="Cambria Math" panose="02040503050406030204" pitchFamily="18" charset="0"/>
                        <a:ea typeface="+mn-ea"/>
                        <a:cs typeface="+mn-cs"/>
                      </a:rPr>
                      <m:t>𝐴</m:t>
                    </m:r>
                    <m:r>
                      <a:rPr lang="en-US" sz="1200" b="0" i="1" baseline="-25000">
                        <a:solidFill>
                          <a:schemeClr val="dk1"/>
                        </a:solidFill>
                        <a:effectLst/>
                        <a:latin typeface="Cambria Math" panose="02040503050406030204" pitchFamily="18" charset="0"/>
                        <a:ea typeface="+mn-ea"/>
                        <a:cs typeface="+mn-cs"/>
                      </a:rPr>
                      <m:t>𝑎𝑣𝑒𝑟𝑎𝑔𝑒</m:t>
                    </m:r>
                    <m:r>
                      <a:rPr lang="en-US" sz="1200" i="1">
                        <a:solidFill>
                          <a:schemeClr val="dk1"/>
                        </a:solidFill>
                        <a:effectLst/>
                        <a:latin typeface="Cambria Math" panose="02040503050406030204" pitchFamily="18" charset="0"/>
                        <a:ea typeface="+mn-ea"/>
                        <a:cs typeface="+mn-cs"/>
                      </a:rPr>
                      <m:t>=</m:t>
                    </m:r>
                    <m:f>
                      <m:fPr>
                        <m:ctrlPr>
                          <a:rPr lang="en-US" sz="1200" i="1">
                            <a:solidFill>
                              <a:schemeClr val="dk1"/>
                            </a:solidFill>
                            <a:effectLst/>
                            <a:latin typeface="Cambria Math" panose="02040503050406030204" pitchFamily="18" charset="0"/>
                            <a:ea typeface="+mn-ea"/>
                            <a:cs typeface="+mn-cs"/>
                          </a:rPr>
                        </m:ctrlPr>
                      </m:fPr>
                      <m:num>
                        <m:r>
                          <a:rPr lang="en-US" sz="1200" i="1">
                            <a:solidFill>
                              <a:schemeClr val="dk1"/>
                            </a:solidFill>
                            <a:effectLst/>
                            <a:latin typeface="Cambria Math" panose="02040503050406030204" pitchFamily="18" charset="0"/>
                            <a:ea typeface="+mn-ea"/>
                            <a:cs typeface="+mn-cs"/>
                          </a:rPr>
                          <m:t>𝑆𝐴</m:t>
                        </m:r>
                        <m:r>
                          <a:rPr lang="en-US" sz="1200" b="0" i="1" baseline="-25000">
                            <a:solidFill>
                              <a:schemeClr val="dk1"/>
                            </a:solidFill>
                            <a:effectLst/>
                            <a:latin typeface="Cambria Math" panose="02040503050406030204" pitchFamily="18" charset="0"/>
                            <a:ea typeface="+mn-ea"/>
                            <a:cs typeface="+mn-cs"/>
                          </a:rPr>
                          <m:t>𝑏𝑜𝑡𝑡𝑜𝑚</m:t>
                        </m:r>
                        <m:r>
                          <a:rPr lang="en-US" sz="1200" b="0" i="1">
                            <a:solidFill>
                              <a:schemeClr val="dk1"/>
                            </a:solidFill>
                            <a:effectLst/>
                            <a:latin typeface="Cambria Math" panose="02040503050406030204" pitchFamily="18" charset="0"/>
                            <a:ea typeface="+mn-ea"/>
                            <a:cs typeface="+mn-cs"/>
                          </a:rPr>
                          <m:t>+</m:t>
                        </m:r>
                        <m:r>
                          <a:rPr lang="en-US" sz="1100" i="1">
                            <a:solidFill>
                              <a:schemeClr val="dk1"/>
                            </a:solidFill>
                            <a:effectLst/>
                            <a:latin typeface="Cambria Math" panose="02040503050406030204" pitchFamily="18" charset="0"/>
                            <a:ea typeface="+mn-ea"/>
                            <a:cs typeface="+mn-cs"/>
                          </a:rPr>
                          <m:t>𝑆𝐴</m:t>
                        </m:r>
                        <m:r>
                          <a:rPr lang="en-US" sz="1100" b="0" i="1" baseline="-25000">
                            <a:solidFill>
                              <a:schemeClr val="dk1"/>
                            </a:solidFill>
                            <a:effectLst/>
                            <a:latin typeface="Cambria Math" panose="02040503050406030204" pitchFamily="18" charset="0"/>
                            <a:ea typeface="+mn-ea"/>
                            <a:cs typeface="+mn-cs"/>
                          </a:rPr>
                          <m:t>𝑡𝑜𝑝</m:t>
                        </m:r>
                      </m:num>
                      <m:den>
                        <m:r>
                          <a:rPr lang="en-US" sz="1200" i="1">
                            <a:solidFill>
                              <a:schemeClr val="dk1"/>
                            </a:solidFill>
                            <a:effectLst/>
                            <a:latin typeface="Cambria Math" panose="02040503050406030204" pitchFamily="18" charset="0"/>
                            <a:ea typeface="+mn-ea"/>
                            <a:cs typeface="+mn-cs"/>
                          </a:rPr>
                          <m:t>2</m:t>
                        </m:r>
                      </m:den>
                    </m:f>
                  </m:oMath>
                </m:oMathPara>
              </a14:m>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where:  	</a:t>
              </a:r>
              <a:r>
                <a:rPr lang="en-US" sz="1100" i="1">
                  <a:solidFill>
                    <a:schemeClr val="dk1"/>
                  </a:solidFill>
                  <a:effectLst/>
                  <a:latin typeface="+mn-lt"/>
                  <a:ea typeface="+mn-ea"/>
                  <a:cs typeface="+mn-cs"/>
                </a:rPr>
                <a:t>SA</a:t>
              </a:r>
              <a:r>
                <a:rPr lang="en-US" sz="1100" i="1" baseline="-25000">
                  <a:solidFill>
                    <a:schemeClr val="dk1"/>
                  </a:solidFill>
                  <a:effectLst/>
                  <a:latin typeface="+mn-lt"/>
                  <a:ea typeface="+mn-ea"/>
                  <a:cs typeface="+mn-cs"/>
                </a:rPr>
                <a:t>top</a:t>
              </a:r>
              <a:r>
                <a:rPr lang="en-US" sz="1100">
                  <a:solidFill>
                    <a:schemeClr val="dk1"/>
                  </a:solidFill>
                  <a:effectLst/>
                  <a:latin typeface="+mn-lt"/>
                  <a:ea typeface="+mn-ea"/>
                  <a:cs typeface="+mn-cs"/>
                </a:rPr>
                <a:t>   =  top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endParaRPr lang="en-US" sz="1100">
                <a:solidFill>
                  <a:schemeClr val="dk1"/>
                </a:solidFill>
                <a:effectLst/>
                <a:latin typeface="+mn-lt"/>
                <a:ea typeface="+mn-ea"/>
                <a:cs typeface="+mn-cs"/>
              </a:endParaRPr>
            </a:p>
            <a:p>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endParaRPr lang="en-US" sz="1200" b="1"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Dry swales </a:t>
              </a:r>
              <a:r>
                <a:rPr lang="en-US" sz="1100" b="0" baseline="0">
                  <a:solidFill>
                    <a:schemeClr val="dk1"/>
                  </a:solidFill>
                  <a:effectLst/>
                  <a:latin typeface="+mn-lt"/>
                  <a:ea typeface="+mn-ea"/>
                  <a:cs typeface="+mn-cs"/>
                </a:rPr>
                <a:t>retain 60% of their storage volume, therefore:</a:t>
              </a:r>
            </a:p>
            <a:p>
              <a:endParaRPr lang="en-US" sz="12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=0.6×</m:t>
                    </m:r>
                    <m:r>
                      <a:rPr lang="en-US" sz="1200" b="0" i="1">
                        <a:solidFill>
                          <a:schemeClr val="dk1"/>
                        </a:solidFill>
                        <a:effectLst/>
                        <a:latin typeface="Cambria Math" panose="02040503050406030204" pitchFamily="18" charset="0"/>
                        <a:ea typeface="+mn-ea"/>
                        <a:cs typeface="+mn-cs"/>
                      </a:rPr>
                      <m:t>𝑆𝑣</m:t>
                    </m:r>
                  </m:oMath>
                </m:oMathPara>
              </a14:m>
              <a:endParaRPr lang="en-US" sz="1200" b="0">
                <a:solidFill>
                  <a:schemeClr val="dk1"/>
                </a:solidFill>
                <a:effectLst/>
                <a:ea typeface="+mn-ea"/>
                <a:cs typeface="+mn-cs"/>
              </a:endParaRPr>
            </a:p>
            <a:p>
              <a:endParaRPr lang="en-US" sz="120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668C0074-958E-4836-A292-F6E755F2CF30}"/>
                </a:ext>
              </a:extLst>
            </xdr:cNvPr>
            <xdr:cNvSpPr txBox="1"/>
          </xdr:nvSpPr>
          <xdr:spPr>
            <a:xfrm>
              <a:off x="609600" y="182880"/>
              <a:ext cx="7376160" cy="480822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3.9</a:t>
              </a:r>
              <a:r>
                <a:rPr lang="en-US" sz="1100" b="1" baseline="0">
                  <a:solidFill>
                    <a:schemeClr val="dk1"/>
                  </a:solidFill>
                  <a:effectLst/>
                  <a:latin typeface="+mn-lt"/>
                  <a:ea typeface="+mn-ea"/>
                  <a:cs typeface="+mn-cs"/>
                </a:rPr>
                <a:t> O-2 DRY SWALE</a:t>
              </a:r>
              <a:endParaRPr lang="en-US"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Open Channel</a:t>
              </a:r>
              <a:r>
                <a:rPr lang="en-US" sz="1100" b="1" baseline="0">
                  <a:solidFill>
                    <a:schemeClr val="dk1"/>
                  </a:solidFill>
                  <a:effectLst/>
                  <a:latin typeface="+mn-lt"/>
                  <a:ea typeface="+mn-ea"/>
                  <a:cs typeface="+mn-cs"/>
                </a:rPr>
                <a:t> Type O-2</a:t>
              </a:r>
              <a:r>
                <a:rPr lang="en-US" sz="1200" b="1">
                  <a:solidFill>
                    <a:schemeClr val="dk1"/>
                  </a:solidFill>
                  <a:effectLst/>
                  <a:latin typeface="+mn-lt"/>
                  <a:ea typeface="+mn-ea"/>
                  <a:cs typeface="+mn-cs"/>
                </a:rPr>
                <a:t> Storage Volume</a:t>
              </a:r>
            </a:p>
            <a:p>
              <a:pPr algn="ctr"/>
              <a:r>
                <a:rPr lang="en-US" sz="1200">
                  <a:solidFill>
                    <a:schemeClr val="dk1"/>
                  </a:solidFill>
                  <a:effectLst/>
                  <a:latin typeface="+mn-lt"/>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𝑆𝑣</a:t>
              </a:r>
              <a:r>
                <a:rPr lang="en-US" sz="1200" i="0">
                  <a:solidFill>
                    <a:schemeClr val="dk1"/>
                  </a:solidFill>
                  <a:effectLst/>
                  <a:latin typeface="Cambria Math" panose="02040503050406030204" pitchFamily="18" charset="0"/>
                  <a:ea typeface="+mn-ea"/>
                  <a:cs typeface="+mn-cs"/>
                </a:rPr>
                <a:t>=〖𝑆𝐴〗_𝑏𝑜𝑡𝑡𝑜𝑚×[(𝑑_𝑚𝑒𝑑𝑖𝑎×𝜂_𝑚𝑒𝑑𝑖𝑎 )+(𝑑_𝑔𝑟𝑎𝑣𝑒𝑙×𝜂_𝑔𝑟𝑎𝑣𝑒𝑙 )]+(〖𝑆𝐴〗_𝑎𝑣𝑒𝑟𝑎𝑔𝑒×𝑑_𝑝𝑜𝑛𝑑𝑖𝑛𝑔)</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dry swale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bottom</a:t>
              </a:r>
              <a:r>
                <a:rPr lang="en-US" sz="1100">
                  <a:solidFill>
                    <a:schemeClr val="dk1"/>
                  </a:solidFill>
                  <a:effectLst/>
                  <a:latin typeface="+mn-lt"/>
                  <a:ea typeface="+mn-ea"/>
                  <a:cs typeface="+mn-cs"/>
                </a:rPr>
                <a:t>   =  bottom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depth of the filter media, including mulch layer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media</a:t>
              </a:r>
              <a:r>
                <a:rPr lang="en-US" sz="1100">
                  <a:solidFill>
                    <a:schemeClr val="dk1"/>
                  </a:solidFill>
                  <a:effectLst/>
                  <a:latin typeface="+mn-lt"/>
                  <a:ea typeface="+mn-ea"/>
                  <a:cs typeface="+mn-cs"/>
                </a:rPr>
                <a:t>       =  effective porosity of the filter media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depth of the underdrain and underground storage gravel layer, including choker stone (ft)</a:t>
              </a:r>
            </a:p>
            <a:p>
              <a:r>
                <a:rPr lang="en-US" sz="1100" i="1">
                  <a:solidFill>
                    <a:schemeClr val="dk1"/>
                  </a:solidFill>
                  <a:effectLst/>
                  <a:latin typeface="+mn-lt"/>
                  <a:ea typeface="+mn-ea"/>
                  <a:cs typeface="+mn-cs"/>
                </a:rPr>
                <a:t>	η</a:t>
              </a:r>
              <a:r>
                <a:rPr lang="en-US" sz="1100" i="1" baseline="-25000">
                  <a:solidFill>
                    <a:schemeClr val="dk1"/>
                  </a:solidFill>
                  <a:effectLst/>
                  <a:latin typeface="+mn-lt"/>
                  <a:ea typeface="+mn-ea"/>
                  <a:cs typeface="+mn-cs"/>
                </a:rPr>
                <a:t>gravel</a:t>
              </a:r>
              <a:r>
                <a:rPr lang="en-US" sz="1100">
                  <a:solidFill>
                    <a:schemeClr val="dk1"/>
                  </a:solidFill>
                  <a:effectLst/>
                  <a:latin typeface="+mn-lt"/>
                  <a:ea typeface="+mn-ea"/>
                  <a:cs typeface="+mn-cs"/>
                </a:rPr>
                <a:t>       =  effective porosity of the gravel layer </a:t>
              </a:r>
            </a:p>
            <a:p>
              <a:r>
                <a:rPr lang="en-US" sz="1100" i="1">
                  <a:solidFill>
                    <a:schemeClr val="dk1"/>
                  </a:solidFill>
                  <a:effectLst/>
                  <a:latin typeface="+mn-lt"/>
                  <a:ea typeface="+mn-ea"/>
                  <a:cs typeface="+mn-cs"/>
                </a:rPr>
                <a:t>	d</a:t>
              </a:r>
              <a:r>
                <a:rPr lang="en-US" sz="1100" i="1" baseline="-25000">
                  <a:solidFill>
                    <a:schemeClr val="dk1"/>
                  </a:solidFill>
                  <a:effectLst/>
                  <a:latin typeface="+mn-lt"/>
                  <a:ea typeface="+mn-ea"/>
                  <a:cs typeface="+mn-cs"/>
                </a:rPr>
                <a:t>ponding</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maximum ponding depth of dry swale (ft)</a:t>
              </a:r>
              <a:endParaRPr lang="en-US">
                <a:effectLst/>
              </a:endParaRPr>
            </a:p>
            <a:p>
              <a:r>
                <a:rPr lang="en-US" sz="1100" i="1">
                  <a:solidFill>
                    <a:schemeClr val="dk1"/>
                  </a:solidFill>
                  <a:effectLst/>
                  <a:latin typeface="+mn-lt"/>
                  <a:ea typeface="+mn-ea"/>
                  <a:cs typeface="+mn-cs"/>
                </a:rPr>
                <a:t>	SA</a:t>
              </a:r>
              <a:r>
                <a:rPr lang="en-US" sz="1100" i="1" baseline="-25000">
                  <a:solidFill>
                    <a:schemeClr val="dk1"/>
                  </a:solidFill>
                  <a:effectLst/>
                  <a:latin typeface="+mn-lt"/>
                  <a:ea typeface="+mn-ea"/>
                  <a:cs typeface="+mn-cs"/>
                </a:rPr>
                <a:t>average</a:t>
              </a:r>
              <a:r>
                <a:rPr lang="en-US" sz="1100">
                  <a:solidFill>
                    <a:schemeClr val="dk1"/>
                  </a:solidFill>
                  <a:effectLst/>
                  <a:latin typeface="+mn-lt"/>
                  <a:ea typeface="+mn-ea"/>
                  <a:cs typeface="+mn-cs"/>
                </a:rPr>
                <a:t>   =  average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Typically,</a:t>
              </a:r>
            </a:p>
            <a:p>
              <a:pPr marL="0" marR="0" lvl="0" indent="0" defTabSz="914400" eaLnBrk="1" fontAlgn="auto" latinLnBrk="0" hangingPunct="1">
                <a:lnSpc>
                  <a:spcPct val="100000"/>
                </a:lnSpc>
                <a:spcBef>
                  <a:spcPts val="0"/>
                </a:spcBef>
                <a:spcAft>
                  <a:spcPts val="0"/>
                </a:spcAft>
                <a:buClrTx/>
                <a:buSzTx/>
                <a:buFontTx/>
                <a:buNone/>
                <a:tabLst/>
                <a:defRPr/>
              </a:pPr>
              <a:r>
                <a:rPr lang="en-US" sz="1200" i="0">
                  <a:solidFill>
                    <a:schemeClr val="dk1"/>
                  </a:solidFill>
                  <a:effectLst/>
                  <a:latin typeface="Cambria Math" panose="02040503050406030204" pitchFamily="18" charset="0"/>
                  <a:ea typeface="+mn-ea"/>
                  <a:cs typeface="+mn-cs"/>
                </a:rPr>
                <a:t>𝑆</a:t>
              </a:r>
              <a:r>
                <a:rPr lang="en-US" sz="1200" b="0" i="0">
                  <a:solidFill>
                    <a:schemeClr val="dk1"/>
                  </a:solidFill>
                  <a:effectLst/>
                  <a:latin typeface="Cambria Math" panose="02040503050406030204" pitchFamily="18" charset="0"/>
                  <a:ea typeface="+mn-ea"/>
                  <a:cs typeface="+mn-cs"/>
                </a:rPr>
                <a:t>𝐴</a:t>
              </a:r>
              <a:r>
                <a:rPr lang="en-US" sz="1200" b="0" i="0" baseline="-25000">
                  <a:solidFill>
                    <a:schemeClr val="dk1"/>
                  </a:solidFill>
                  <a:effectLst/>
                  <a:latin typeface="Cambria Math" panose="02040503050406030204" pitchFamily="18" charset="0"/>
                  <a:ea typeface="+mn-ea"/>
                  <a:cs typeface="+mn-cs"/>
                </a:rPr>
                <a:t>𝑎𝑣𝑒𝑟𝑎𝑔𝑒</a:t>
              </a:r>
              <a:r>
                <a:rPr lang="en-US" sz="1200" i="0">
                  <a:solidFill>
                    <a:schemeClr val="dk1"/>
                  </a:solidFill>
                  <a:effectLst/>
                  <a:latin typeface="Cambria Math" panose="02040503050406030204" pitchFamily="18" charset="0"/>
                  <a:ea typeface="+mn-ea"/>
                  <a:cs typeface="+mn-cs"/>
                </a:rPr>
                <a:t>=(𝑆𝐴</a:t>
              </a:r>
              <a:r>
                <a:rPr lang="en-US" sz="1200" b="0" i="0" baseline="-25000">
                  <a:solidFill>
                    <a:schemeClr val="dk1"/>
                  </a:solidFill>
                  <a:effectLst/>
                  <a:latin typeface="Cambria Math" panose="02040503050406030204" pitchFamily="18" charset="0"/>
                  <a:ea typeface="+mn-ea"/>
                  <a:cs typeface="+mn-cs"/>
                </a:rPr>
                <a:t>𝑏𝑜𝑡𝑡𝑜𝑚</a:t>
              </a:r>
              <a:r>
                <a:rPr lang="en-US" sz="1200" b="0" i="0">
                  <a:solidFill>
                    <a:schemeClr val="dk1"/>
                  </a:solidFill>
                  <a:effectLst/>
                  <a:latin typeface="Cambria Math" panose="02040503050406030204" pitchFamily="18" charset="0"/>
                  <a:ea typeface="+mn-ea"/>
                  <a:cs typeface="+mn-cs"/>
                </a:rPr>
                <a:t>+</a:t>
              </a:r>
              <a:r>
                <a:rPr lang="en-US" sz="1100" i="0">
                  <a:solidFill>
                    <a:schemeClr val="dk1"/>
                  </a:solidFill>
                  <a:effectLst/>
                  <a:latin typeface="Cambria Math" panose="02040503050406030204" pitchFamily="18" charset="0"/>
                  <a:ea typeface="+mn-ea"/>
                  <a:cs typeface="+mn-cs"/>
                </a:rPr>
                <a:t>𝑆𝐴</a:t>
              </a:r>
              <a:r>
                <a:rPr lang="en-US" sz="1100" b="0" i="0" baseline="-25000">
                  <a:solidFill>
                    <a:schemeClr val="dk1"/>
                  </a:solidFill>
                  <a:effectLst/>
                  <a:latin typeface="Cambria Math" panose="02040503050406030204" pitchFamily="18" charset="0"/>
                  <a:ea typeface="+mn-ea"/>
                  <a:cs typeface="+mn-cs"/>
                </a:rPr>
                <a:t>𝑡𝑜𝑝</a:t>
              </a:r>
              <a:r>
                <a:rPr lang="en-US" sz="1200" b="0" i="0" baseline="-25000">
                  <a:solidFill>
                    <a:schemeClr val="dk1"/>
                  </a:solidFill>
                  <a:effectLst/>
                  <a:latin typeface="Cambria Math" panose="02040503050406030204" pitchFamily="18" charset="0"/>
                  <a:ea typeface="+mn-ea"/>
                  <a:cs typeface="+mn-cs"/>
                </a:rPr>
                <a:t>)/</a:t>
              </a:r>
              <a:r>
                <a:rPr lang="en-US" sz="1200" i="0">
                  <a:solidFill>
                    <a:schemeClr val="dk1"/>
                  </a:solidFill>
                  <a:effectLst/>
                  <a:latin typeface="Cambria Math" panose="02040503050406030204" pitchFamily="18" charset="0"/>
                  <a:ea typeface="+mn-ea"/>
                  <a:cs typeface="+mn-cs"/>
                </a:rPr>
                <a:t>2</a:t>
              </a:r>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where:  	</a:t>
              </a:r>
              <a:r>
                <a:rPr lang="en-US" sz="1100" i="1">
                  <a:solidFill>
                    <a:schemeClr val="dk1"/>
                  </a:solidFill>
                  <a:effectLst/>
                  <a:latin typeface="+mn-lt"/>
                  <a:ea typeface="+mn-ea"/>
                  <a:cs typeface="+mn-cs"/>
                </a:rPr>
                <a:t>SA</a:t>
              </a:r>
              <a:r>
                <a:rPr lang="en-US" sz="1100" i="1" baseline="-25000">
                  <a:solidFill>
                    <a:schemeClr val="dk1"/>
                  </a:solidFill>
                  <a:effectLst/>
                  <a:latin typeface="+mn-lt"/>
                  <a:ea typeface="+mn-ea"/>
                  <a:cs typeface="+mn-cs"/>
                </a:rPr>
                <a:t>top</a:t>
              </a:r>
              <a:r>
                <a:rPr lang="en-US" sz="1100">
                  <a:solidFill>
                    <a:schemeClr val="dk1"/>
                  </a:solidFill>
                  <a:effectLst/>
                  <a:latin typeface="+mn-lt"/>
                  <a:ea typeface="+mn-ea"/>
                  <a:cs typeface="+mn-cs"/>
                </a:rPr>
                <a:t>   =  top surface area of dry swale (ft</a:t>
              </a:r>
              <a:r>
                <a:rPr lang="en-US" sz="1100" baseline="30000">
                  <a:solidFill>
                    <a:schemeClr val="dk1"/>
                  </a:solidFill>
                  <a:effectLst/>
                  <a:latin typeface="+mn-lt"/>
                  <a:ea typeface="+mn-ea"/>
                  <a:cs typeface="+mn-cs"/>
                </a:rPr>
                <a:t>2</a:t>
              </a:r>
              <a:r>
                <a:rPr lang="en-US" sz="1100">
                  <a:solidFill>
                    <a:schemeClr val="dk1"/>
                  </a:solidFill>
                  <a:effectLst/>
                  <a:latin typeface="+mn-lt"/>
                  <a:ea typeface="+mn-ea"/>
                  <a:cs typeface="+mn-cs"/>
                </a:rPr>
                <a:t>)</a:t>
              </a:r>
              <a:endParaRPr lang="en-US">
                <a:effectLst/>
              </a:endParaRPr>
            </a:p>
            <a:p>
              <a:endParaRPr lang="en-US" sz="1100">
                <a:solidFill>
                  <a:schemeClr val="dk1"/>
                </a:solidFill>
                <a:effectLst/>
                <a:latin typeface="+mn-lt"/>
                <a:ea typeface="+mn-ea"/>
                <a:cs typeface="+mn-cs"/>
              </a:endParaRPr>
            </a:p>
            <a:p>
              <a:endParaRPr lang="en-US" sz="1400" b="1" baseline="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endParaRPr lang="en-US" sz="1200" b="1" baseline="0">
                <a:solidFill>
                  <a:schemeClr val="dk1"/>
                </a:solidFill>
                <a:effectLst/>
                <a:latin typeface="+mn-lt"/>
                <a:ea typeface="+mn-ea"/>
                <a:cs typeface="+mn-cs"/>
              </a:endParaRPr>
            </a:p>
            <a:p>
              <a:r>
                <a:rPr lang="en-US" sz="1200" b="1" baseline="0">
                  <a:solidFill>
                    <a:schemeClr val="dk1"/>
                  </a:solidFill>
                  <a:effectLst/>
                  <a:latin typeface="+mn-lt"/>
                  <a:ea typeface="+mn-ea"/>
                  <a:cs typeface="+mn-cs"/>
                </a:rPr>
                <a:t>Dry swales </a:t>
              </a:r>
              <a:r>
                <a:rPr lang="en-US" sz="1100" b="0" baseline="0">
                  <a:solidFill>
                    <a:schemeClr val="dk1"/>
                  </a:solidFill>
                  <a:effectLst/>
                  <a:latin typeface="+mn-lt"/>
                  <a:ea typeface="+mn-ea"/>
                  <a:cs typeface="+mn-cs"/>
                </a:rPr>
                <a:t>retain 60% of their storage volume, therefore:</a:t>
              </a:r>
            </a:p>
            <a:p>
              <a:endParaRPr lang="en-US" sz="12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𝑣=0.6×</a:t>
              </a:r>
              <a:r>
                <a:rPr lang="en-US" sz="1200" b="0" i="0">
                  <a:solidFill>
                    <a:schemeClr val="dk1"/>
                  </a:solidFill>
                  <a:effectLst/>
                  <a:latin typeface="Cambria Math" panose="02040503050406030204" pitchFamily="18" charset="0"/>
                  <a:ea typeface="+mn-ea"/>
                  <a:cs typeface="+mn-cs"/>
                </a:rPr>
                <a:t>𝑆𝑣</a:t>
              </a:r>
              <a:endParaRPr lang="en-US" sz="1200" b="0">
                <a:solidFill>
                  <a:schemeClr val="dk1"/>
                </a:solidFill>
                <a:effectLst/>
                <a:ea typeface="+mn-ea"/>
                <a:cs typeface="+mn-cs"/>
              </a:endParaRPr>
            </a:p>
            <a:p>
              <a:endParaRPr lang="en-US" sz="1200">
                <a:solidFill>
                  <a:schemeClr val="dk1"/>
                </a:solidFill>
                <a:effectLst/>
                <a:latin typeface="+mn-lt"/>
                <a:ea typeface="+mn-ea"/>
                <a:cs typeface="+mn-cs"/>
              </a:endParaRPr>
            </a:p>
          </xdr:txBody>
        </xdr:sp>
      </mc:Fallback>
    </mc:AlternateContent>
    <xdr:clientData/>
  </xdr:twoCellAnchor>
  <xdr:twoCellAnchor>
    <xdr:from>
      <xdr:col>8</xdr:col>
      <xdr:colOff>289560</xdr:colOff>
      <xdr:row>28</xdr:row>
      <xdr:rowOff>0</xdr:rowOff>
    </xdr:from>
    <xdr:to>
      <xdr:col>12</xdr:col>
      <xdr:colOff>361950</xdr:colOff>
      <xdr:row>34</xdr:row>
      <xdr:rowOff>182880</xdr:rowOff>
    </xdr:to>
    <xdr:sp macro="[0]!ClearDataO2DrySwale" textlink="">
      <xdr:nvSpPr>
        <xdr:cNvPr id="3" name="Rectangle 2">
          <a:extLst>
            <a:ext uri="{FF2B5EF4-FFF2-40B4-BE49-F238E27FC236}">
              <a16:creationId xmlns:a16="http://schemas.microsoft.com/office/drawing/2014/main" id="{47754D89-F26A-45BD-BB0E-5BAE2682A385}"/>
            </a:ext>
          </a:extLst>
        </xdr:cNvPr>
        <xdr:cNvSpPr/>
      </xdr:nvSpPr>
      <xdr:spPr>
        <a:xfrm>
          <a:off x="9707880" y="5608320"/>
          <a:ext cx="2701290" cy="13944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a:t>Click Here to</a:t>
          </a:r>
          <a:r>
            <a:rPr lang="en-US" sz="2800" baseline="0"/>
            <a:t> Clear Entered Data</a:t>
          </a:r>
          <a:endParaRPr lang="en-US" sz="2800"/>
        </a:p>
      </xdr:txBody>
    </xdr:sp>
    <xdr:clientData/>
  </xdr:twoCellAnchor>
  <xdr:twoCellAnchor>
    <xdr:from>
      <xdr:col>7</xdr:col>
      <xdr:colOff>0</xdr:colOff>
      <xdr:row>0</xdr:row>
      <xdr:rowOff>185056</xdr:rowOff>
    </xdr:from>
    <xdr:to>
      <xdr:col>18</xdr:col>
      <xdr:colOff>0</xdr:colOff>
      <xdr:row>19</xdr:row>
      <xdr:rowOff>0</xdr:rowOff>
    </xdr:to>
    <xdr:grpSp>
      <xdr:nvGrpSpPr>
        <xdr:cNvPr id="8" name="Group 7">
          <a:extLst>
            <a:ext uri="{FF2B5EF4-FFF2-40B4-BE49-F238E27FC236}">
              <a16:creationId xmlns:a16="http://schemas.microsoft.com/office/drawing/2014/main" id="{C6E9239A-563B-410C-A63E-C2B944E61CEA}"/>
            </a:ext>
          </a:extLst>
        </xdr:cNvPr>
        <xdr:cNvGrpSpPr/>
      </xdr:nvGrpSpPr>
      <xdr:grpSpPr>
        <a:xfrm>
          <a:off x="9418320" y="185056"/>
          <a:ext cx="6286500" cy="3624944"/>
          <a:chOff x="9416143" y="185057"/>
          <a:chExt cx="5551714" cy="3037114"/>
        </a:xfrm>
      </xdr:grpSpPr>
      <xdr:sp macro="" textlink="">
        <xdr:nvSpPr>
          <xdr:cNvPr id="5" name="TextBox 4">
            <a:extLst>
              <a:ext uri="{FF2B5EF4-FFF2-40B4-BE49-F238E27FC236}">
                <a16:creationId xmlns:a16="http://schemas.microsoft.com/office/drawing/2014/main" id="{55B97A4C-E2A1-4BC2-97F6-8C563C0C2E60}"/>
              </a:ext>
            </a:extLst>
          </xdr:cNvPr>
          <xdr:cNvSpPr txBox="1"/>
        </xdr:nvSpPr>
        <xdr:spPr>
          <a:xfrm>
            <a:off x="9416143" y="185057"/>
            <a:ext cx="5551714" cy="303711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effectLst/>
                <a:latin typeface="Times New Roman" panose="02020603050405020304" pitchFamily="18" charset="0"/>
                <a:ea typeface="Calibri" panose="020F0502020204030204" pitchFamily="34" charset="0"/>
              </a:rPr>
              <a:t>Enhanced with underdrain dry swale </a:t>
            </a:r>
            <a:r>
              <a:rPr lang="en-US" sz="1400" b="1">
                <a:effectLst/>
                <a:latin typeface="Times New Roman" panose="02020603050405020304" pitchFamily="18" charset="0"/>
                <a:ea typeface="Calibri" panose="020F0502020204030204" pitchFamily="34" charset="0"/>
              </a:rPr>
              <a:t>design</a:t>
            </a:r>
            <a:r>
              <a:rPr lang="en-US" sz="1400" b="1" baseline="0">
                <a:effectLst/>
                <a:latin typeface="Times New Roman" panose="02020603050405020304" pitchFamily="18" charset="0"/>
                <a:ea typeface="Calibri" panose="020F0502020204030204" pitchFamily="34" charset="0"/>
              </a:rPr>
              <a:t> cross section</a:t>
            </a:r>
            <a:r>
              <a:rPr lang="en-US" sz="1400" b="1">
                <a:effectLst/>
                <a:latin typeface="Times New Roman" panose="02020603050405020304" pitchFamily="18" charset="0"/>
                <a:ea typeface="Calibri" panose="020F0502020204030204" pitchFamily="34" charset="0"/>
              </a:rPr>
              <a:t>.</a:t>
            </a:r>
            <a:endParaRPr lang="en-US" sz="1400" b="1"/>
          </a:p>
        </xdr:txBody>
      </xdr:sp>
      <xdr:pic>
        <xdr:nvPicPr>
          <xdr:cNvPr id="7" name="Picture 6">
            <a:extLst>
              <a:ext uri="{FF2B5EF4-FFF2-40B4-BE49-F238E27FC236}">
                <a16:creationId xmlns:a16="http://schemas.microsoft.com/office/drawing/2014/main" id="{E123FA09-F209-4DD0-BBD0-9DA0F9399A96}"/>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525" t="52673" r="3296" b="8199"/>
          <a:stretch/>
        </xdr:blipFill>
        <xdr:spPr>
          <a:xfrm>
            <a:off x="9429750" y="587828"/>
            <a:ext cx="5538107" cy="2547257"/>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0</xdr:rowOff>
    </xdr:from>
    <xdr:to>
      <xdr:col>7</xdr:col>
      <xdr:colOff>0</xdr:colOff>
      <xdr:row>18</xdr:row>
      <xdr:rowOff>0</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9216CB7B-7BE1-406E-843E-D0BEE41AEA0C}"/>
                </a:ext>
              </a:extLst>
            </xdr:cNvPr>
            <xdr:cNvSpPr txBox="1"/>
          </xdr:nvSpPr>
          <xdr:spPr>
            <a:xfrm>
              <a:off x="609600" y="182880"/>
              <a:ext cx="5631180" cy="276606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3.9</a:t>
              </a:r>
              <a:r>
                <a:rPr lang="en-US" sz="1400" b="1" baseline="0">
                  <a:solidFill>
                    <a:schemeClr val="dk1"/>
                  </a:solidFill>
                  <a:effectLst/>
                  <a:latin typeface="+mn-lt"/>
                  <a:ea typeface="+mn-ea"/>
                  <a:cs typeface="+mn-cs"/>
                </a:rPr>
                <a:t> O-3 WET SWALE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Open Channel</a:t>
              </a:r>
              <a:r>
                <a:rPr lang="en-US" sz="1200" b="1" baseline="0">
                  <a:solidFill>
                    <a:schemeClr val="dk1"/>
                  </a:solidFill>
                  <a:effectLst/>
                  <a:latin typeface="+mn-lt"/>
                  <a:ea typeface="+mn-ea"/>
                  <a:cs typeface="+mn-cs"/>
                </a:rPr>
                <a:t> Type O-3 S</a:t>
              </a:r>
              <a:r>
                <a:rPr lang="en-US" sz="1200" b="1">
                  <a:solidFill>
                    <a:schemeClr val="dk1"/>
                  </a:solidFill>
                  <a:effectLst/>
                  <a:latin typeface="+mn-lt"/>
                  <a:ea typeface="+mn-ea"/>
                  <a:cs typeface="+mn-cs"/>
                </a:rPr>
                <a:t>torage Volume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algn="ctr"/>
              <a14:m>
                <m:oMathPara xmlns:m="http://schemas.openxmlformats.org/officeDocument/2006/math">
                  <m:oMathParaPr>
                    <m:jc m:val="centerGroup"/>
                  </m:oMathParaPr>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sSub>
                      <m:sSubPr>
                        <m:ctrlPr>
                          <a:rPr lang="en-US" sz="1200" i="1" baseline="0">
                            <a:solidFill>
                              <a:schemeClr val="dk1"/>
                            </a:solidFill>
                            <a:effectLst/>
                            <a:latin typeface="Cambria Math" panose="02040503050406030204" pitchFamily="18" charset="0"/>
                            <a:ea typeface="+mn-ea"/>
                            <a:cs typeface="+mn-cs"/>
                          </a:rPr>
                        </m:ctrlPr>
                      </m:sSubPr>
                      <m:e>
                        <m:r>
                          <a:rPr lang="en-US" sz="1200" i="1" baseline="0">
                            <a:solidFill>
                              <a:schemeClr val="dk1"/>
                            </a:solidFill>
                            <a:effectLst/>
                            <a:latin typeface="Cambria Math" panose="02040503050406030204" pitchFamily="18" charset="0"/>
                            <a:ea typeface="+mn-ea"/>
                            <a:cs typeface="+mn-cs"/>
                          </a:rPr>
                          <m:t>𝑆</m:t>
                        </m:r>
                      </m:e>
                      <m:sub>
                        <m:r>
                          <a:rPr lang="en-US" sz="1200" b="0" i="1" baseline="0">
                            <a:solidFill>
                              <a:schemeClr val="dk1"/>
                            </a:solidFill>
                            <a:effectLst/>
                            <a:latin typeface="Cambria Math" panose="02040503050406030204" pitchFamily="18" charset="0"/>
                            <a:ea typeface="+mn-ea"/>
                            <a:cs typeface="+mn-cs"/>
                          </a:rPr>
                          <m:t>𝑝𝑜𝑜𝑙</m:t>
                        </m:r>
                      </m:sub>
                    </m:sSub>
                    <m:r>
                      <a:rPr lang="en-US" sz="1200" i="1">
                        <a:solidFill>
                          <a:schemeClr val="dk1"/>
                        </a:solidFill>
                        <a:effectLst/>
                        <a:latin typeface="Cambria Math" panose="02040503050406030204" pitchFamily="18" charset="0"/>
                        <a:ea typeface="+mn-ea"/>
                        <a:cs typeface="+mn-cs"/>
                      </a:rPr>
                      <m:t>+</m:t>
                    </m:r>
                    <m:sSub>
                      <m:sSubPr>
                        <m:ctrlPr>
                          <a:rPr lang="en-US" sz="1200" i="1" baseline="0">
                            <a:solidFill>
                              <a:schemeClr val="dk1"/>
                            </a:solidFill>
                            <a:effectLst/>
                            <a:latin typeface="Cambria Math" panose="02040503050406030204" pitchFamily="18" charset="0"/>
                            <a:ea typeface="+mn-ea"/>
                            <a:cs typeface="+mn-cs"/>
                          </a:rPr>
                        </m:ctrlPr>
                      </m:sSubPr>
                      <m:e>
                        <m:r>
                          <a:rPr lang="en-US" sz="1200" b="0" i="1" baseline="0">
                            <a:solidFill>
                              <a:schemeClr val="dk1"/>
                            </a:solidFill>
                            <a:effectLst/>
                            <a:latin typeface="Cambria Math" panose="02040503050406030204" pitchFamily="18" charset="0"/>
                            <a:ea typeface="+mn-ea"/>
                            <a:cs typeface="+mn-cs"/>
                          </a:rPr>
                          <m:t>𝐸𝐷</m:t>
                        </m:r>
                      </m:e>
                      <m:sub>
                        <m:r>
                          <a:rPr lang="en-US" sz="1200" b="0" i="1" baseline="0">
                            <a:solidFill>
                              <a:schemeClr val="dk1"/>
                            </a:solidFill>
                            <a:effectLst/>
                            <a:latin typeface="Cambria Math" panose="02040503050406030204" pitchFamily="18" charset="0"/>
                            <a:ea typeface="+mn-ea"/>
                            <a:cs typeface="+mn-cs"/>
                          </a:rPr>
                          <m:t>24</m:t>
                        </m:r>
                        <m:r>
                          <a:rPr lang="en-US" sz="1200" b="0" i="1" baseline="0">
                            <a:solidFill>
                              <a:schemeClr val="dk1"/>
                            </a:solidFill>
                            <a:effectLst/>
                            <a:latin typeface="Cambria Math" panose="02040503050406030204" pitchFamily="18" charset="0"/>
                            <a:ea typeface="+mn-ea"/>
                            <a:cs typeface="+mn-cs"/>
                          </a:rPr>
                          <m:t>h𝑟</m:t>
                        </m:r>
                      </m:sub>
                    </m:sSub>
                  </m:oMath>
                </m:oMathPara>
              </a14:m>
              <a:endParaRPr lang="en-US" sz="12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wet swale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S</a:t>
              </a:r>
              <a:r>
                <a:rPr lang="en-US" sz="1100" i="1" baseline="-25000">
                  <a:solidFill>
                    <a:schemeClr val="dk1"/>
                  </a:solidFill>
                  <a:effectLst/>
                  <a:latin typeface="+mn-lt"/>
                  <a:ea typeface="+mn-ea"/>
                  <a:cs typeface="+mn-cs"/>
                </a:rPr>
                <a:t>pool</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  volume of permanent pool in wet</a:t>
              </a:r>
              <a:r>
                <a:rPr lang="en-US" sz="1100" baseline="0">
                  <a:solidFill>
                    <a:schemeClr val="dk1"/>
                  </a:solidFill>
                  <a:effectLst/>
                  <a:latin typeface="+mn-lt"/>
                  <a:ea typeface="+mn-ea"/>
                  <a:cs typeface="+mn-cs"/>
                </a:rPr>
                <a:t> swale pond</a:t>
              </a:r>
              <a:r>
                <a:rPr lang="en-US" sz="1100">
                  <a:solidFill>
                    <a:schemeClr val="dk1"/>
                  </a:solidFill>
                  <a:effectLst/>
                  <a:latin typeface="+mn-lt"/>
                  <a:ea typeface="+mn-ea"/>
                  <a:cs typeface="+mn-cs"/>
                </a:rPr>
                <a:t>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r>
                <a:rPr lang="en-US" sz="1100">
                  <a:solidFill>
                    <a:schemeClr val="dk1"/>
                  </a:solidFill>
                  <a:effectLst/>
                  <a:latin typeface="+mn-lt"/>
                  <a:ea typeface="+mn-ea"/>
                  <a:cs typeface="+mn-cs"/>
                </a:rPr>
                <a:t>	ED</a:t>
              </a:r>
              <a:r>
                <a:rPr lang="en-US" sz="1100" baseline="-25000">
                  <a:solidFill>
                    <a:schemeClr val="dk1"/>
                  </a:solidFill>
                  <a:effectLst/>
                  <a:latin typeface="+mn-lt"/>
                  <a:ea typeface="+mn-ea"/>
                  <a:cs typeface="+mn-cs"/>
                </a:rPr>
                <a:t>24hr</a:t>
              </a:r>
              <a:r>
                <a:rPr lang="en-US" sz="1100">
                  <a:solidFill>
                    <a:schemeClr val="dk1"/>
                  </a:solidFill>
                  <a:effectLst/>
                  <a:latin typeface="+mn-lt"/>
                  <a:ea typeface="+mn-ea"/>
                  <a:cs typeface="+mn-cs"/>
                </a:rPr>
                <a:t>      =  volume of permanent pool in wet</a:t>
              </a:r>
              <a:r>
                <a:rPr lang="en-US" sz="1100" baseline="0">
                  <a:solidFill>
                    <a:schemeClr val="dk1"/>
                  </a:solidFill>
                  <a:effectLst/>
                  <a:latin typeface="+mn-lt"/>
                  <a:ea typeface="+mn-ea"/>
                  <a:cs typeface="+mn-cs"/>
                </a:rPr>
                <a:t> swale pond</a:t>
              </a:r>
              <a:r>
                <a:rPr lang="en-US" sz="1100">
                  <a:solidFill>
                    <a:schemeClr val="dk1"/>
                  </a:solidFill>
                  <a:effectLst/>
                  <a:latin typeface="+mn-lt"/>
                  <a:ea typeface="+mn-ea"/>
                  <a:cs typeface="+mn-cs"/>
                </a:rPr>
                <a:t>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sz="1100" baseline="-25000">
                <a:solidFill>
                  <a:schemeClr val="dk1"/>
                </a:solidFill>
                <a:effectLst/>
                <a:latin typeface="+mn-lt"/>
                <a:ea typeface="+mn-ea"/>
                <a:cs typeface="+mn-cs"/>
              </a:endParaRPr>
            </a:p>
            <a:p>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Wet swales </a:t>
              </a:r>
              <a:r>
                <a:rPr lang="en-US" sz="1100" b="0" baseline="0">
                  <a:solidFill>
                    <a:schemeClr val="dk1"/>
                  </a:solidFill>
                  <a:effectLst/>
                  <a:latin typeface="+mn-lt"/>
                  <a:ea typeface="+mn-ea"/>
                  <a:cs typeface="+mn-cs"/>
                </a:rPr>
                <a:t>retain 10% of their storage volume, therefore:</a:t>
              </a:r>
            </a:p>
            <a:p>
              <a:endParaRPr lang="en-US" sz="1100">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=0.1 </m:t>
                    </m:r>
                    <m:r>
                      <a:rPr lang="en-US" sz="1100" i="1">
                        <a:solidFill>
                          <a:schemeClr val="dk1"/>
                        </a:solidFill>
                        <a:effectLst/>
                        <a:latin typeface="Cambria Math" panose="02040503050406030204" pitchFamily="18" charset="0"/>
                        <a:ea typeface="+mn-ea"/>
                        <a:cs typeface="+mn-cs"/>
                      </a:rPr>
                      <m:t>×</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xdr:txBody>
        </xdr:sp>
      </mc:Choice>
      <mc:Fallback xmlns="">
        <xdr:sp macro="" textlink="">
          <xdr:nvSpPr>
            <xdr:cNvPr id="3" name="TextBox 2">
              <a:extLst>
                <a:ext uri="{FF2B5EF4-FFF2-40B4-BE49-F238E27FC236}">
                  <a16:creationId xmlns:a16="http://schemas.microsoft.com/office/drawing/2014/main" id="{9216CB7B-7BE1-406E-843E-D0BEE41AEA0C}"/>
                </a:ext>
              </a:extLst>
            </xdr:cNvPr>
            <xdr:cNvSpPr txBox="1"/>
          </xdr:nvSpPr>
          <xdr:spPr>
            <a:xfrm>
              <a:off x="609600" y="182880"/>
              <a:ext cx="5631180" cy="276606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3.9</a:t>
              </a:r>
              <a:r>
                <a:rPr lang="en-US" sz="1400" b="1" baseline="0">
                  <a:solidFill>
                    <a:schemeClr val="dk1"/>
                  </a:solidFill>
                  <a:effectLst/>
                  <a:latin typeface="+mn-lt"/>
                  <a:ea typeface="+mn-ea"/>
                  <a:cs typeface="+mn-cs"/>
                </a:rPr>
                <a:t> O-3 WET SWALE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dk1"/>
                  </a:solidFill>
                  <a:effectLst/>
                  <a:latin typeface="+mn-lt"/>
                  <a:ea typeface="+mn-ea"/>
                  <a:cs typeface="+mn-cs"/>
                </a:rPr>
                <a:t>Open Channel</a:t>
              </a:r>
              <a:r>
                <a:rPr lang="en-US" sz="1200" b="1" baseline="0">
                  <a:solidFill>
                    <a:schemeClr val="dk1"/>
                  </a:solidFill>
                  <a:effectLst/>
                  <a:latin typeface="+mn-lt"/>
                  <a:ea typeface="+mn-ea"/>
                  <a:cs typeface="+mn-cs"/>
                </a:rPr>
                <a:t> Type O-3 S</a:t>
              </a:r>
              <a:r>
                <a:rPr lang="en-US" sz="1200" b="1">
                  <a:solidFill>
                    <a:schemeClr val="dk1"/>
                  </a:solidFill>
                  <a:effectLst/>
                  <a:latin typeface="+mn-lt"/>
                  <a:ea typeface="+mn-ea"/>
                  <a:cs typeface="+mn-cs"/>
                </a:rPr>
                <a:t>torage Volume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a:solidFill>
                  <a:schemeClr val="dk1"/>
                </a:solidFill>
                <a:effectLst/>
                <a:latin typeface="+mn-lt"/>
                <a:ea typeface="+mn-ea"/>
                <a:cs typeface="+mn-cs"/>
              </a:endParaRPr>
            </a:p>
            <a:p>
              <a:pPr algn="ct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𝑆𝑣</a:t>
              </a:r>
              <a:r>
                <a:rPr lang="en-US" sz="1200" i="0">
                  <a:solidFill>
                    <a:schemeClr val="dk1"/>
                  </a:solidFill>
                  <a:effectLst/>
                  <a:latin typeface="Cambria Math" panose="02040503050406030204" pitchFamily="18" charset="0"/>
                  <a:ea typeface="+mn-ea"/>
                  <a:cs typeface="+mn-cs"/>
                </a:rPr>
                <a:t>=</a:t>
              </a:r>
              <a:r>
                <a:rPr lang="en-US" sz="1200" i="0" baseline="0">
                  <a:solidFill>
                    <a:schemeClr val="dk1"/>
                  </a:solidFill>
                  <a:effectLst/>
                  <a:latin typeface="Cambria Math" panose="02040503050406030204" pitchFamily="18" charset="0"/>
                  <a:ea typeface="+mn-ea"/>
                  <a:cs typeface="+mn-cs"/>
                </a:rPr>
                <a:t>𝑆_</a:t>
              </a:r>
              <a:r>
                <a:rPr lang="en-US" sz="1200" b="0" i="0" baseline="0">
                  <a:solidFill>
                    <a:schemeClr val="dk1"/>
                  </a:solidFill>
                  <a:effectLst/>
                  <a:latin typeface="Cambria Math" panose="02040503050406030204" pitchFamily="18" charset="0"/>
                  <a:ea typeface="+mn-ea"/>
                  <a:cs typeface="+mn-cs"/>
                </a:rPr>
                <a:t>𝑝𝑜𝑜𝑙</a:t>
              </a:r>
              <a:r>
                <a:rPr lang="en-US" sz="1200" i="0">
                  <a:solidFill>
                    <a:schemeClr val="dk1"/>
                  </a:solidFill>
                  <a:effectLst/>
                  <a:latin typeface="Cambria Math" panose="02040503050406030204" pitchFamily="18" charset="0"/>
                  <a:ea typeface="+mn-ea"/>
                  <a:cs typeface="+mn-cs"/>
                </a:rPr>
                <a:t>+</a:t>
              </a:r>
              <a:r>
                <a:rPr lang="en-US" sz="1200" i="0" baseline="0">
                  <a:solidFill>
                    <a:schemeClr val="dk1"/>
                  </a:solidFill>
                  <a:effectLst/>
                  <a:latin typeface="Cambria Math" panose="02040503050406030204" pitchFamily="18" charset="0"/>
                  <a:ea typeface="+mn-ea"/>
                  <a:cs typeface="+mn-cs"/>
                </a:rPr>
                <a:t>〖</a:t>
              </a:r>
              <a:r>
                <a:rPr lang="en-US" sz="1200" b="0" i="0" baseline="0">
                  <a:solidFill>
                    <a:schemeClr val="dk1"/>
                  </a:solidFill>
                  <a:effectLst/>
                  <a:latin typeface="Cambria Math" panose="02040503050406030204" pitchFamily="18" charset="0"/>
                  <a:ea typeface="+mn-ea"/>
                  <a:cs typeface="+mn-cs"/>
                </a:rPr>
                <a:t>𝐸𝐷〗_24ℎ𝑟</a:t>
              </a:r>
              <a:endParaRPr lang="en-US" sz="12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where:	</a:t>
              </a: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wet swale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	S</a:t>
              </a:r>
              <a:r>
                <a:rPr lang="en-US" sz="1100" i="1" baseline="-25000">
                  <a:solidFill>
                    <a:schemeClr val="dk1"/>
                  </a:solidFill>
                  <a:effectLst/>
                  <a:latin typeface="+mn-lt"/>
                  <a:ea typeface="+mn-ea"/>
                  <a:cs typeface="+mn-cs"/>
                </a:rPr>
                <a:t>pool</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  volume of permanent pool in wet</a:t>
              </a:r>
              <a:r>
                <a:rPr lang="en-US" sz="1100" baseline="0">
                  <a:solidFill>
                    <a:schemeClr val="dk1"/>
                  </a:solidFill>
                  <a:effectLst/>
                  <a:latin typeface="+mn-lt"/>
                  <a:ea typeface="+mn-ea"/>
                  <a:cs typeface="+mn-cs"/>
                </a:rPr>
                <a:t> swale pond</a:t>
              </a:r>
              <a:r>
                <a:rPr lang="en-US" sz="1100">
                  <a:solidFill>
                    <a:schemeClr val="dk1"/>
                  </a:solidFill>
                  <a:effectLst/>
                  <a:latin typeface="+mn-lt"/>
                  <a:ea typeface="+mn-ea"/>
                  <a:cs typeface="+mn-cs"/>
                </a:rPr>
                <a:t>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r>
                <a:rPr lang="en-US" sz="1100">
                  <a:solidFill>
                    <a:schemeClr val="dk1"/>
                  </a:solidFill>
                  <a:effectLst/>
                  <a:latin typeface="+mn-lt"/>
                  <a:ea typeface="+mn-ea"/>
                  <a:cs typeface="+mn-cs"/>
                </a:rPr>
                <a:t>	ED</a:t>
              </a:r>
              <a:r>
                <a:rPr lang="en-US" sz="1100" baseline="-25000">
                  <a:solidFill>
                    <a:schemeClr val="dk1"/>
                  </a:solidFill>
                  <a:effectLst/>
                  <a:latin typeface="+mn-lt"/>
                  <a:ea typeface="+mn-ea"/>
                  <a:cs typeface="+mn-cs"/>
                </a:rPr>
                <a:t>24hr</a:t>
              </a:r>
              <a:r>
                <a:rPr lang="en-US" sz="1100">
                  <a:solidFill>
                    <a:schemeClr val="dk1"/>
                  </a:solidFill>
                  <a:effectLst/>
                  <a:latin typeface="+mn-lt"/>
                  <a:ea typeface="+mn-ea"/>
                  <a:cs typeface="+mn-cs"/>
                </a:rPr>
                <a:t>      =  volume of permanent pool in wet</a:t>
              </a:r>
              <a:r>
                <a:rPr lang="en-US" sz="1100" baseline="0">
                  <a:solidFill>
                    <a:schemeClr val="dk1"/>
                  </a:solidFill>
                  <a:effectLst/>
                  <a:latin typeface="+mn-lt"/>
                  <a:ea typeface="+mn-ea"/>
                  <a:cs typeface="+mn-cs"/>
                </a:rPr>
                <a:t> swale pond</a:t>
              </a:r>
              <a:r>
                <a:rPr lang="en-US" sz="1100">
                  <a:solidFill>
                    <a:schemeClr val="dk1"/>
                  </a:solidFill>
                  <a:effectLst/>
                  <a:latin typeface="+mn-lt"/>
                  <a:ea typeface="+mn-ea"/>
                  <a:cs typeface="+mn-cs"/>
                </a:rPr>
                <a:t>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sz="1100" baseline="-25000">
                <a:solidFill>
                  <a:schemeClr val="dk1"/>
                </a:solidFill>
                <a:effectLst/>
                <a:latin typeface="+mn-lt"/>
                <a:ea typeface="+mn-ea"/>
                <a:cs typeface="+mn-cs"/>
              </a:endParaRPr>
            </a:p>
            <a:p>
              <a:r>
                <a:rPr lang="en-US" sz="1100" i="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200" b="1" baseline="0">
                  <a:solidFill>
                    <a:schemeClr val="dk1"/>
                  </a:solidFill>
                  <a:effectLst/>
                  <a:latin typeface="+mn-lt"/>
                  <a:ea typeface="+mn-ea"/>
                  <a:cs typeface="+mn-cs"/>
                </a:rPr>
                <a:t>Wet swales </a:t>
              </a:r>
              <a:r>
                <a:rPr lang="en-US" sz="1100" b="0" baseline="0">
                  <a:solidFill>
                    <a:schemeClr val="dk1"/>
                  </a:solidFill>
                  <a:effectLst/>
                  <a:latin typeface="+mn-lt"/>
                  <a:ea typeface="+mn-ea"/>
                  <a:cs typeface="+mn-cs"/>
                </a:rPr>
                <a:t>retain 10% of their storage volume, therefore:</a:t>
              </a:r>
            </a:p>
            <a:p>
              <a:endParaRPr lang="en-US" sz="1100">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𝑣=0.1 </a:t>
              </a:r>
              <a:r>
                <a:rPr lang="en-US" sz="1100" i="0">
                  <a:solidFill>
                    <a:schemeClr val="dk1"/>
                  </a:solidFill>
                  <a:effectLst/>
                  <a:latin typeface="Cambria Math" panose="02040503050406030204" pitchFamily="18" charset="0"/>
                  <a:ea typeface="+mn-ea"/>
                  <a:cs typeface="+mn-cs"/>
                </a:rPr>
                <a:t>×</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p>
            <a:p>
              <a:endParaRPr lang="en-US" sz="1200">
                <a:solidFill>
                  <a:schemeClr val="dk1"/>
                </a:solidFill>
                <a:effectLst/>
                <a:latin typeface="+mn-lt"/>
                <a:ea typeface="+mn-ea"/>
                <a:cs typeface="+mn-cs"/>
              </a:endParaRPr>
            </a:p>
          </xdr:txBody>
        </xdr:sp>
      </mc:Fallback>
    </mc:AlternateContent>
    <xdr:clientData/>
  </xdr:twoCellAnchor>
  <xdr:twoCellAnchor>
    <xdr:from>
      <xdr:col>9</xdr:col>
      <xdr:colOff>0</xdr:colOff>
      <xdr:row>18</xdr:row>
      <xdr:rowOff>0</xdr:rowOff>
    </xdr:from>
    <xdr:to>
      <xdr:col>12</xdr:col>
      <xdr:colOff>434340</xdr:colOff>
      <xdr:row>22</xdr:row>
      <xdr:rowOff>53340</xdr:rowOff>
    </xdr:to>
    <xdr:sp macro="[0]!ClearDataO3WetSwale" textlink="">
      <xdr:nvSpPr>
        <xdr:cNvPr id="4" name="Rectangle 3">
          <a:extLst>
            <a:ext uri="{FF2B5EF4-FFF2-40B4-BE49-F238E27FC236}">
              <a16:creationId xmlns:a16="http://schemas.microsoft.com/office/drawing/2014/main" id="{58E8FDEB-9D60-4941-B3E7-F776139CF416}"/>
            </a:ext>
          </a:extLst>
        </xdr:cNvPr>
        <xdr:cNvSpPr/>
      </xdr:nvSpPr>
      <xdr:spPr>
        <a:xfrm>
          <a:off x="7033260" y="3543300"/>
          <a:ext cx="2263140" cy="86868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 Here to</a:t>
          </a:r>
          <a:r>
            <a:rPr lang="en-US" sz="1800" baseline="0"/>
            <a:t> Clear Entered Data</a:t>
          </a:r>
          <a:endParaRPr lang="en-US" sz="18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0</xdr:colOff>
      <xdr:row>25</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580A0E8-1F76-4F8B-A99D-A5E446D362CE}"/>
                </a:ext>
              </a:extLst>
            </xdr:cNvPr>
            <xdr:cNvSpPr txBox="1"/>
          </xdr:nvSpPr>
          <xdr:spPr>
            <a:xfrm>
              <a:off x="609600" y="182880"/>
              <a:ext cx="4869180" cy="4366260"/>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3.10,</a:t>
              </a:r>
              <a:r>
                <a:rPr lang="en-US" sz="1800" b="1" baseline="0"/>
                <a:t> </a:t>
              </a:r>
              <a:r>
                <a:rPr lang="en-US" sz="1800" b="1"/>
                <a:t>3.11 STORMWATER PONDS</a:t>
              </a:r>
              <a:r>
                <a:rPr lang="en-US" sz="1800" b="1" baseline="0"/>
                <a:t> and </a:t>
              </a:r>
              <a:r>
                <a:rPr lang="en-US" sz="1800" b="1"/>
                <a:t>WETLANDS</a:t>
              </a:r>
              <a:endParaRPr lang="en-US" sz="1800" b="1" baseline="0"/>
            </a:p>
            <a:p>
              <a:endParaRPr lang="en-US" sz="1100" baseline="0"/>
            </a:p>
            <a:p>
              <a:r>
                <a:rPr lang="en-US" sz="1200" b="1">
                  <a:solidFill>
                    <a:schemeClr val="dk1"/>
                  </a:solidFill>
                  <a:effectLst/>
                  <a:latin typeface="+mn-lt"/>
                  <a:ea typeface="+mn-ea"/>
                  <a:cs typeface="+mn-cs"/>
                </a:rPr>
                <a:t>Pond Types:</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C-1	Micropool extended detention pond</a:t>
              </a:r>
            </a:p>
            <a:p>
              <a:r>
                <a:rPr lang="en-US" sz="1100">
                  <a:solidFill>
                    <a:schemeClr val="dk1"/>
                  </a:solidFill>
                  <a:effectLst/>
                  <a:latin typeface="+mn-lt"/>
                  <a:ea typeface="+mn-ea"/>
                  <a:cs typeface="+mn-cs"/>
                </a:rPr>
                <a:t>C-2	Wet pond</a:t>
              </a:r>
            </a:p>
            <a:p>
              <a:r>
                <a:rPr lang="en-US" sz="1100">
                  <a:solidFill>
                    <a:schemeClr val="dk1"/>
                  </a:solidFill>
                  <a:effectLst/>
                  <a:latin typeface="+mn-lt"/>
                  <a:ea typeface="+mn-ea"/>
                  <a:cs typeface="+mn-cs"/>
                </a:rPr>
                <a:t>C-3	Wet extended detention pond</a:t>
              </a:r>
            </a:p>
            <a:p>
              <a:endParaRPr lang="en-US" sz="1050">
                <a:solidFill>
                  <a:schemeClr val="dk1"/>
                </a:solidFill>
                <a:effectLst/>
                <a:latin typeface="+mn-lt"/>
                <a:ea typeface="+mn-ea"/>
                <a:cs typeface="+mn-cs"/>
              </a:endParaRPr>
            </a:p>
            <a:p>
              <a:r>
                <a:rPr lang="en-US" sz="1200" b="1">
                  <a:solidFill>
                    <a:schemeClr val="dk1"/>
                  </a:solidFill>
                  <a:effectLst/>
                  <a:latin typeface="+mn-lt"/>
                  <a:ea typeface="+mn-ea"/>
                  <a:cs typeface="+mn-cs"/>
                </a:rPr>
                <a:t>Wetland Types:</a:t>
              </a:r>
              <a:endParaRPr lang="en-US" sz="1200">
                <a:effectLst/>
              </a:endParaRPr>
            </a:p>
            <a:p>
              <a:r>
                <a:rPr lang="en-US" sz="1100">
                  <a:solidFill>
                    <a:schemeClr val="dk1"/>
                  </a:solidFill>
                  <a:effectLst/>
                  <a:latin typeface="+mn-lt"/>
                  <a:ea typeface="+mn-ea"/>
                  <a:cs typeface="+mn-cs"/>
                </a:rPr>
                <a:t>W-1	Shallow wetland</a:t>
              </a:r>
            </a:p>
            <a:p>
              <a:r>
                <a:rPr lang="en-US" sz="1100">
                  <a:solidFill>
                    <a:schemeClr val="dk1"/>
                  </a:solidFill>
                  <a:effectLst/>
                  <a:latin typeface="+mn-lt"/>
                  <a:ea typeface="+mn-ea"/>
                  <a:cs typeface="+mn-cs"/>
                </a:rPr>
                <a:t>W-2	Extended detention shallow wetland</a:t>
              </a:r>
            </a:p>
            <a:p>
              <a:pPr eaLnBrk="1" fontAlgn="auto" latinLnBrk="0" hangingPunct="1"/>
              <a:endParaRPr lang="en-US" sz="1200" b="0" baseline="0">
                <a:solidFill>
                  <a:schemeClr val="dk1"/>
                </a:solidFill>
                <a:effectLst/>
                <a:latin typeface="+mn-lt"/>
                <a:ea typeface="+mn-ea"/>
                <a:cs typeface="+mn-cs"/>
              </a:endParaRPr>
            </a:p>
            <a:p>
              <a:pPr eaLnBrk="1" fontAlgn="auto" latinLnBrk="0" hangingPunct="1"/>
              <a:r>
                <a:rPr lang="en-US" sz="1200" b="1" baseline="0">
                  <a:solidFill>
                    <a:schemeClr val="dk1"/>
                  </a:solidFill>
                  <a:effectLst/>
                  <a:latin typeface="+mn-lt"/>
                  <a:ea typeface="+mn-ea"/>
                  <a:cs typeface="+mn-cs"/>
                </a:rPr>
                <a:t>Pond/Wetland S</a:t>
              </a:r>
              <a:r>
                <a:rPr lang="en-US" sz="1200" b="1">
                  <a:solidFill>
                    <a:schemeClr val="dk1"/>
                  </a:solidFill>
                  <a:effectLst/>
                  <a:latin typeface="+mn-lt"/>
                  <a:ea typeface="+mn-ea"/>
                  <a:cs typeface="+mn-cs"/>
                </a:rPr>
                <a:t>torage Volume</a:t>
              </a:r>
              <a:endParaRPr lang="en-US" sz="1200">
                <a:effectLst/>
              </a:endParaRPr>
            </a:p>
            <a:p>
              <a:pPr algn="ctr"/>
              <a:endParaRPr lang="en-US" sz="1100">
                <a:solidFill>
                  <a:schemeClr val="dk1"/>
                </a:solidFill>
                <a:effectLst/>
                <a:latin typeface="+mn-lt"/>
                <a:ea typeface="+mn-ea"/>
                <a:cs typeface="+mn-cs"/>
              </a:endParaRPr>
            </a:p>
            <a:p>
              <a:pPr algn="ctr"/>
              <a:r>
                <a:rPr lang="en-US" sz="1200">
                  <a:solidFill>
                    <a:schemeClr val="dk1"/>
                  </a:solidFill>
                  <a:effectLst/>
                  <a:latin typeface="+mn-lt"/>
                  <a:ea typeface="+mn-ea"/>
                  <a:cs typeface="+mn-cs"/>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𝑆𝑣</m:t>
                  </m:r>
                  <m:r>
                    <a:rPr lang="en-US" sz="1200" i="1">
                      <a:solidFill>
                        <a:schemeClr val="dk1"/>
                      </a:solidFill>
                      <a:effectLst/>
                      <a:latin typeface="Cambria Math" panose="02040503050406030204" pitchFamily="18" charset="0"/>
                      <a:ea typeface="+mn-ea"/>
                      <a:cs typeface="+mn-cs"/>
                    </a:rPr>
                    <m:t>=</m:t>
                  </m:r>
                  <m:r>
                    <a:rPr lang="en-US" sz="1200" i="1">
                      <a:solidFill>
                        <a:schemeClr val="dk1"/>
                      </a:solidFill>
                      <a:effectLst/>
                      <a:latin typeface="Cambria Math" panose="02040503050406030204" pitchFamily="18" charset="0"/>
                      <a:ea typeface="+mn-ea"/>
                      <a:cs typeface="+mn-cs"/>
                    </a:rPr>
                    <m:t>𝑃𝑜𝑛𝑑</m:t>
                  </m:r>
                  <m:r>
                    <a:rPr lang="en-US" sz="1200" i="1">
                      <a:solidFill>
                        <a:schemeClr val="dk1"/>
                      </a:solidFill>
                      <a:effectLst/>
                      <a:latin typeface="Cambria Math" panose="02040503050406030204" pitchFamily="18" charset="0"/>
                      <a:ea typeface="+mn-ea"/>
                      <a:cs typeface="+mn-cs"/>
                    </a:rPr>
                    <m:t> </m:t>
                  </m:r>
                  <m:r>
                    <a:rPr lang="en-US" sz="1200" i="1">
                      <a:solidFill>
                        <a:schemeClr val="dk1"/>
                      </a:solidFill>
                      <a:effectLst/>
                      <a:latin typeface="Cambria Math" panose="02040503050406030204" pitchFamily="18" charset="0"/>
                      <a:ea typeface="+mn-ea"/>
                      <a:cs typeface="+mn-cs"/>
                    </a:rPr>
                    <m:t>𝑝𝑒𝑟𝑚𝑎𝑛𝑒𝑛𝑡</m:t>
                  </m:r>
                  <m:r>
                    <a:rPr lang="en-US" sz="1200" i="1">
                      <a:solidFill>
                        <a:schemeClr val="dk1"/>
                      </a:solidFill>
                      <a:effectLst/>
                      <a:latin typeface="Cambria Math" panose="02040503050406030204" pitchFamily="18" charset="0"/>
                      <a:ea typeface="+mn-ea"/>
                      <a:cs typeface="+mn-cs"/>
                    </a:rPr>
                    <m:t> </m:t>
                  </m:r>
                  <m:r>
                    <a:rPr lang="en-US" sz="1200" i="1">
                      <a:solidFill>
                        <a:schemeClr val="dk1"/>
                      </a:solidFill>
                      <a:effectLst/>
                      <a:latin typeface="Cambria Math" panose="02040503050406030204" pitchFamily="18" charset="0"/>
                      <a:ea typeface="+mn-ea"/>
                      <a:cs typeface="+mn-cs"/>
                    </a:rPr>
                    <m:t>𝑝𝑜𝑜𝑙</m:t>
                  </m:r>
                  <m:r>
                    <a:rPr lang="en-US" sz="1200" i="1">
                      <a:solidFill>
                        <a:schemeClr val="dk1"/>
                      </a:solidFill>
                      <a:effectLst/>
                      <a:latin typeface="Cambria Math" panose="02040503050406030204" pitchFamily="18" charset="0"/>
                      <a:ea typeface="+mn-ea"/>
                      <a:cs typeface="+mn-cs"/>
                    </a:rPr>
                    <m:t> </m:t>
                  </m:r>
                  <m:r>
                    <a:rPr lang="en-US" sz="1200" i="1">
                      <a:solidFill>
                        <a:schemeClr val="dk1"/>
                      </a:solidFill>
                      <a:effectLst/>
                      <a:latin typeface="Cambria Math" panose="02040503050406030204" pitchFamily="18" charset="0"/>
                      <a:ea typeface="+mn-ea"/>
                      <a:cs typeface="+mn-cs"/>
                    </a:rPr>
                    <m:t>𝑣𝑜𝑙𝑢𝑚𝑒</m:t>
                  </m:r>
                </m:oMath>
              </a14:m>
              <a:endParaRPr lang="en-US" sz="1200">
                <a:effectLst/>
              </a:endParaRPr>
            </a:p>
            <a:p>
              <a:r>
                <a:rPr lang="en-US" sz="1100">
                  <a:solidFill>
                    <a:schemeClr val="dk1"/>
                  </a:solidFill>
                  <a:effectLst/>
                  <a:latin typeface="+mn-lt"/>
                  <a:ea typeface="+mn-ea"/>
                  <a:cs typeface="+mn-cs"/>
                </a:rPr>
                <a:t>here:	</a:t>
              </a:r>
              <a:endParaRPr lang="en-US">
                <a:effectLst/>
              </a:endParaRP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pond</a:t>
              </a:r>
              <a:r>
                <a:rPr lang="en-US" sz="1100" baseline="0">
                  <a:solidFill>
                    <a:schemeClr val="dk1"/>
                  </a:solidFill>
                  <a:effectLst/>
                  <a:latin typeface="+mn-lt"/>
                  <a:ea typeface="+mn-ea"/>
                  <a:cs typeface="+mn-cs"/>
                </a:rPr>
                <a:t> permanant pool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pPr algn="ctr"/>
              <a:r>
                <a:rPr lang="en-US" sz="1100" i="1" baseline="0">
                  <a:solidFill>
                    <a:schemeClr val="dk1"/>
                  </a:solidFill>
                  <a:effectLst/>
                  <a:latin typeface="+mn-lt"/>
                  <a:ea typeface="+mn-ea"/>
                  <a:cs typeface="+mn-cs"/>
                </a:rPr>
                <a:t> </a:t>
              </a:r>
              <a:r>
                <a:rPr lang="en-US" sz="1100" i="1">
                  <a:solidFill>
                    <a:schemeClr val="dk1"/>
                  </a:solidFill>
                  <a:effectLst/>
                  <a:latin typeface="+mn-lt"/>
                  <a:ea typeface="+mn-ea"/>
                  <a:cs typeface="+mn-cs"/>
                </a:rPr>
                <a:t>Pond Permanent Pool</a:t>
              </a:r>
              <a:r>
                <a:rPr lang="en-US" sz="1100" i="1" baseline="0">
                  <a:solidFill>
                    <a:schemeClr val="dk1"/>
                  </a:solidFill>
                  <a:effectLst/>
                  <a:latin typeface="+mn-lt"/>
                  <a:ea typeface="+mn-ea"/>
                  <a:cs typeface="+mn-cs"/>
                </a:rPr>
                <a:t> Volume</a:t>
              </a:r>
              <a:r>
                <a:rPr lang="en-US" sz="1100">
                  <a:solidFill>
                    <a:schemeClr val="dk1"/>
                  </a:solidFill>
                  <a:effectLst/>
                  <a:latin typeface="+mn-lt"/>
                  <a:ea typeface="+mn-ea"/>
                  <a:cs typeface="+mn-cs"/>
                </a:rPr>
                <a:t>   =  equivalent to the SWRv or design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mn-cs"/>
                </a:rPr>
                <a:t>Retention Values:</a:t>
              </a:r>
            </a:p>
            <a:p>
              <a:r>
                <a:rPr lang="en-US" sz="1100" b="1" baseline="0">
                  <a:solidFill>
                    <a:schemeClr val="dk1"/>
                  </a:solidFill>
                  <a:effectLst/>
                  <a:latin typeface="+mn-lt"/>
                  <a:ea typeface="+mn-ea"/>
                  <a:cs typeface="+mn-cs"/>
                </a:rPr>
                <a:t>Stormwater Ponds and Wetlands </a:t>
              </a:r>
              <a:r>
                <a:rPr lang="en-US" sz="1100" b="0" baseline="0">
                  <a:solidFill>
                    <a:schemeClr val="dk1"/>
                  </a:solidFill>
                  <a:effectLst/>
                  <a:latin typeface="+mn-lt"/>
                  <a:ea typeface="+mn-ea"/>
                  <a:cs typeface="+mn-cs"/>
                </a:rPr>
                <a:t>retain 10% of their storage volume, therefore:</a:t>
              </a:r>
            </a:p>
            <a:p>
              <a:endParaRPr lang="en-US">
                <a:effectLst/>
              </a:endParaRPr>
            </a:p>
            <a:p>
              <a:pPr/>
              <a14:m>
                <m:oMathPara xmlns:m="http://schemas.openxmlformats.org/officeDocument/2006/math">
                  <m:oMathParaPr>
                    <m:jc m:val="centerGroup"/>
                  </m:oMathParaPr>
                  <m:oMath xmlns:m="http://schemas.openxmlformats.org/officeDocument/2006/math">
                    <m:r>
                      <a:rPr lang="en-US" sz="1200" b="0" i="1">
                        <a:solidFill>
                          <a:schemeClr val="dk1"/>
                        </a:solidFill>
                        <a:effectLst/>
                        <a:latin typeface="Cambria Math" panose="02040503050406030204" pitchFamily="18" charset="0"/>
                        <a:ea typeface="+mn-ea"/>
                        <a:cs typeface="+mn-cs"/>
                      </a:rPr>
                      <m:t>𝑅</m:t>
                    </m:r>
                    <m:r>
                      <a:rPr lang="en-US" sz="1200" i="1">
                        <a:solidFill>
                          <a:schemeClr val="dk1"/>
                        </a:solidFill>
                        <a:effectLst/>
                        <a:latin typeface="Cambria Math" panose="02040503050406030204" pitchFamily="18" charset="0"/>
                        <a:ea typeface="+mn-ea"/>
                        <a:cs typeface="+mn-cs"/>
                      </a:rPr>
                      <m:t>𝑣</m:t>
                    </m:r>
                    <m:r>
                      <a:rPr lang="en-US" sz="1200" i="1">
                        <a:solidFill>
                          <a:schemeClr val="dk1"/>
                        </a:solidFill>
                        <a:effectLst/>
                        <a:latin typeface="Cambria Math" panose="02040503050406030204" pitchFamily="18" charset="0"/>
                        <a:ea typeface="+mn-ea"/>
                        <a:cs typeface="+mn-cs"/>
                      </a:rPr>
                      <m:t>=0.1 ×</m:t>
                    </m:r>
                    <m:r>
                      <a:rPr lang="en-US" sz="1200" b="0" i="1">
                        <a:solidFill>
                          <a:schemeClr val="dk1"/>
                        </a:solidFill>
                        <a:effectLst/>
                        <a:latin typeface="Cambria Math" panose="02040503050406030204" pitchFamily="18" charset="0"/>
                        <a:ea typeface="+mn-ea"/>
                        <a:cs typeface="+mn-cs"/>
                      </a:rPr>
                      <m:t>𝑆𝑣</m:t>
                    </m:r>
                  </m:oMath>
                </m:oMathPara>
              </a14:m>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xdr:txBody>
        </xdr:sp>
      </mc:Choice>
      <mc:Fallback xmlns="">
        <xdr:sp macro="" textlink="">
          <xdr:nvSpPr>
            <xdr:cNvPr id="2" name="TextBox 1">
              <a:extLst>
                <a:ext uri="{FF2B5EF4-FFF2-40B4-BE49-F238E27FC236}">
                  <a16:creationId xmlns:a16="http://schemas.microsoft.com/office/drawing/2014/main" id="{0580A0E8-1F76-4F8B-A99D-A5E446D362CE}"/>
                </a:ext>
              </a:extLst>
            </xdr:cNvPr>
            <xdr:cNvSpPr txBox="1"/>
          </xdr:nvSpPr>
          <xdr:spPr>
            <a:xfrm>
              <a:off x="609600" y="182880"/>
              <a:ext cx="4869180" cy="4366260"/>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3.10,</a:t>
              </a:r>
              <a:r>
                <a:rPr lang="en-US" sz="1800" b="1" baseline="0"/>
                <a:t> </a:t>
              </a:r>
              <a:r>
                <a:rPr lang="en-US" sz="1800" b="1"/>
                <a:t>3.11 STORMWATER PONDS</a:t>
              </a:r>
              <a:r>
                <a:rPr lang="en-US" sz="1800" b="1" baseline="0"/>
                <a:t> and </a:t>
              </a:r>
              <a:r>
                <a:rPr lang="en-US" sz="1800" b="1"/>
                <a:t>WETLANDS</a:t>
              </a:r>
              <a:endParaRPr lang="en-US" sz="1800" b="1" baseline="0"/>
            </a:p>
            <a:p>
              <a:endParaRPr lang="en-US" sz="1100" baseline="0"/>
            </a:p>
            <a:p>
              <a:r>
                <a:rPr lang="en-US" sz="1200" b="1">
                  <a:solidFill>
                    <a:schemeClr val="dk1"/>
                  </a:solidFill>
                  <a:effectLst/>
                  <a:latin typeface="+mn-lt"/>
                  <a:ea typeface="+mn-ea"/>
                  <a:cs typeface="+mn-cs"/>
                </a:rPr>
                <a:t>Pond Types:</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C-1	Micropool extended detention pond</a:t>
              </a:r>
            </a:p>
            <a:p>
              <a:r>
                <a:rPr lang="en-US" sz="1100">
                  <a:solidFill>
                    <a:schemeClr val="dk1"/>
                  </a:solidFill>
                  <a:effectLst/>
                  <a:latin typeface="+mn-lt"/>
                  <a:ea typeface="+mn-ea"/>
                  <a:cs typeface="+mn-cs"/>
                </a:rPr>
                <a:t>C-2	Wet pond</a:t>
              </a:r>
            </a:p>
            <a:p>
              <a:r>
                <a:rPr lang="en-US" sz="1100">
                  <a:solidFill>
                    <a:schemeClr val="dk1"/>
                  </a:solidFill>
                  <a:effectLst/>
                  <a:latin typeface="+mn-lt"/>
                  <a:ea typeface="+mn-ea"/>
                  <a:cs typeface="+mn-cs"/>
                </a:rPr>
                <a:t>C-3	Wet extended detention pond</a:t>
              </a:r>
            </a:p>
            <a:p>
              <a:endParaRPr lang="en-US" sz="1050">
                <a:solidFill>
                  <a:schemeClr val="dk1"/>
                </a:solidFill>
                <a:effectLst/>
                <a:latin typeface="+mn-lt"/>
                <a:ea typeface="+mn-ea"/>
                <a:cs typeface="+mn-cs"/>
              </a:endParaRPr>
            </a:p>
            <a:p>
              <a:r>
                <a:rPr lang="en-US" sz="1200" b="1">
                  <a:solidFill>
                    <a:schemeClr val="dk1"/>
                  </a:solidFill>
                  <a:effectLst/>
                  <a:latin typeface="+mn-lt"/>
                  <a:ea typeface="+mn-ea"/>
                  <a:cs typeface="+mn-cs"/>
                </a:rPr>
                <a:t>Wetland Types:</a:t>
              </a:r>
              <a:endParaRPr lang="en-US" sz="1200">
                <a:effectLst/>
              </a:endParaRPr>
            </a:p>
            <a:p>
              <a:r>
                <a:rPr lang="en-US" sz="1100">
                  <a:solidFill>
                    <a:schemeClr val="dk1"/>
                  </a:solidFill>
                  <a:effectLst/>
                  <a:latin typeface="+mn-lt"/>
                  <a:ea typeface="+mn-ea"/>
                  <a:cs typeface="+mn-cs"/>
                </a:rPr>
                <a:t>W-1	Shallow wetland</a:t>
              </a:r>
            </a:p>
            <a:p>
              <a:r>
                <a:rPr lang="en-US" sz="1100">
                  <a:solidFill>
                    <a:schemeClr val="dk1"/>
                  </a:solidFill>
                  <a:effectLst/>
                  <a:latin typeface="+mn-lt"/>
                  <a:ea typeface="+mn-ea"/>
                  <a:cs typeface="+mn-cs"/>
                </a:rPr>
                <a:t>W-2	Extended detention shallow wetland</a:t>
              </a:r>
            </a:p>
            <a:p>
              <a:pPr eaLnBrk="1" fontAlgn="auto" latinLnBrk="0" hangingPunct="1"/>
              <a:endParaRPr lang="en-US" sz="1200" b="0" baseline="0">
                <a:solidFill>
                  <a:schemeClr val="dk1"/>
                </a:solidFill>
                <a:effectLst/>
                <a:latin typeface="+mn-lt"/>
                <a:ea typeface="+mn-ea"/>
                <a:cs typeface="+mn-cs"/>
              </a:endParaRPr>
            </a:p>
            <a:p>
              <a:pPr eaLnBrk="1" fontAlgn="auto" latinLnBrk="0" hangingPunct="1"/>
              <a:r>
                <a:rPr lang="en-US" sz="1200" b="1" baseline="0">
                  <a:solidFill>
                    <a:schemeClr val="dk1"/>
                  </a:solidFill>
                  <a:effectLst/>
                  <a:latin typeface="+mn-lt"/>
                  <a:ea typeface="+mn-ea"/>
                  <a:cs typeface="+mn-cs"/>
                </a:rPr>
                <a:t>Pond/Wetland S</a:t>
              </a:r>
              <a:r>
                <a:rPr lang="en-US" sz="1200" b="1">
                  <a:solidFill>
                    <a:schemeClr val="dk1"/>
                  </a:solidFill>
                  <a:effectLst/>
                  <a:latin typeface="+mn-lt"/>
                  <a:ea typeface="+mn-ea"/>
                  <a:cs typeface="+mn-cs"/>
                </a:rPr>
                <a:t>torage Volume</a:t>
              </a:r>
              <a:endParaRPr lang="en-US" sz="1200">
                <a:effectLst/>
              </a:endParaRPr>
            </a:p>
            <a:p>
              <a:pPr algn="ctr"/>
              <a:endParaRPr lang="en-US" sz="1100">
                <a:solidFill>
                  <a:schemeClr val="dk1"/>
                </a:solidFill>
                <a:effectLst/>
                <a:latin typeface="+mn-lt"/>
                <a:ea typeface="+mn-ea"/>
                <a:cs typeface="+mn-cs"/>
              </a:endParaRPr>
            </a:p>
            <a:p>
              <a:pPr algn="ctr"/>
              <a:r>
                <a:rPr lang="en-US" sz="1200">
                  <a:solidFill>
                    <a:schemeClr val="dk1"/>
                  </a:solidFill>
                  <a:effectLst/>
                  <a:latin typeface="+mn-lt"/>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𝑆𝑣</a:t>
              </a:r>
              <a:r>
                <a:rPr lang="en-US" sz="1200" i="0">
                  <a:solidFill>
                    <a:schemeClr val="dk1"/>
                  </a:solidFill>
                  <a:effectLst/>
                  <a:latin typeface="Cambria Math" panose="02040503050406030204" pitchFamily="18" charset="0"/>
                  <a:ea typeface="+mn-ea"/>
                  <a:cs typeface="+mn-cs"/>
                </a:rPr>
                <a:t>=𝑃𝑜𝑛𝑑 𝑝𝑒𝑟𝑚𝑎𝑛𝑒𝑛𝑡 𝑝𝑜𝑜𝑙 𝑣𝑜𝑙𝑢𝑚𝑒</a:t>
              </a:r>
              <a:endParaRPr lang="en-US" sz="1200">
                <a:effectLst/>
              </a:endParaRPr>
            </a:p>
            <a:p>
              <a:r>
                <a:rPr lang="en-US" sz="1100">
                  <a:solidFill>
                    <a:schemeClr val="dk1"/>
                  </a:solidFill>
                  <a:effectLst/>
                  <a:latin typeface="+mn-lt"/>
                  <a:ea typeface="+mn-ea"/>
                  <a:cs typeface="+mn-cs"/>
                </a:rPr>
                <a:t>here:	</a:t>
              </a:r>
              <a:endParaRPr lang="en-US">
                <a:effectLst/>
              </a:endParaRPr>
            </a:p>
            <a:p>
              <a:r>
                <a:rPr lang="en-US" sz="1100" i="1">
                  <a:solidFill>
                    <a:schemeClr val="dk1"/>
                  </a:solidFill>
                  <a:effectLst/>
                  <a:latin typeface="+mn-lt"/>
                  <a:ea typeface="+mn-ea"/>
                  <a:cs typeface="+mn-cs"/>
                </a:rPr>
                <a:t>	Sv</a:t>
              </a:r>
              <a:r>
                <a:rPr lang="en-US" sz="1100">
                  <a:solidFill>
                    <a:schemeClr val="dk1"/>
                  </a:solidFill>
                  <a:effectLst/>
                  <a:latin typeface="+mn-lt"/>
                  <a:ea typeface="+mn-ea"/>
                  <a:cs typeface="+mn-cs"/>
                </a:rPr>
                <a:t>   =  total storage volume of pond</a:t>
              </a:r>
              <a:r>
                <a:rPr lang="en-US" sz="1100" baseline="0">
                  <a:solidFill>
                    <a:schemeClr val="dk1"/>
                  </a:solidFill>
                  <a:effectLst/>
                  <a:latin typeface="+mn-lt"/>
                  <a:ea typeface="+mn-ea"/>
                  <a:cs typeface="+mn-cs"/>
                </a:rPr>
                <a:t> permanant pool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pPr algn="ctr"/>
              <a:r>
                <a:rPr lang="en-US" sz="1100" i="1" baseline="0">
                  <a:solidFill>
                    <a:schemeClr val="dk1"/>
                  </a:solidFill>
                  <a:effectLst/>
                  <a:latin typeface="+mn-lt"/>
                  <a:ea typeface="+mn-ea"/>
                  <a:cs typeface="+mn-cs"/>
                </a:rPr>
                <a:t> </a:t>
              </a:r>
              <a:r>
                <a:rPr lang="en-US" sz="1100" i="1">
                  <a:solidFill>
                    <a:schemeClr val="dk1"/>
                  </a:solidFill>
                  <a:effectLst/>
                  <a:latin typeface="+mn-lt"/>
                  <a:ea typeface="+mn-ea"/>
                  <a:cs typeface="+mn-cs"/>
                </a:rPr>
                <a:t>Pond Permanent Pool</a:t>
              </a:r>
              <a:r>
                <a:rPr lang="en-US" sz="1100" i="1" baseline="0">
                  <a:solidFill>
                    <a:schemeClr val="dk1"/>
                  </a:solidFill>
                  <a:effectLst/>
                  <a:latin typeface="+mn-lt"/>
                  <a:ea typeface="+mn-ea"/>
                  <a:cs typeface="+mn-cs"/>
                </a:rPr>
                <a:t> Volume</a:t>
              </a:r>
              <a:r>
                <a:rPr lang="en-US" sz="1100">
                  <a:solidFill>
                    <a:schemeClr val="dk1"/>
                  </a:solidFill>
                  <a:effectLst/>
                  <a:latin typeface="+mn-lt"/>
                  <a:ea typeface="+mn-ea"/>
                  <a:cs typeface="+mn-cs"/>
                </a:rPr>
                <a:t>   =  equivalent to the SWRv or design volume (ft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mn-cs"/>
                </a:rPr>
                <a:t>Retention Values:</a:t>
              </a:r>
            </a:p>
            <a:p>
              <a:r>
                <a:rPr lang="en-US" sz="1100" b="1" baseline="0">
                  <a:solidFill>
                    <a:schemeClr val="dk1"/>
                  </a:solidFill>
                  <a:effectLst/>
                  <a:latin typeface="+mn-lt"/>
                  <a:ea typeface="+mn-ea"/>
                  <a:cs typeface="+mn-cs"/>
                </a:rPr>
                <a:t>Stormwater Ponds and Wetlands </a:t>
              </a:r>
              <a:r>
                <a:rPr lang="en-US" sz="1100" b="0" baseline="0">
                  <a:solidFill>
                    <a:schemeClr val="dk1"/>
                  </a:solidFill>
                  <a:effectLst/>
                  <a:latin typeface="+mn-lt"/>
                  <a:ea typeface="+mn-ea"/>
                  <a:cs typeface="+mn-cs"/>
                </a:rPr>
                <a:t>retain 10% of their storage volume, therefore:</a:t>
              </a:r>
            </a:p>
            <a:p>
              <a:endParaRPr lang="en-US">
                <a:effectLst/>
              </a:endParaRPr>
            </a:p>
            <a:p>
              <a:pPr/>
              <a:r>
                <a:rPr lang="en-US" sz="1200" b="0" i="0">
                  <a:solidFill>
                    <a:schemeClr val="dk1"/>
                  </a:solidFill>
                  <a:effectLst/>
                  <a:latin typeface="Cambria Math" panose="02040503050406030204" pitchFamily="18" charset="0"/>
                  <a:ea typeface="+mn-ea"/>
                  <a:cs typeface="+mn-cs"/>
                </a:rPr>
                <a:t>𝑅</a:t>
              </a:r>
              <a:r>
                <a:rPr lang="en-US" sz="1200" i="0">
                  <a:solidFill>
                    <a:schemeClr val="dk1"/>
                  </a:solidFill>
                  <a:effectLst/>
                  <a:latin typeface="Cambria Math" panose="02040503050406030204" pitchFamily="18" charset="0"/>
                  <a:ea typeface="+mn-ea"/>
                  <a:cs typeface="+mn-cs"/>
                </a:rPr>
                <a:t>𝑣=0.1 ×</a:t>
              </a:r>
              <a:r>
                <a:rPr lang="en-US" sz="1200" b="0" i="0">
                  <a:solidFill>
                    <a:schemeClr val="dk1"/>
                  </a:solidFill>
                  <a:effectLst/>
                  <a:latin typeface="Cambria Math" panose="02040503050406030204" pitchFamily="18" charset="0"/>
                  <a:ea typeface="+mn-ea"/>
                  <a:cs typeface="+mn-cs"/>
                </a:rPr>
                <a:t>𝑆𝑣</a:t>
              </a:r>
              <a:endParaRPr lang="en-US" sz="1200">
                <a:effectLst/>
              </a:endParaRPr>
            </a:p>
            <a:p>
              <a:r>
                <a:rPr lang="en-US" sz="1100">
                  <a:solidFill>
                    <a:schemeClr val="dk1"/>
                  </a:solidFill>
                  <a:effectLst/>
                  <a:latin typeface="+mn-lt"/>
                  <a:ea typeface="+mn-ea"/>
                  <a:cs typeface="+mn-cs"/>
                </a:rPr>
                <a:t>where:</a:t>
              </a:r>
            </a:p>
            <a:p>
              <a:r>
                <a:rPr lang="en-US" sz="1100" i="1">
                  <a:solidFill>
                    <a:schemeClr val="dk1"/>
                  </a:solidFill>
                  <a:effectLst/>
                  <a:latin typeface="+mn-lt"/>
                  <a:ea typeface="+mn-ea"/>
                  <a:cs typeface="+mn-cs"/>
                </a:rPr>
                <a:t>	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a:t>
              </a:r>
              <a:endParaRPr lang="en-US">
                <a:effectLst/>
              </a:endParaRPr>
            </a:p>
          </xdr:txBody>
        </xdr:sp>
      </mc:Fallback>
    </mc:AlternateContent>
    <xdr:clientData/>
  </xdr:twoCellAnchor>
  <xdr:twoCellAnchor>
    <xdr:from>
      <xdr:col>6</xdr:col>
      <xdr:colOff>0</xdr:colOff>
      <xdr:row>26</xdr:row>
      <xdr:rowOff>0</xdr:rowOff>
    </xdr:from>
    <xdr:to>
      <xdr:col>9</xdr:col>
      <xdr:colOff>30480</xdr:colOff>
      <xdr:row>30</xdr:row>
      <xdr:rowOff>106680</xdr:rowOff>
    </xdr:to>
    <xdr:sp macro="[0]!ClearDataSWPondsWetlands" textlink="">
      <xdr:nvSpPr>
        <xdr:cNvPr id="3" name="Rectangle 2">
          <a:extLst>
            <a:ext uri="{FF2B5EF4-FFF2-40B4-BE49-F238E27FC236}">
              <a16:creationId xmlns:a16="http://schemas.microsoft.com/office/drawing/2014/main" id="{C03819F8-F926-47C3-9A09-668D50D490C2}"/>
            </a:ext>
          </a:extLst>
        </xdr:cNvPr>
        <xdr:cNvSpPr/>
      </xdr:nvSpPr>
      <xdr:spPr>
        <a:xfrm>
          <a:off x="6461760" y="4930140"/>
          <a:ext cx="2263140" cy="86868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 Here to</a:t>
          </a:r>
          <a:r>
            <a:rPr lang="en-US" sz="1800" baseline="0"/>
            <a:t> Clear Entered Data</a:t>
          </a:r>
          <a:endParaRPr lang="en-US" sz="18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7620</xdr:colOff>
      <xdr:row>1</xdr:row>
      <xdr:rowOff>0</xdr:rowOff>
    </xdr:from>
    <xdr:to>
      <xdr:col>7</xdr:col>
      <xdr:colOff>0</xdr:colOff>
      <xdr:row>35</xdr:row>
      <xdr:rowOff>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E5D1C0EB-A413-437B-B163-38089FD8C2AC}"/>
                </a:ext>
              </a:extLst>
            </xdr:cNvPr>
            <xdr:cNvSpPr txBox="1"/>
          </xdr:nvSpPr>
          <xdr:spPr>
            <a:xfrm>
              <a:off x="990600" y="198120"/>
              <a:ext cx="6118860" cy="706374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3.14 TREE PLANTING AND PRESERVATION</a:t>
              </a:r>
              <a:endParaRPr lang="en-US" sz="1400" b="1" baseline="0">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i="0">
                  <a:solidFill>
                    <a:schemeClr val="dk1"/>
                  </a:solidFill>
                  <a:effectLst/>
                  <a:latin typeface="+mn-lt"/>
                  <a:ea typeface="+mn-ea"/>
                  <a:cs typeface="+mn-cs"/>
                </a:rPr>
                <a:t>Tree Types:</a:t>
              </a:r>
            </a:p>
            <a:p>
              <a:r>
                <a:rPr lang="en-US" sz="1100" b="1">
                  <a:solidFill>
                    <a:schemeClr val="dk1"/>
                  </a:solidFill>
                  <a:effectLst/>
                  <a:latin typeface="+mn-lt"/>
                  <a:ea typeface="+mn-ea"/>
                  <a:cs typeface="+mn-cs"/>
                </a:rPr>
                <a:t>T-1</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Tree planting</a:t>
              </a:r>
              <a:r>
                <a:rPr lang="en-US" sz="1100" baseline="0">
                  <a:solidFill>
                    <a:schemeClr val="dk1"/>
                  </a:solidFill>
                  <a:effectLst/>
                  <a:latin typeface="+mn-lt"/>
                  <a:ea typeface="+mn-ea"/>
                  <a:cs typeface="+mn-cs"/>
                </a:rPr>
                <a:t>. Trees planted and maintained in accordance with the Stormwater Management Guidebook. </a:t>
              </a:r>
            </a:p>
            <a:p>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SMALL</a:t>
              </a:r>
              <a:r>
                <a:rPr lang="en-US" sz="1100" baseline="0">
                  <a:solidFill>
                    <a:schemeClr val="dk1"/>
                  </a:solidFill>
                  <a:effectLst/>
                  <a:latin typeface="+mn-lt"/>
                  <a:ea typeface="+mn-ea"/>
                  <a:cs typeface="+mn-cs"/>
                </a:rPr>
                <a:t>    =    Small, planted trees with an average mature spread of less than 40 feet.</a:t>
              </a:r>
            </a:p>
            <a:p>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LARGE</a:t>
              </a:r>
              <a:r>
                <a:rPr lang="en-US" sz="1100" baseline="0">
                  <a:solidFill>
                    <a:schemeClr val="dk1"/>
                  </a:solidFill>
                  <a:effectLst/>
                  <a:latin typeface="+mn-lt"/>
                  <a:ea typeface="+mn-ea"/>
                  <a:cs typeface="+mn-cs"/>
                </a:rPr>
                <a:t>    =    Large, planted trees with an average mature spread of greater than 40 feet.</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T-2</a:t>
              </a:r>
              <a:r>
                <a:rPr lang="en-US" sz="1100">
                  <a:solidFill>
                    <a:schemeClr val="dk1"/>
                  </a:solidFill>
                  <a:effectLst/>
                  <a:latin typeface="+mn-lt"/>
                  <a:ea typeface="+mn-ea"/>
                  <a:cs typeface="+mn-cs"/>
                </a:rPr>
                <a:t>   =  </a:t>
              </a:r>
              <a:r>
                <a:rPr lang="en-US" sz="1100" b="1">
                  <a:solidFill>
                    <a:schemeClr val="dk1"/>
                  </a:solidFill>
                  <a:effectLst/>
                  <a:latin typeface="+mn-lt"/>
                  <a:ea typeface="+mn-ea"/>
                  <a:cs typeface="+mn-cs"/>
                </a:rPr>
                <a:t>Tree Preservation</a:t>
              </a:r>
              <a:r>
                <a:rPr lang="en-US" sz="1100">
                  <a:solidFill>
                    <a:schemeClr val="dk1"/>
                  </a:solidFill>
                  <a:effectLst/>
                  <a:latin typeface="+mn-lt"/>
                  <a:ea typeface="+mn-ea"/>
                  <a:cs typeface="+mn-cs"/>
                </a:rPr>
                <a:t>. Preserved trees located within a site’s limits of disturbance (LOD) that are maintained in accordance with the Stormwater Management Guidebook.</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In order to receive the preserved tree retention value, trees must be left undisturbed in their original location. Trees that are removed and replanted are not considered preserved trees.</a:t>
              </a: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SMALL</a:t>
              </a:r>
              <a:r>
                <a:rPr lang="en-US" sz="1100" baseline="0">
                  <a:solidFill>
                    <a:schemeClr val="dk1"/>
                  </a:solidFill>
                  <a:effectLst/>
                  <a:latin typeface="+mn-lt"/>
                  <a:ea typeface="+mn-ea"/>
                  <a:cs typeface="+mn-cs"/>
                </a:rPr>
                <a:t>    =    Small, preserved trees with an average mature spread of less than 40 feet.</a:t>
              </a:r>
              <a:endParaRPr lang="en-US">
                <a:effectLst/>
              </a:endParaRP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LARGE</a:t>
              </a:r>
              <a:r>
                <a:rPr lang="en-US" sz="1100" baseline="0">
                  <a:solidFill>
                    <a:schemeClr val="dk1"/>
                  </a:solidFill>
                  <a:effectLst/>
                  <a:latin typeface="+mn-lt"/>
                  <a:ea typeface="+mn-ea"/>
                  <a:cs typeface="+mn-cs"/>
                </a:rPr>
                <a:t>    =    Large, preserved trees with an average mature spread of greater than 40 feet.</a:t>
              </a: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SPECIAL</a:t>
              </a:r>
              <a:r>
                <a:rPr lang="en-US" sz="1100" baseline="0">
                  <a:solidFill>
                    <a:schemeClr val="dk1"/>
                  </a:solidFill>
                  <a:effectLst/>
                  <a:latin typeface="+mn-lt"/>
                  <a:ea typeface="+mn-ea"/>
                  <a:cs typeface="+mn-cs"/>
                </a:rPr>
                <a:t>  =    Large, preserved trees with a </a:t>
              </a:r>
              <a:r>
                <a:rPr lang="en-US" sz="1100" u="sng" baseline="0">
                  <a:solidFill>
                    <a:schemeClr val="dk1"/>
                  </a:solidFill>
                  <a:effectLst/>
                  <a:latin typeface="+mn-lt"/>
                  <a:ea typeface="+mn-ea"/>
                  <a:cs typeface="+mn-cs"/>
                </a:rPr>
                <a:t>circumference</a:t>
              </a:r>
              <a:r>
                <a:rPr lang="en-US" sz="1100" baseline="0">
                  <a:solidFill>
                    <a:schemeClr val="dk1"/>
                  </a:solidFill>
                  <a:effectLst/>
                  <a:latin typeface="+mn-lt"/>
                  <a:ea typeface="+mn-ea"/>
                  <a:cs typeface="+mn-cs"/>
                </a:rPr>
                <a:t> of 44 inches or greater.</a:t>
              </a:r>
              <a:endParaRPr lang="en-US">
                <a:effectLst/>
              </a:endParaRPr>
            </a:p>
            <a:p>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100">
                  <a:solidFill>
                    <a:schemeClr val="dk1"/>
                  </a:solidFill>
                  <a:effectLst/>
                  <a:latin typeface="+mn-lt"/>
                  <a:ea typeface="+mn-ea"/>
                  <a:cs typeface="+mn-cs"/>
                </a:rPr>
                <a:t>Trees</a:t>
              </a:r>
              <a:r>
                <a:rPr lang="en-US" sz="1100" baseline="0">
                  <a:solidFill>
                    <a:schemeClr val="dk1"/>
                  </a:solidFill>
                  <a:effectLst/>
                  <a:latin typeface="+mn-lt"/>
                  <a:ea typeface="+mn-ea"/>
                  <a:cs typeface="+mn-cs"/>
                </a:rPr>
                <a:t> receive a retention value based on their type and size.</a:t>
              </a:r>
            </a:p>
            <a:p>
              <a:endParaRPr lang="en-US" sz="1100" baseline="0">
                <a:solidFill>
                  <a:schemeClr val="dk1"/>
                </a:solidFill>
                <a:effectLst/>
                <a:latin typeface="+mn-lt"/>
                <a:ea typeface="+mn-ea"/>
                <a:cs typeface="+mn-cs"/>
              </a:endParaRPr>
            </a:p>
            <a:p>
              <a:pPr eaLnBrk="1" fontAlgn="auto" latinLnBrk="0" hangingPunct="1"/>
              <a14:m>
                <m:oMathPara xmlns:m="http://schemas.openxmlformats.org/officeDocument/2006/math">
                  <m:oMathParaPr>
                    <m:jc m:val="centerGroup"/>
                  </m:oMathParaPr>
                  <m:oMath xmlns:m="http://schemas.openxmlformats.org/officeDocument/2006/math">
                    <m:r>
                      <a:rPr lang="en-US" sz="1100" b="0" i="1">
                        <a:solidFill>
                          <a:schemeClr val="dk1"/>
                        </a:solidFill>
                        <a:effectLst/>
                        <a:latin typeface="Cambria Math" panose="02040503050406030204" pitchFamily="18" charset="0"/>
                        <a:ea typeface="+mn-ea"/>
                        <a:cs typeface="+mn-cs"/>
                      </a:rPr>
                      <m:t>𝑅</m:t>
                    </m:r>
                    <m:r>
                      <a:rPr lang="en-US" sz="1100" i="1">
                        <a:solidFill>
                          <a:schemeClr val="dk1"/>
                        </a:solidFill>
                        <a:effectLst/>
                        <a:latin typeface="Cambria Math" panose="02040503050406030204" pitchFamily="18" charset="0"/>
                        <a:ea typeface="+mn-ea"/>
                        <a:cs typeface="+mn-cs"/>
                      </a:rPr>
                      <m:t>𝑣</m:t>
                    </m:r>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𝑅𝑣</m:t>
                    </m:r>
                    <m:r>
                      <a:rPr lang="en-US" sz="1100" b="0" i="1" baseline="-25000">
                        <a:solidFill>
                          <a:schemeClr val="dk1"/>
                        </a:solidFill>
                        <a:effectLst/>
                        <a:latin typeface="Cambria Math" panose="02040503050406030204" pitchFamily="18" charset="0"/>
                        <a:ea typeface="+mn-ea"/>
                        <a:cs typeface="+mn-cs"/>
                      </a:rPr>
                      <m:t>𝑡𝑦𝑝𝑒</m:t>
                    </m:r>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𝑛</m:t>
                    </m:r>
                  </m:oMath>
                </m:oMathPara>
              </a14:m>
              <a:endParaRPr lang="en-US">
                <a:effectLst/>
              </a:endParaRPr>
            </a:p>
            <a:p>
              <a:r>
                <a:rPr lang="en-US" sz="1100">
                  <a:solidFill>
                    <a:schemeClr val="dk1"/>
                  </a:solidFill>
                  <a:effectLst/>
                  <a:latin typeface="+mn-lt"/>
                  <a:ea typeface="+mn-ea"/>
                  <a:cs typeface="+mn-cs"/>
                </a:rPr>
                <a:t>where:</a:t>
              </a:r>
              <a:endParaRPr lang="en-US">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n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number of trees of one type</a:t>
              </a:r>
              <a:endParaRPr lang="en-US">
                <a:effectLst/>
              </a:endParaRPr>
            </a:p>
            <a:p>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a:t>
              </a:r>
              <a:r>
                <a:rPr lang="en-US" sz="1100" i="1" baseline="-25000">
                  <a:solidFill>
                    <a:schemeClr val="dk1"/>
                  </a:solidFill>
                  <a:effectLst/>
                  <a:latin typeface="+mn-lt"/>
                  <a:ea typeface="+mn-ea"/>
                  <a:cs typeface="+mn-cs"/>
                </a:rPr>
                <a:t>type</a:t>
              </a:r>
              <a:r>
                <a:rPr lang="en-US" sz="1100" i="1" baseline="0">
                  <a:solidFill>
                    <a:schemeClr val="dk1"/>
                  </a:solidFill>
                  <a:effectLst/>
                  <a:latin typeface="+mn-lt"/>
                  <a:ea typeface="+mn-ea"/>
                  <a:cs typeface="+mn-cs"/>
                </a:rPr>
                <a:t>   </a:t>
              </a:r>
              <a:r>
                <a:rPr lang="en-US" sz="1100" baseline="0">
                  <a:solidFill>
                    <a:schemeClr val="dk1"/>
                  </a:solidFill>
                  <a:effectLst/>
                  <a:latin typeface="+mn-lt"/>
                  <a:ea typeface="+mn-ea"/>
                  <a:cs typeface="+mn-cs"/>
                </a:rPr>
                <a:t>= retention value based on tree type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given below</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baseline="0">
                  <a:solidFill>
                    <a:schemeClr val="dk1"/>
                  </a:solidFill>
                  <a:effectLst/>
                  <a:latin typeface="+mn-lt"/>
                  <a:ea typeface="+mn-ea"/>
                  <a:cs typeface="+mn-cs"/>
                </a:rPr>
                <a:t>Planted Trees (T-1)</a:t>
              </a:r>
              <a:r>
                <a:rPr lang="en-US" sz="1100" b="0" baseline="0">
                  <a:solidFill>
                    <a:schemeClr val="dk1"/>
                  </a:solidFill>
                  <a:effectLst/>
                  <a:latin typeface="+mn-lt"/>
                  <a:ea typeface="+mn-ea"/>
                  <a:cs typeface="+mn-cs"/>
                </a:rPr>
                <a:t> </a:t>
              </a:r>
              <a:r>
                <a:rPr lang="en-US" sz="1100">
                  <a:solidFill>
                    <a:schemeClr val="dk1"/>
                  </a:solidFill>
                  <a:effectLst/>
                  <a:latin typeface="+mn-lt"/>
                  <a:ea typeface="+mn-ea"/>
                  <a:cs typeface="+mn-cs"/>
                </a:rPr>
                <a:t>receive a retention value of 5 or 10 cubic feet each, depending upon the size of the mature spread of the tree</a:t>
              </a:r>
              <a:r>
                <a:rPr lang="en-US" sz="1100" b="0" baseline="0">
                  <a:solidFill>
                    <a:schemeClr val="dk1"/>
                  </a:solidFill>
                  <a:effectLst/>
                  <a:latin typeface="+mn-lt"/>
                  <a:ea typeface="+mn-ea"/>
                  <a:cs typeface="+mn-cs"/>
                </a:rPr>
                <a:t>, therefore:</a:t>
              </a:r>
            </a:p>
            <a:p>
              <a:endParaRPr lang="en-US" sz="1100" b="0" baseline="0">
                <a:solidFill>
                  <a:schemeClr val="dk1"/>
                </a:solidFill>
                <a:effectLst/>
                <a:latin typeface="+mn-lt"/>
                <a:ea typeface="+mn-ea"/>
                <a:cs typeface="+mn-cs"/>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SMALL</a:t>
              </a:r>
              <a:r>
                <a:rPr lang="en-US" sz="1100">
                  <a:effectLst/>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5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(37.5 gallons) </a:t>
              </a:r>
              <a:endParaRPr lang="en-US" sz="1100" b="1" baseline="0">
                <a:solidFill>
                  <a:schemeClr val="dk1"/>
                </a:solidFill>
                <a:effectLst/>
                <a:latin typeface="+mn-lt"/>
                <a:ea typeface="+mn-ea"/>
                <a:cs typeface="+mn-cs"/>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LARGE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10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(75 gallons) </a:t>
              </a:r>
              <a:endParaRPr lang="en-US">
                <a:effectLst/>
              </a:endParaRPr>
            </a:p>
            <a:p>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Note: Trees planted as part of another BMP, such as a bioretention area, also receive the 5 or 10 cubic foot retention value. </a:t>
              </a:r>
              <a:endParaRPr lang="en-US">
                <a:effectLst/>
              </a:endParaRPr>
            </a:p>
            <a:p>
              <a:endParaRPr lang="en-US" sz="1100" b="1" baseline="0">
                <a:solidFill>
                  <a:schemeClr val="dk1"/>
                </a:solidFill>
                <a:effectLst/>
                <a:latin typeface="+mn-lt"/>
                <a:ea typeface="+mn-ea"/>
                <a:cs typeface="+mn-cs"/>
              </a:endParaRPr>
            </a:p>
            <a:p>
              <a:r>
                <a:rPr lang="en-US" sz="1100" b="1">
                  <a:solidFill>
                    <a:schemeClr val="dk1"/>
                  </a:solidFill>
                  <a:effectLst/>
                  <a:latin typeface="+mn-lt"/>
                  <a:ea typeface="+mn-ea"/>
                  <a:cs typeface="+mn-cs"/>
                </a:rPr>
                <a:t>Preserved</a:t>
              </a:r>
              <a:r>
                <a:rPr lang="en-US" sz="1100" b="1" baseline="0">
                  <a:solidFill>
                    <a:schemeClr val="dk1"/>
                  </a:solidFill>
                  <a:effectLst/>
                  <a:latin typeface="+mn-lt"/>
                  <a:ea typeface="+mn-ea"/>
                  <a:cs typeface="+mn-cs"/>
                </a:rPr>
                <a:t> Trees (T-2) </a:t>
              </a:r>
              <a:r>
                <a:rPr lang="en-US" sz="1100" baseline="0">
                  <a:solidFill>
                    <a:schemeClr val="dk1"/>
                  </a:solidFill>
                  <a:effectLst/>
                  <a:latin typeface="+mn-lt"/>
                  <a:ea typeface="+mn-ea"/>
                  <a:cs typeface="+mn-cs"/>
                </a:rPr>
                <a:t>receive a retention value of 10, 20, or 40 cubic feet each, depending upon the size of the mature spread of the tree and whether the tree is designated as Special or Heritage.</a:t>
              </a: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SMALL</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10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(75 gallons) </a:t>
              </a:r>
              <a:endParaRPr lang="en-US">
                <a:effectLst/>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LARGE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20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(150 gallons) </a:t>
              </a:r>
              <a:endParaRPr lang="en-US">
                <a:effectLst/>
              </a:endParaRPr>
            </a:p>
            <a:p>
              <a:pPr algn="ctr" eaLnBrk="1" fontAlgn="auto" latinLnBrk="0" hangingPunct="1"/>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SPECIAL</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30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(225 gallons) </a:t>
              </a:r>
              <a:endParaRPr lang="en-US">
                <a:effectLst/>
              </a:endParaRPr>
            </a:p>
            <a:p>
              <a:pPr algn="ctr" eaLnBrk="1" fontAlgn="auto" latinLnBrk="0" hangingPunct="1"/>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HERITAGE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40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(300 gallons) </a:t>
              </a:r>
              <a:endParaRPr lang="en-US">
                <a:effectLst/>
              </a:endParaRPr>
            </a:p>
            <a:p>
              <a:pPr algn="ctr"/>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xdr:txBody>
        </xdr:sp>
      </mc:Choice>
      <mc:Fallback xmlns="">
        <xdr:sp macro="" textlink="">
          <xdr:nvSpPr>
            <xdr:cNvPr id="2" name="TextBox 1">
              <a:extLst>
                <a:ext uri="{FF2B5EF4-FFF2-40B4-BE49-F238E27FC236}">
                  <a16:creationId xmlns:a16="http://schemas.microsoft.com/office/drawing/2014/main" id="{E5D1C0EB-A413-437B-B163-38089FD8C2AC}"/>
                </a:ext>
              </a:extLst>
            </xdr:cNvPr>
            <xdr:cNvSpPr txBox="1"/>
          </xdr:nvSpPr>
          <xdr:spPr>
            <a:xfrm>
              <a:off x="990600" y="198120"/>
              <a:ext cx="6118860" cy="7063740"/>
            </a:xfrm>
            <a:prstGeom prst="rect">
              <a:avLst/>
            </a:prstGeom>
            <a:solidFill>
              <a:sysClr val="window" lastClr="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dk1"/>
                  </a:solidFill>
                  <a:effectLst/>
                  <a:latin typeface="+mn-lt"/>
                  <a:ea typeface="+mn-ea"/>
                  <a:cs typeface="+mn-cs"/>
                </a:rPr>
                <a:t>3.14 TREE PLANTING AND PRESERVATION</a:t>
              </a:r>
              <a:endParaRPr lang="en-US" sz="1400" b="1" baseline="0">
                <a:solidFill>
                  <a:schemeClr val="dk1"/>
                </a:solidFill>
                <a:effectLst/>
                <a:latin typeface="+mn-lt"/>
                <a:ea typeface="+mn-ea"/>
                <a:cs typeface="+mn-cs"/>
              </a:endParaRPr>
            </a:p>
            <a:p>
              <a:endParaRPr lang="en-US" sz="1200">
                <a:solidFill>
                  <a:schemeClr val="dk1"/>
                </a:solidFill>
                <a:effectLst/>
                <a:latin typeface="+mn-lt"/>
                <a:ea typeface="+mn-ea"/>
                <a:cs typeface="+mn-cs"/>
              </a:endParaRPr>
            </a:p>
            <a:p>
              <a:r>
                <a:rPr lang="en-US" sz="1200" b="1" i="0">
                  <a:solidFill>
                    <a:schemeClr val="dk1"/>
                  </a:solidFill>
                  <a:effectLst/>
                  <a:latin typeface="+mn-lt"/>
                  <a:ea typeface="+mn-ea"/>
                  <a:cs typeface="+mn-cs"/>
                </a:rPr>
                <a:t>Tree Types:</a:t>
              </a:r>
            </a:p>
            <a:p>
              <a:r>
                <a:rPr lang="en-US" sz="1100" b="1">
                  <a:solidFill>
                    <a:schemeClr val="dk1"/>
                  </a:solidFill>
                  <a:effectLst/>
                  <a:latin typeface="+mn-lt"/>
                  <a:ea typeface="+mn-ea"/>
                  <a:cs typeface="+mn-cs"/>
                </a:rPr>
                <a:t>T-1</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 </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Tree planting</a:t>
              </a:r>
              <a:r>
                <a:rPr lang="en-US" sz="1100" baseline="0">
                  <a:solidFill>
                    <a:schemeClr val="dk1"/>
                  </a:solidFill>
                  <a:effectLst/>
                  <a:latin typeface="+mn-lt"/>
                  <a:ea typeface="+mn-ea"/>
                  <a:cs typeface="+mn-cs"/>
                </a:rPr>
                <a:t>. Trees planted and maintained in accordance with the Stormwater Management Guidebook. </a:t>
              </a:r>
            </a:p>
            <a:p>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SMALL</a:t>
              </a:r>
              <a:r>
                <a:rPr lang="en-US" sz="1100" baseline="0">
                  <a:solidFill>
                    <a:schemeClr val="dk1"/>
                  </a:solidFill>
                  <a:effectLst/>
                  <a:latin typeface="+mn-lt"/>
                  <a:ea typeface="+mn-ea"/>
                  <a:cs typeface="+mn-cs"/>
                </a:rPr>
                <a:t>    =    Small, planted trees with an average mature spread of less than 40 feet.</a:t>
              </a:r>
            </a:p>
            <a:p>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LARGE</a:t>
              </a:r>
              <a:r>
                <a:rPr lang="en-US" sz="1100" baseline="0">
                  <a:solidFill>
                    <a:schemeClr val="dk1"/>
                  </a:solidFill>
                  <a:effectLst/>
                  <a:latin typeface="+mn-lt"/>
                  <a:ea typeface="+mn-ea"/>
                  <a:cs typeface="+mn-cs"/>
                </a:rPr>
                <a:t>    =    Large, planted trees with an average mature spread of greater than 40 feet.</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T-2</a:t>
              </a:r>
              <a:r>
                <a:rPr lang="en-US" sz="1100">
                  <a:solidFill>
                    <a:schemeClr val="dk1"/>
                  </a:solidFill>
                  <a:effectLst/>
                  <a:latin typeface="+mn-lt"/>
                  <a:ea typeface="+mn-ea"/>
                  <a:cs typeface="+mn-cs"/>
                </a:rPr>
                <a:t>   =  </a:t>
              </a:r>
              <a:r>
                <a:rPr lang="en-US" sz="1100" b="1">
                  <a:solidFill>
                    <a:schemeClr val="dk1"/>
                  </a:solidFill>
                  <a:effectLst/>
                  <a:latin typeface="+mn-lt"/>
                  <a:ea typeface="+mn-ea"/>
                  <a:cs typeface="+mn-cs"/>
                </a:rPr>
                <a:t>Tree Preservation</a:t>
              </a:r>
              <a:r>
                <a:rPr lang="en-US" sz="1100">
                  <a:solidFill>
                    <a:schemeClr val="dk1"/>
                  </a:solidFill>
                  <a:effectLst/>
                  <a:latin typeface="+mn-lt"/>
                  <a:ea typeface="+mn-ea"/>
                  <a:cs typeface="+mn-cs"/>
                </a:rPr>
                <a:t>. Preserved trees located within a site’s limits of disturbance (LOD) that are maintained in accordance with the Stormwater Management Guidebook.</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In order to receive the preserved tree retention value, trees must be left undisturbed in their original location. Trees that are removed and replanted are not considered preserved trees.</a:t>
              </a: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SMALL</a:t>
              </a:r>
              <a:r>
                <a:rPr lang="en-US" sz="1100" baseline="0">
                  <a:solidFill>
                    <a:schemeClr val="dk1"/>
                  </a:solidFill>
                  <a:effectLst/>
                  <a:latin typeface="+mn-lt"/>
                  <a:ea typeface="+mn-ea"/>
                  <a:cs typeface="+mn-cs"/>
                </a:rPr>
                <a:t>    =    Small, preserved trees with an average mature spread of less than 40 feet.</a:t>
              </a:r>
              <a:endParaRPr lang="en-US">
                <a:effectLst/>
              </a:endParaRP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LARGE</a:t>
              </a:r>
              <a:r>
                <a:rPr lang="en-US" sz="1100" baseline="0">
                  <a:solidFill>
                    <a:schemeClr val="dk1"/>
                  </a:solidFill>
                  <a:effectLst/>
                  <a:latin typeface="+mn-lt"/>
                  <a:ea typeface="+mn-ea"/>
                  <a:cs typeface="+mn-cs"/>
                </a:rPr>
                <a:t>    =    Large, preserved trees with an average mature spread of greater than 40 feet.</a:t>
              </a:r>
            </a:p>
            <a:p>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SPECIAL</a:t>
              </a:r>
              <a:r>
                <a:rPr lang="en-US" sz="1100" baseline="0">
                  <a:solidFill>
                    <a:schemeClr val="dk1"/>
                  </a:solidFill>
                  <a:effectLst/>
                  <a:latin typeface="+mn-lt"/>
                  <a:ea typeface="+mn-ea"/>
                  <a:cs typeface="+mn-cs"/>
                </a:rPr>
                <a:t>  =    Large, preserved trees with a </a:t>
              </a:r>
              <a:r>
                <a:rPr lang="en-US" sz="1100" u="sng" baseline="0">
                  <a:solidFill>
                    <a:schemeClr val="dk1"/>
                  </a:solidFill>
                  <a:effectLst/>
                  <a:latin typeface="+mn-lt"/>
                  <a:ea typeface="+mn-ea"/>
                  <a:cs typeface="+mn-cs"/>
                </a:rPr>
                <a:t>circumference</a:t>
              </a:r>
              <a:r>
                <a:rPr lang="en-US" sz="1100" baseline="0">
                  <a:solidFill>
                    <a:schemeClr val="dk1"/>
                  </a:solidFill>
                  <a:effectLst/>
                  <a:latin typeface="+mn-lt"/>
                  <a:ea typeface="+mn-ea"/>
                  <a:cs typeface="+mn-cs"/>
                </a:rPr>
                <a:t> of 44 inches or greater.</a:t>
              </a:r>
              <a:endParaRPr lang="en-US">
                <a:effectLst/>
              </a:endParaRPr>
            </a:p>
            <a:p>
              <a:endParaRPr lang="en-US" sz="1100">
                <a:solidFill>
                  <a:schemeClr val="dk1"/>
                </a:solidFill>
                <a:effectLst/>
                <a:latin typeface="+mn-lt"/>
                <a:ea typeface="+mn-ea"/>
                <a:cs typeface="+mn-cs"/>
              </a:endParaRPr>
            </a:p>
            <a:p>
              <a:r>
                <a:rPr lang="en-US" sz="1400" b="1" baseline="0">
                  <a:solidFill>
                    <a:schemeClr val="dk1"/>
                  </a:solidFill>
                  <a:effectLst/>
                  <a:latin typeface="+mn-lt"/>
                  <a:ea typeface="+mn-ea"/>
                  <a:cs typeface="+mn-cs"/>
                </a:rPr>
                <a:t>Retention Value </a:t>
              </a:r>
              <a:endParaRPr lang="en-US" sz="1400">
                <a:effectLst/>
              </a:endParaRPr>
            </a:p>
            <a:p>
              <a:r>
                <a:rPr lang="en-US" sz="1100">
                  <a:solidFill>
                    <a:schemeClr val="dk1"/>
                  </a:solidFill>
                  <a:effectLst/>
                  <a:latin typeface="+mn-lt"/>
                  <a:ea typeface="+mn-ea"/>
                  <a:cs typeface="+mn-cs"/>
                </a:rPr>
                <a:t>Trees</a:t>
              </a:r>
              <a:r>
                <a:rPr lang="en-US" sz="1100" baseline="0">
                  <a:solidFill>
                    <a:schemeClr val="dk1"/>
                  </a:solidFill>
                  <a:effectLst/>
                  <a:latin typeface="+mn-lt"/>
                  <a:ea typeface="+mn-ea"/>
                  <a:cs typeface="+mn-cs"/>
                </a:rPr>
                <a:t> receive a retention value based on their type and size.</a:t>
              </a:r>
            </a:p>
            <a:p>
              <a:endParaRPr lang="en-US" sz="1100" baseline="0">
                <a:solidFill>
                  <a:schemeClr val="dk1"/>
                </a:solidFill>
                <a:effectLst/>
                <a:latin typeface="+mn-lt"/>
                <a:ea typeface="+mn-ea"/>
                <a:cs typeface="+mn-cs"/>
              </a:endParaRPr>
            </a:p>
            <a:p>
              <a:pPr eaLnBrk="1" fontAlgn="auto" latinLnBrk="0" hangingPunct="1"/>
              <a:r>
                <a:rPr lang="en-US" sz="1100" b="0" i="0">
                  <a:solidFill>
                    <a:schemeClr val="dk1"/>
                  </a:solidFill>
                  <a:effectLst/>
                  <a:latin typeface="Cambria Math" panose="02040503050406030204" pitchFamily="18" charset="0"/>
                  <a:ea typeface="+mn-ea"/>
                  <a:cs typeface="+mn-cs"/>
                </a:rPr>
                <a:t>𝑅</a:t>
              </a:r>
              <a:r>
                <a:rPr lang="en-US" sz="1100" i="0">
                  <a:solidFill>
                    <a:schemeClr val="dk1"/>
                  </a:solidFill>
                  <a:effectLst/>
                  <a:latin typeface="Cambria Math" panose="02040503050406030204" pitchFamily="18" charset="0"/>
                  <a:ea typeface="+mn-ea"/>
                  <a:cs typeface="+mn-cs"/>
                </a:rPr>
                <a:t>𝑣=</a:t>
              </a:r>
              <a:r>
                <a:rPr lang="en-US" sz="1100" b="0" i="0">
                  <a:solidFill>
                    <a:schemeClr val="dk1"/>
                  </a:solidFill>
                  <a:effectLst/>
                  <a:latin typeface="Cambria Math" panose="02040503050406030204" pitchFamily="18" charset="0"/>
                  <a:ea typeface="+mn-ea"/>
                  <a:cs typeface="+mn-cs"/>
                </a:rPr>
                <a:t>𝑅𝑣</a:t>
              </a:r>
              <a:r>
                <a:rPr lang="en-US" sz="1100" b="0" i="0" baseline="-25000">
                  <a:solidFill>
                    <a:schemeClr val="dk1"/>
                  </a:solidFill>
                  <a:effectLst/>
                  <a:latin typeface="Cambria Math" panose="02040503050406030204" pitchFamily="18" charset="0"/>
                  <a:ea typeface="+mn-ea"/>
                  <a:cs typeface="+mn-cs"/>
                </a:rPr>
                <a:t>𝑡𝑦𝑝𝑒</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𝑛</a:t>
              </a:r>
              <a:endParaRPr lang="en-US">
                <a:effectLst/>
              </a:endParaRPr>
            </a:p>
            <a:p>
              <a:r>
                <a:rPr lang="en-US" sz="1100">
                  <a:solidFill>
                    <a:schemeClr val="dk1"/>
                  </a:solidFill>
                  <a:effectLst/>
                  <a:latin typeface="+mn-lt"/>
                  <a:ea typeface="+mn-ea"/>
                  <a:cs typeface="+mn-cs"/>
                </a:rPr>
                <a:t>where:</a:t>
              </a:r>
              <a:endParaRPr lang="en-US">
                <a:effectLst/>
              </a:endParaRPr>
            </a:p>
            <a:p>
              <a:pPr eaLnBrk="1" fontAlgn="auto" latinLnBrk="0" hangingPunct="1"/>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retention value </a:t>
              </a:r>
              <a:r>
                <a:rPr lang="en-US" sz="1100">
                  <a:solidFill>
                    <a:schemeClr val="dk1"/>
                  </a:solidFill>
                  <a:effectLst/>
                  <a:latin typeface="+mn-lt"/>
                  <a:ea typeface="+mn-ea"/>
                  <a:cs typeface="+mn-cs"/>
                </a:rPr>
                <a:t>(ft</a:t>
              </a:r>
              <a:r>
                <a:rPr lang="en-US" sz="1100" baseline="30000">
                  <a:solidFill>
                    <a:schemeClr val="dk1"/>
                  </a:solidFill>
                  <a:effectLst/>
                  <a:latin typeface="+mn-lt"/>
                  <a:ea typeface="+mn-ea"/>
                  <a:cs typeface="+mn-cs"/>
                </a:rPr>
                <a:t>3</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n    </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number of trees of one type</a:t>
              </a:r>
              <a:endParaRPr lang="en-US">
                <a:effectLst/>
              </a:endParaRPr>
            </a:p>
            <a:p>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Rv</a:t>
              </a:r>
              <a:r>
                <a:rPr lang="en-US" sz="1100" i="1" baseline="-25000">
                  <a:solidFill>
                    <a:schemeClr val="dk1"/>
                  </a:solidFill>
                  <a:effectLst/>
                  <a:latin typeface="+mn-lt"/>
                  <a:ea typeface="+mn-ea"/>
                  <a:cs typeface="+mn-cs"/>
                </a:rPr>
                <a:t>type</a:t>
              </a:r>
              <a:r>
                <a:rPr lang="en-US" sz="1100" i="1" baseline="0">
                  <a:solidFill>
                    <a:schemeClr val="dk1"/>
                  </a:solidFill>
                  <a:effectLst/>
                  <a:latin typeface="+mn-lt"/>
                  <a:ea typeface="+mn-ea"/>
                  <a:cs typeface="+mn-cs"/>
                </a:rPr>
                <a:t>   </a:t>
              </a:r>
              <a:r>
                <a:rPr lang="en-US" sz="1100" baseline="0">
                  <a:solidFill>
                    <a:schemeClr val="dk1"/>
                  </a:solidFill>
                  <a:effectLst/>
                  <a:latin typeface="+mn-lt"/>
                  <a:ea typeface="+mn-ea"/>
                  <a:cs typeface="+mn-cs"/>
                </a:rPr>
                <a:t>= retention value based on tree type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given below</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baseline="0">
                  <a:solidFill>
                    <a:schemeClr val="dk1"/>
                  </a:solidFill>
                  <a:effectLst/>
                  <a:latin typeface="+mn-lt"/>
                  <a:ea typeface="+mn-ea"/>
                  <a:cs typeface="+mn-cs"/>
                </a:rPr>
                <a:t>Planted Trees (T-1)</a:t>
              </a:r>
              <a:r>
                <a:rPr lang="en-US" sz="1100" b="0" baseline="0">
                  <a:solidFill>
                    <a:schemeClr val="dk1"/>
                  </a:solidFill>
                  <a:effectLst/>
                  <a:latin typeface="+mn-lt"/>
                  <a:ea typeface="+mn-ea"/>
                  <a:cs typeface="+mn-cs"/>
                </a:rPr>
                <a:t> </a:t>
              </a:r>
              <a:r>
                <a:rPr lang="en-US" sz="1100">
                  <a:solidFill>
                    <a:schemeClr val="dk1"/>
                  </a:solidFill>
                  <a:effectLst/>
                  <a:latin typeface="+mn-lt"/>
                  <a:ea typeface="+mn-ea"/>
                  <a:cs typeface="+mn-cs"/>
                </a:rPr>
                <a:t>receive a retention value of 5 or 10 cubic feet each, depending upon the size of the mature spread of the tree</a:t>
              </a:r>
              <a:r>
                <a:rPr lang="en-US" sz="1100" b="0" baseline="0">
                  <a:solidFill>
                    <a:schemeClr val="dk1"/>
                  </a:solidFill>
                  <a:effectLst/>
                  <a:latin typeface="+mn-lt"/>
                  <a:ea typeface="+mn-ea"/>
                  <a:cs typeface="+mn-cs"/>
                </a:rPr>
                <a:t>, therefore:</a:t>
              </a:r>
            </a:p>
            <a:p>
              <a:endParaRPr lang="en-US" sz="1100" b="0" baseline="0">
                <a:solidFill>
                  <a:schemeClr val="dk1"/>
                </a:solidFill>
                <a:effectLst/>
                <a:latin typeface="+mn-lt"/>
                <a:ea typeface="+mn-ea"/>
                <a:cs typeface="+mn-cs"/>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SMALL</a:t>
              </a:r>
              <a:r>
                <a:rPr lang="en-US" sz="1100">
                  <a:effectLst/>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5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(37.5 gallons) </a:t>
              </a:r>
              <a:endParaRPr lang="en-US" sz="1100" b="1" baseline="0">
                <a:solidFill>
                  <a:schemeClr val="dk1"/>
                </a:solidFill>
                <a:effectLst/>
                <a:latin typeface="+mn-lt"/>
                <a:ea typeface="+mn-ea"/>
                <a:cs typeface="+mn-cs"/>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T-1</a:t>
              </a:r>
              <a:r>
                <a:rPr lang="en-US" sz="1100" b="1" baseline="-25000">
                  <a:solidFill>
                    <a:schemeClr val="dk1"/>
                  </a:solidFill>
                  <a:effectLst/>
                  <a:latin typeface="+mn-lt"/>
                  <a:ea typeface="+mn-ea"/>
                  <a:cs typeface="+mn-cs"/>
                </a:rPr>
                <a:t>LARGE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10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(75 gallons) </a:t>
              </a:r>
              <a:endParaRPr lang="en-US">
                <a:effectLst/>
              </a:endParaRPr>
            </a:p>
            <a:p>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Note: Trees planted as part of another BMP, such as a bioretention area, also receive the 5 or 10 cubic foot retention value. </a:t>
              </a:r>
              <a:endParaRPr lang="en-US">
                <a:effectLst/>
              </a:endParaRPr>
            </a:p>
            <a:p>
              <a:endParaRPr lang="en-US" sz="1100" b="1" baseline="0">
                <a:solidFill>
                  <a:schemeClr val="dk1"/>
                </a:solidFill>
                <a:effectLst/>
                <a:latin typeface="+mn-lt"/>
                <a:ea typeface="+mn-ea"/>
                <a:cs typeface="+mn-cs"/>
              </a:endParaRPr>
            </a:p>
            <a:p>
              <a:r>
                <a:rPr lang="en-US" sz="1100" b="1">
                  <a:solidFill>
                    <a:schemeClr val="dk1"/>
                  </a:solidFill>
                  <a:effectLst/>
                  <a:latin typeface="+mn-lt"/>
                  <a:ea typeface="+mn-ea"/>
                  <a:cs typeface="+mn-cs"/>
                </a:rPr>
                <a:t>Preserved</a:t>
              </a:r>
              <a:r>
                <a:rPr lang="en-US" sz="1100" b="1" baseline="0">
                  <a:solidFill>
                    <a:schemeClr val="dk1"/>
                  </a:solidFill>
                  <a:effectLst/>
                  <a:latin typeface="+mn-lt"/>
                  <a:ea typeface="+mn-ea"/>
                  <a:cs typeface="+mn-cs"/>
                </a:rPr>
                <a:t> Trees (T-2) </a:t>
              </a:r>
              <a:r>
                <a:rPr lang="en-US" sz="1100" baseline="0">
                  <a:solidFill>
                    <a:schemeClr val="dk1"/>
                  </a:solidFill>
                  <a:effectLst/>
                  <a:latin typeface="+mn-lt"/>
                  <a:ea typeface="+mn-ea"/>
                  <a:cs typeface="+mn-cs"/>
                </a:rPr>
                <a:t>receive a retention value of 10, 20, or 40 cubic feet each, depending upon the size of the mature spread of the tree and whether the tree is designated as Special or Heritage.</a:t>
              </a: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SMALL</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10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(75 gallons) </a:t>
              </a:r>
              <a:endParaRPr lang="en-US">
                <a:effectLst/>
              </a:endParaRPr>
            </a:p>
            <a:p>
              <a:pPr algn="ctr"/>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LARGE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20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(150 gallons) </a:t>
              </a:r>
              <a:endParaRPr lang="en-US">
                <a:effectLst/>
              </a:endParaRPr>
            </a:p>
            <a:p>
              <a:pPr algn="ctr" eaLnBrk="1" fontAlgn="auto" latinLnBrk="0" hangingPunct="1"/>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SPECIAL</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30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(225 gallons) </a:t>
              </a:r>
              <a:endParaRPr lang="en-US">
                <a:effectLst/>
              </a:endParaRPr>
            </a:p>
            <a:p>
              <a:pPr algn="ctr" eaLnBrk="1" fontAlgn="auto" latinLnBrk="0" hangingPunct="1"/>
              <a:r>
                <a:rPr lang="en-US" sz="1100" b="0" baseline="0">
                  <a:solidFill>
                    <a:schemeClr val="dk1"/>
                  </a:solidFill>
                  <a:effectLst/>
                  <a:latin typeface="+mn-lt"/>
                  <a:ea typeface="+mn-ea"/>
                  <a:cs typeface="+mn-cs"/>
                </a:rPr>
                <a:t>For</a:t>
              </a:r>
              <a:r>
                <a:rPr lang="en-US" sz="1100" b="1" baseline="0">
                  <a:solidFill>
                    <a:schemeClr val="dk1"/>
                  </a:solidFill>
                  <a:effectLst/>
                  <a:latin typeface="+mn-lt"/>
                  <a:ea typeface="+mn-ea"/>
                  <a:cs typeface="+mn-cs"/>
                </a:rPr>
                <a:t> T-2</a:t>
              </a:r>
              <a:r>
                <a:rPr lang="en-US" sz="1100" b="1" baseline="-25000">
                  <a:solidFill>
                    <a:schemeClr val="dk1"/>
                  </a:solidFill>
                  <a:effectLst/>
                  <a:latin typeface="+mn-lt"/>
                  <a:ea typeface="+mn-ea"/>
                  <a:cs typeface="+mn-cs"/>
                </a:rPr>
                <a:t>HERITAGE</a:t>
              </a:r>
              <a:r>
                <a:rPr lang="en-US" sz="1100">
                  <a:solidFill>
                    <a:schemeClr val="dk1"/>
                  </a:solidFill>
                  <a:effectLst/>
                  <a:latin typeface="+mn-lt"/>
                  <a:ea typeface="+mn-ea"/>
                  <a:cs typeface="+mn-cs"/>
                </a:rPr>
                <a:t> , </a:t>
              </a:r>
              <a:r>
                <a:rPr lang="en-US" sz="1100" b="1" i="1">
                  <a:solidFill>
                    <a:schemeClr val="dk1"/>
                  </a:solidFill>
                  <a:effectLst/>
                  <a:latin typeface="+mn-lt"/>
                  <a:ea typeface="+mn-ea"/>
                  <a:cs typeface="+mn-cs"/>
                </a:rPr>
                <a:t>Rv</a:t>
              </a:r>
              <a:r>
                <a:rPr lang="en-US" sz="1100" b="1" i="1" baseline="-25000">
                  <a:solidFill>
                    <a:schemeClr val="dk1"/>
                  </a:solidFill>
                  <a:effectLst/>
                  <a:latin typeface="+mn-lt"/>
                  <a:ea typeface="+mn-ea"/>
                  <a:cs typeface="+mn-cs"/>
                </a:rPr>
                <a:t>type</a:t>
              </a:r>
              <a:r>
                <a:rPr lang="en-US" sz="1100" baseline="0">
                  <a:solidFill>
                    <a:schemeClr val="dk1"/>
                  </a:solidFill>
                  <a:effectLst/>
                  <a:latin typeface="+mn-lt"/>
                  <a:ea typeface="+mn-ea"/>
                  <a:cs typeface="+mn-cs"/>
                </a:rPr>
                <a:t>   =   40 ft</a:t>
              </a:r>
              <a:r>
                <a:rPr lang="en-US" sz="1100" baseline="30000">
                  <a:solidFill>
                    <a:schemeClr val="dk1"/>
                  </a:solidFill>
                  <a:effectLst/>
                  <a:latin typeface="+mn-lt"/>
                  <a:ea typeface="+mn-ea"/>
                  <a:cs typeface="+mn-cs"/>
                </a:rPr>
                <a:t>3</a:t>
              </a:r>
              <a:r>
                <a:rPr lang="en-US" sz="1100" baseline="0">
                  <a:solidFill>
                    <a:schemeClr val="dk1"/>
                  </a:solidFill>
                  <a:effectLst/>
                  <a:latin typeface="+mn-lt"/>
                  <a:ea typeface="+mn-ea"/>
                  <a:cs typeface="+mn-cs"/>
                </a:rPr>
                <a:t> (300 gallons) </a:t>
              </a:r>
              <a:endParaRPr lang="en-US">
                <a:effectLst/>
              </a:endParaRPr>
            </a:p>
            <a:p>
              <a:pPr algn="ctr"/>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xdr:txBody>
        </xdr:sp>
      </mc:Fallback>
    </mc:AlternateContent>
    <xdr:clientData/>
  </xdr:twoCellAnchor>
  <xdr:twoCellAnchor>
    <xdr:from>
      <xdr:col>9</xdr:col>
      <xdr:colOff>0</xdr:colOff>
      <xdr:row>36</xdr:row>
      <xdr:rowOff>0</xdr:rowOff>
    </xdr:from>
    <xdr:to>
      <xdr:col>11</xdr:col>
      <xdr:colOff>548640</xdr:colOff>
      <xdr:row>40</xdr:row>
      <xdr:rowOff>45720</xdr:rowOff>
    </xdr:to>
    <xdr:sp macro="[0]!ClearDataTreePlantingPreservation" textlink="">
      <xdr:nvSpPr>
        <xdr:cNvPr id="3" name="Rectangle 2">
          <a:extLst>
            <a:ext uri="{FF2B5EF4-FFF2-40B4-BE49-F238E27FC236}">
              <a16:creationId xmlns:a16="http://schemas.microsoft.com/office/drawing/2014/main" id="{3EBC8D91-FFCE-4054-A649-9E844FD3C9CE}"/>
            </a:ext>
          </a:extLst>
        </xdr:cNvPr>
        <xdr:cNvSpPr/>
      </xdr:nvSpPr>
      <xdr:spPr>
        <a:xfrm>
          <a:off x="8389620" y="7482840"/>
          <a:ext cx="2263140" cy="86868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800"/>
            <a:t>Click Here to</a:t>
          </a:r>
          <a:r>
            <a:rPr lang="en-US" sz="1800" baseline="0"/>
            <a:t> Clear Entered Data</a:t>
          </a:r>
          <a:endParaRPr lang="en-US" sz="18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s://doee.dc.gov/swguidebook"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88AB9-92F8-47E2-943F-01B2EA21F8DE}">
  <sheetPr codeName="Sheet1">
    <tabColor theme="7" tint="0.59999389629810485"/>
  </sheetPr>
  <dimension ref="O2:Q8"/>
  <sheetViews>
    <sheetView tabSelected="1" topLeftCell="C1" zoomScaleNormal="100" workbookViewId="0">
      <selection activeCell="Q15" sqref="Q15"/>
    </sheetView>
  </sheetViews>
  <sheetFormatPr defaultRowHeight="14.4" x14ac:dyDescent="0.3"/>
  <cols>
    <col min="15" max="15" width="13.21875" customWidth="1"/>
    <col min="16" max="16" width="14.109375" bestFit="1" customWidth="1"/>
    <col min="17" max="17" width="73.33203125" customWidth="1"/>
  </cols>
  <sheetData>
    <row r="2" spans="15:17" x14ac:dyDescent="0.3">
      <c r="O2" s="274" t="s">
        <v>136</v>
      </c>
    </row>
    <row r="3" spans="15:17" x14ac:dyDescent="0.3">
      <c r="O3" s="277" t="s">
        <v>137</v>
      </c>
      <c r="P3" s="277" t="s">
        <v>138</v>
      </c>
      <c r="Q3" s="276" t="s">
        <v>139</v>
      </c>
    </row>
    <row r="4" spans="15:17" x14ac:dyDescent="0.3">
      <c r="O4" s="278">
        <v>6</v>
      </c>
      <c r="P4" s="279">
        <v>43861</v>
      </c>
      <c r="Q4" s="275" t="s">
        <v>140</v>
      </c>
    </row>
    <row r="5" spans="15:17" ht="28.8" x14ac:dyDescent="0.3">
      <c r="O5" s="278">
        <v>7</v>
      </c>
      <c r="P5" s="279">
        <v>43938</v>
      </c>
      <c r="Q5" s="280" t="s">
        <v>141</v>
      </c>
    </row>
    <row r="6" spans="15:17" x14ac:dyDescent="0.3">
      <c r="O6" s="278">
        <v>8</v>
      </c>
      <c r="P6" s="279">
        <v>44160</v>
      </c>
      <c r="Q6" s="275" t="s">
        <v>144</v>
      </c>
    </row>
    <row r="7" spans="15:17" x14ac:dyDescent="0.3">
      <c r="O7" s="278"/>
      <c r="P7" s="278"/>
      <c r="Q7" s="275"/>
    </row>
    <row r="8" spans="15:17" x14ac:dyDescent="0.3">
      <c r="O8" s="278"/>
      <c r="P8" s="278"/>
      <c r="Q8" s="275"/>
    </row>
  </sheetData>
  <pageMargins left="0.7" right="0.7" top="0.75" bottom="0.75" header="0.3" footer="0.3"/>
  <pageSetup scale="78"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pageSetUpPr fitToPage="1"/>
  </sheetPr>
  <dimension ref="A1:M37"/>
  <sheetViews>
    <sheetView topLeftCell="A19" zoomScaleNormal="100" workbookViewId="0">
      <selection activeCell="C34" sqref="C34"/>
    </sheetView>
  </sheetViews>
  <sheetFormatPr defaultColWidth="8.88671875" defaultRowHeight="15.6" x14ac:dyDescent="0.3"/>
  <cols>
    <col min="1" max="1" width="5.33203125" style="13" customWidth="1"/>
    <col min="2" max="2" width="11.33203125" style="13" customWidth="1"/>
    <col min="3" max="3" width="26.33203125" style="13" customWidth="1"/>
    <col min="4" max="4" width="8.88671875" style="13" customWidth="1"/>
    <col min="5" max="5" width="43" style="13" customWidth="1"/>
    <col min="6" max="7" width="3" style="13" customWidth="1"/>
    <col min="8" max="8" width="8.88671875" style="13"/>
    <col min="9" max="9" width="16.109375" style="13" hidden="1" customWidth="1"/>
    <col min="10" max="16384" width="8.88671875" style="13"/>
  </cols>
  <sheetData>
    <row r="1" spans="1:13" x14ac:dyDescent="0.3">
      <c r="A1" s="12"/>
      <c r="B1" s="12"/>
      <c r="C1" s="12"/>
    </row>
    <row r="2" spans="1:13" ht="16.2" thickBot="1" x14ac:dyDescent="0.35">
      <c r="A2" s="12"/>
      <c r="B2" s="17"/>
      <c r="C2" s="17"/>
      <c r="D2" s="18"/>
      <c r="E2" s="18"/>
      <c r="I2" s="57" t="s">
        <v>0</v>
      </c>
    </row>
    <row r="3" spans="1:13" ht="16.8" thickTop="1" thickBot="1" x14ac:dyDescent="0.35">
      <c r="A3" s="12"/>
      <c r="B3" s="17"/>
      <c r="C3" s="17"/>
      <c r="D3" s="18"/>
      <c r="E3" s="18"/>
      <c r="I3" s="57"/>
    </row>
    <row r="4" spans="1:13" ht="16.8" thickTop="1" thickBot="1" x14ac:dyDescent="0.35">
      <c r="A4" s="12"/>
      <c r="B4" s="17"/>
      <c r="C4" s="17"/>
      <c r="D4" s="18"/>
      <c r="E4" s="18"/>
      <c r="I4" s="57" t="s">
        <v>1</v>
      </c>
    </row>
    <row r="5" spans="1:13" ht="16.8" thickTop="1" thickBot="1" x14ac:dyDescent="0.35">
      <c r="A5" s="12"/>
      <c r="B5" s="17"/>
      <c r="C5" s="17"/>
      <c r="D5" s="18"/>
      <c r="E5" s="18"/>
      <c r="I5" s="57" t="s">
        <v>2</v>
      </c>
    </row>
    <row r="6" spans="1:13" ht="16.2" thickTop="1" x14ac:dyDescent="0.3">
      <c r="A6" s="12"/>
      <c r="B6" s="17"/>
      <c r="C6" s="17"/>
      <c r="D6" s="18"/>
      <c r="E6" s="18"/>
    </row>
    <row r="7" spans="1:13" x14ac:dyDescent="0.3">
      <c r="A7" s="15"/>
      <c r="B7" s="19"/>
      <c r="C7" s="19"/>
      <c r="D7" s="18"/>
      <c r="E7" s="18"/>
    </row>
    <row r="8" spans="1:13" x14ac:dyDescent="0.3">
      <c r="A8" s="15"/>
      <c r="B8" s="19"/>
      <c r="C8" s="19"/>
      <c r="D8" s="18"/>
      <c r="E8" s="18"/>
    </row>
    <row r="9" spans="1:13" x14ac:dyDescent="0.3">
      <c r="A9" s="15"/>
      <c r="B9" s="19"/>
      <c r="C9" s="19"/>
      <c r="D9" s="18"/>
      <c r="E9" s="18"/>
    </row>
    <row r="10" spans="1:13" x14ac:dyDescent="0.3">
      <c r="A10" s="15"/>
      <c r="B10" s="19"/>
      <c r="C10" s="19"/>
      <c r="D10" s="18"/>
      <c r="E10" s="18"/>
    </row>
    <row r="11" spans="1:13" x14ac:dyDescent="0.3">
      <c r="A11" s="15"/>
      <c r="B11" s="19"/>
      <c r="C11" s="19"/>
      <c r="D11" s="18"/>
      <c r="E11" s="18"/>
    </row>
    <row r="12" spans="1:13" x14ac:dyDescent="0.3">
      <c r="A12" s="15"/>
      <c r="B12" s="19"/>
      <c r="C12" s="19"/>
      <c r="D12" s="18"/>
      <c r="E12" s="18"/>
    </row>
    <row r="13" spans="1:13" x14ac:dyDescent="0.3">
      <c r="A13" s="15"/>
      <c r="B13" s="19"/>
      <c r="C13" s="19"/>
      <c r="D13" s="18"/>
      <c r="E13" s="18"/>
    </row>
    <row r="14" spans="1:13" x14ac:dyDescent="0.3">
      <c r="A14" s="15"/>
      <c r="B14" s="19"/>
      <c r="C14" s="19"/>
      <c r="D14" s="18"/>
      <c r="E14" s="18"/>
    </row>
    <row r="15" spans="1:13" x14ac:dyDescent="0.3">
      <c r="A15" s="15"/>
      <c r="B15" s="19"/>
      <c r="C15" s="19"/>
      <c r="D15" s="18"/>
      <c r="E15" s="18"/>
      <c r="M15" s="13" t="s">
        <v>3</v>
      </c>
    </row>
    <row r="16" spans="1:13" x14ac:dyDescent="0.3">
      <c r="A16" s="15"/>
      <c r="B16" s="19"/>
      <c r="C16" s="19"/>
      <c r="D16" s="18"/>
      <c r="E16" s="18"/>
    </row>
    <row r="17" spans="1:7" x14ac:dyDescent="0.3">
      <c r="A17" s="15"/>
      <c r="B17" s="19"/>
      <c r="C17" s="19"/>
      <c r="D17" s="18"/>
      <c r="E17" s="18"/>
    </row>
    <row r="18" spans="1:7" x14ac:dyDescent="0.3">
      <c r="A18" s="15"/>
      <c r="B18" s="19"/>
      <c r="C18" s="19"/>
      <c r="D18" s="18"/>
      <c r="E18" s="18"/>
    </row>
    <row r="19" spans="1:7" x14ac:dyDescent="0.3">
      <c r="A19" s="15"/>
      <c r="B19" s="19"/>
      <c r="C19" s="19"/>
      <c r="D19" s="18"/>
      <c r="E19" s="18"/>
    </row>
    <row r="20" spans="1:7" x14ac:dyDescent="0.3">
      <c r="A20" s="15"/>
      <c r="B20" s="19"/>
      <c r="C20" s="19"/>
      <c r="D20" s="18"/>
      <c r="E20" s="18"/>
    </row>
    <row r="21" spans="1:7" x14ac:dyDescent="0.3">
      <c r="A21" s="15"/>
      <c r="B21" s="19"/>
      <c r="C21" s="19"/>
      <c r="D21" s="18"/>
      <c r="E21" s="18"/>
    </row>
    <row r="22" spans="1:7" x14ac:dyDescent="0.3">
      <c r="A22" s="15"/>
      <c r="B22" s="19"/>
      <c r="C22" s="19"/>
      <c r="D22" s="18"/>
      <c r="E22" s="18"/>
    </row>
    <row r="23" spans="1:7" x14ac:dyDescent="0.3">
      <c r="A23" s="15"/>
      <c r="B23" s="19"/>
      <c r="C23" s="19"/>
      <c r="D23" s="18"/>
      <c r="E23" s="18"/>
    </row>
    <row r="24" spans="1:7" x14ac:dyDescent="0.3">
      <c r="A24" s="15"/>
      <c r="B24" s="19"/>
      <c r="C24" s="19"/>
      <c r="D24" s="18"/>
      <c r="E24" s="18"/>
    </row>
    <row r="25" spans="1:7" x14ac:dyDescent="0.3">
      <c r="B25" s="31"/>
      <c r="C25" s="21"/>
      <c r="D25" s="20"/>
      <c r="E25" s="20"/>
      <c r="F25" s="14"/>
      <c r="G25" s="14"/>
    </row>
    <row r="26" spans="1:7" x14ac:dyDescent="0.3">
      <c r="B26" s="18"/>
      <c r="C26" s="21"/>
      <c r="D26" s="18"/>
      <c r="E26" s="18"/>
    </row>
    <row r="27" spans="1:7" ht="16.2" thickBot="1" x14ac:dyDescent="0.35">
      <c r="B27" s="18"/>
      <c r="C27" s="21"/>
      <c r="D27" s="18"/>
      <c r="E27" s="18"/>
    </row>
    <row r="28" spans="1:7" x14ac:dyDescent="0.3">
      <c r="B28" s="27" t="s">
        <v>4</v>
      </c>
      <c r="C28" s="28" t="s">
        <v>5</v>
      </c>
      <c r="D28" s="28" t="s">
        <v>6</v>
      </c>
      <c r="E28" s="73" t="s">
        <v>7</v>
      </c>
    </row>
    <row r="29" spans="1:7" ht="16.2" x14ac:dyDescent="0.3">
      <c r="B29" s="36" t="s">
        <v>8</v>
      </c>
      <c r="C29" s="281"/>
      <c r="D29" s="22" t="s">
        <v>9</v>
      </c>
      <c r="E29" s="23" t="s">
        <v>10</v>
      </c>
    </row>
    <row r="30" spans="1:7" x14ac:dyDescent="0.3">
      <c r="B30" s="36" t="s">
        <v>11</v>
      </c>
      <c r="C30" s="281"/>
      <c r="D30" s="22" t="s">
        <v>12</v>
      </c>
      <c r="E30" s="23" t="s">
        <v>13</v>
      </c>
    </row>
    <row r="31" spans="1:7" ht="16.2" x14ac:dyDescent="0.35">
      <c r="B31" s="36" t="s">
        <v>14</v>
      </c>
      <c r="C31" s="281"/>
      <c r="D31" s="24" t="s">
        <v>15</v>
      </c>
      <c r="E31" s="23" t="s">
        <v>16</v>
      </c>
      <c r="F31" s="14"/>
      <c r="G31" s="14"/>
    </row>
    <row r="32" spans="1:7" x14ac:dyDescent="0.3">
      <c r="B32" s="36" t="s">
        <v>17</v>
      </c>
      <c r="C32" s="281"/>
      <c r="D32" s="22" t="s">
        <v>12</v>
      </c>
      <c r="E32" s="23" t="s">
        <v>18</v>
      </c>
    </row>
    <row r="33" spans="2:9" ht="16.2" x14ac:dyDescent="0.35">
      <c r="B33" s="36" t="s">
        <v>19</v>
      </c>
      <c r="C33" s="281"/>
      <c r="D33" s="24" t="s">
        <v>15</v>
      </c>
      <c r="E33" s="38" t="s">
        <v>20</v>
      </c>
      <c r="F33" s="14"/>
      <c r="G33" s="14"/>
    </row>
    <row r="34" spans="2:9" ht="16.2" thickBot="1" x14ac:dyDescent="0.35">
      <c r="B34" s="53" t="s">
        <v>23</v>
      </c>
      <c r="C34" s="282"/>
      <c r="D34" s="54" t="s">
        <v>24</v>
      </c>
      <c r="E34" s="32" t="s">
        <v>25</v>
      </c>
      <c r="F34" s="14"/>
      <c r="G34" s="14"/>
    </row>
    <row r="35" spans="2:9" ht="16.8" thickBot="1" x14ac:dyDescent="0.35">
      <c r="B35" s="55" t="s">
        <v>21</v>
      </c>
      <c r="C35" s="208" t="str">
        <f>IF(C34="Irrigated",C29*((C30*C31)+(C32*C33))/12*0.5,IF(C34="Non-Irrigated",C29*((C30*C31)+(C32*C33))/12,"Select Irrigation Value"))</f>
        <v>Select Irrigation Value</v>
      </c>
      <c r="D35" s="56" t="s">
        <v>22</v>
      </c>
      <c r="E35" s="45"/>
      <c r="F35" s="14"/>
      <c r="G35" s="14"/>
    </row>
    <row r="36" spans="2:9" ht="16.2" x14ac:dyDescent="0.3">
      <c r="B36" s="36" t="s">
        <v>26</v>
      </c>
      <c r="C36" s="209" t="str">
        <f>C35</f>
        <v>Select Irrigation Value</v>
      </c>
      <c r="D36" s="26" t="s">
        <v>22</v>
      </c>
      <c r="E36" s="25" t="s">
        <v>27</v>
      </c>
      <c r="F36" s="16"/>
      <c r="G36" s="16"/>
      <c r="H36" s="16"/>
    </row>
    <row r="37" spans="2:9" ht="16.2" thickBot="1" x14ac:dyDescent="0.35">
      <c r="B37" s="233" t="s">
        <v>26</v>
      </c>
      <c r="C37" s="210" t="str">
        <f>IFERROR(C36*7.48,"")</f>
        <v/>
      </c>
      <c r="D37" s="29" t="s">
        <v>28</v>
      </c>
      <c r="E37" s="72" t="s">
        <v>29</v>
      </c>
      <c r="I37" s="16"/>
    </row>
  </sheetData>
  <sheetProtection algorithmName="SHA-512" hashValue="6Os2QeiVA7FZpOjlBI7zD7byfUPK3o7tf3Q4ASn4In3CH/i8Gkcg5KA+W43JT7D8sBYbSL5dMUxO5TeLeJATww==" saltValue="CEIMrkBz9Rzxvfhe1D608A==" spinCount="100000" sheet="1" objects="1" scenarios="1"/>
  <dataConsolidate/>
  <dataValidations count="1">
    <dataValidation type="list" allowBlank="1" showInputMessage="1" showErrorMessage="1" sqref="C34" xr:uid="{66875315-F7A2-40D3-BABB-97BE10DED87D}">
      <formula1>$I$3:$I$5</formula1>
    </dataValidation>
  </dataValidations>
  <printOptions horizontalCentere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92D050"/>
  </sheetPr>
  <dimension ref="A1:J22"/>
  <sheetViews>
    <sheetView workbookViewId="0"/>
  </sheetViews>
  <sheetFormatPr defaultRowHeight="14.4" x14ac:dyDescent="0.3"/>
  <cols>
    <col min="2" max="2" width="33.33203125" customWidth="1"/>
    <col min="3" max="3" width="12.44140625" customWidth="1"/>
    <col min="6" max="6" width="10.5546875" bestFit="1" customWidth="1"/>
  </cols>
  <sheetData>
    <row r="1" spans="1:10" ht="18" x14ac:dyDescent="0.35">
      <c r="A1" s="187" t="s">
        <v>30</v>
      </c>
      <c r="B1" s="184"/>
      <c r="C1" s="184"/>
    </row>
    <row r="2" spans="1:10" x14ac:dyDescent="0.3">
      <c r="A2" s="185"/>
      <c r="B2" s="185"/>
      <c r="C2" s="185"/>
    </row>
    <row r="3" spans="1:10" ht="15.6" x14ac:dyDescent="0.3">
      <c r="A3" s="186" t="s">
        <v>31</v>
      </c>
      <c r="B3" s="84"/>
      <c r="C3" s="84"/>
      <c r="D3" s="84"/>
      <c r="E3" s="84"/>
      <c r="F3" s="144"/>
      <c r="G3" s="144"/>
      <c r="H3" s="144"/>
      <c r="I3" s="144"/>
      <c r="J3" s="144"/>
    </row>
    <row r="4" spans="1:10" ht="15.6" x14ac:dyDescent="0.3">
      <c r="A4" s="144"/>
      <c r="B4" s="173" t="s">
        <v>32</v>
      </c>
      <c r="C4" s="117"/>
      <c r="D4" s="112"/>
      <c r="E4" s="112"/>
      <c r="F4" s="112"/>
      <c r="G4" s="112"/>
      <c r="H4" s="112"/>
      <c r="I4" s="112"/>
      <c r="J4" s="144"/>
    </row>
    <row r="5" spans="1:10" x14ac:dyDescent="0.3">
      <c r="A5" s="144"/>
      <c r="B5" s="135"/>
      <c r="C5" s="135"/>
      <c r="D5" s="135"/>
      <c r="E5" s="135"/>
      <c r="F5" s="136"/>
      <c r="G5" s="114"/>
      <c r="H5" s="112"/>
      <c r="I5" s="112"/>
      <c r="J5" s="144"/>
    </row>
    <row r="6" spans="1:10" x14ac:dyDescent="0.3">
      <c r="A6" s="144"/>
      <c r="B6" s="135"/>
      <c r="C6" s="135"/>
      <c r="D6" s="135"/>
      <c r="E6" s="135"/>
      <c r="F6" s="137"/>
      <c r="G6" s="135"/>
      <c r="H6" s="112"/>
      <c r="I6" s="112"/>
      <c r="J6" s="144"/>
    </row>
    <row r="7" spans="1:10" x14ac:dyDescent="0.3">
      <c r="A7" s="144"/>
      <c r="B7" s="135"/>
      <c r="C7" s="135"/>
      <c r="D7" s="135"/>
      <c r="E7" s="135"/>
      <c r="F7" s="135"/>
      <c r="G7" s="106"/>
      <c r="H7" s="112"/>
      <c r="I7" s="112"/>
      <c r="J7" s="144"/>
    </row>
    <row r="8" spans="1:10" x14ac:dyDescent="0.3">
      <c r="A8" s="144"/>
      <c r="B8" s="135"/>
      <c r="C8" s="135"/>
      <c r="D8" s="135"/>
      <c r="E8" s="135"/>
      <c r="F8" s="135"/>
      <c r="G8" s="114"/>
      <c r="H8" s="112"/>
      <c r="I8" s="112"/>
      <c r="J8" s="144"/>
    </row>
    <row r="9" spans="1:10" x14ac:dyDescent="0.3">
      <c r="A9" s="144"/>
      <c r="B9" s="135"/>
      <c r="C9" s="135"/>
      <c r="D9" s="135"/>
      <c r="E9" s="135"/>
      <c r="F9" s="138"/>
      <c r="G9" s="135"/>
      <c r="H9" s="112"/>
      <c r="I9" s="112"/>
      <c r="J9" s="144"/>
    </row>
    <row r="10" spans="1:10" x14ac:dyDescent="0.3">
      <c r="A10" s="144"/>
      <c r="B10" s="135"/>
      <c r="C10" s="135"/>
      <c r="D10" s="135"/>
      <c r="E10" s="135"/>
      <c r="F10" s="135"/>
      <c r="G10" s="106"/>
      <c r="H10" s="112"/>
      <c r="I10" s="112"/>
      <c r="J10" s="144"/>
    </row>
    <row r="11" spans="1:10" x14ac:dyDescent="0.3">
      <c r="A11" s="144"/>
      <c r="B11" s="135"/>
      <c r="C11" s="135"/>
      <c r="D11" s="135"/>
      <c r="E11" s="135"/>
      <c r="F11" s="135"/>
      <c r="G11" s="135"/>
      <c r="H11" s="112"/>
      <c r="I11" s="112"/>
      <c r="J11" s="144"/>
    </row>
    <row r="12" spans="1:10" x14ac:dyDescent="0.3">
      <c r="A12" s="144"/>
      <c r="B12" s="135"/>
      <c r="C12" s="135"/>
      <c r="D12" s="135"/>
      <c r="E12" s="135"/>
      <c r="F12" s="135"/>
      <c r="G12" s="135"/>
      <c r="H12" s="112"/>
      <c r="I12" s="112"/>
      <c r="J12" s="144"/>
    </row>
    <row r="13" spans="1:10" x14ac:dyDescent="0.3">
      <c r="A13" s="144"/>
      <c r="B13" s="135"/>
      <c r="C13" s="135"/>
      <c r="D13" s="135"/>
      <c r="E13" s="135"/>
      <c r="F13" s="135"/>
      <c r="G13" s="135"/>
      <c r="H13" s="112"/>
      <c r="I13" s="112"/>
      <c r="J13" s="144"/>
    </row>
    <row r="14" spans="1:10" x14ac:dyDescent="0.3">
      <c r="A14" s="144"/>
      <c r="B14" s="135"/>
      <c r="C14" s="135"/>
      <c r="D14" s="135"/>
      <c r="E14" s="135"/>
      <c r="F14" s="135"/>
      <c r="G14" s="135"/>
      <c r="H14" s="112"/>
      <c r="I14" s="112"/>
      <c r="J14" s="144"/>
    </row>
    <row r="15" spans="1:10" x14ac:dyDescent="0.3">
      <c r="A15" s="144"/>
      <c r="B15" s="135"/>
      <c r="C15" s="135"/>
      <c r="D15" s="135"/>
      <c r="E15" s="135"/>
      <c r="F15" s="135"/>
      <c r="G15" s="135"/>
      <c r="H15" s="112"/>
      <c r="I15" s="112"/>
    </row>
    <row r="16" spans="1:10" x14ac:dyDescent="0.3">
      <c r="B16" s="135"/>
      <c r="C16" s="135"/>
      <c r="D16" s="135"/>
      <c r="E16" s="135"/>
      <c r="F16" s="135"/>
      <c r="G16" s="135"/>
      <c r="H16" s="106"/>
      <c r="I16" s="106"/>
    </row>
    <row r="17" spans="2:9" x14ac:dyDescent="0.3">
      <c r="B17" s="135"/>
      <c r="C17" s="135"/>
      <c r="D17" s="135"/>
      <c r="E17" s="135"/>
      <c r="F17" s="135"/>
      <c r="G17" s="135"/>
      <c r="H17" s="106"/>
      <c r="I17" s="106"/>
    </row>
    <row r="18" spans="2:9" x14ac:dyDescent="0.3">
      <c r="B18" s="135"/>
      <c r="C18" s="135"/>
      <c r="D18" s="135"/>
      <c r="E18" s="135"/>
      <c r="F18" s="135"/>
      <c r="G18" s="135"/>
      <c r="H18" s="106"/>
      <c r="I18" s="106"/>
    </row>
    <row r="19" spans="2:9" x14ac:dyDescent="0.3">
      <c r="B19" s="135"/>
      <c r="C19" s="135"/>
      <c r="D19" s="135"/>
      <c r="E19" s="135"/>
      <c r="F19" s="135"/>
      <c r="G19" s="135"/>
      <c r="H19" s="106"/>
      <c r="I19" s="106"/>
    </row>
    <row r="20" spans="2:9" x14ac:dyDescent="0.3">
      <c r="B20" s="135"/>
      <c r="C20" s="135"/>
      <c r="D20" s="135"/>
      <c r="E20" s="135"/>
      <c r="F20" s="135"/>
      <c r="G20" s="135"/>
      <c r="H20" s="106"/>
      <c r="I20" s="106"/>
    </row>
    <row r="21" spans="2:9" x14ac:dyDescent="0.3">
      <c r="B21" s="10"/>
      <c r="C21" s="10"/>
      <c r="D21" s="10"/>
      <c r="E21" s="10"/>
      <c r="F21" s="10"/>
      <c r="G21" s="10"/>
    </row>
    <row r="22" spans="2:9" x14ac:dyDescent="0.3">
      <c r="B22" s="10"/>
      <c r="C22" s="10"/>
      <c r="D22" s="10"/>
      <c r="E22" s="10"/>
      <c r="F22" s="10"/>
      <c r="G22" s="10"/>
    </row>
  </sheetData>
  <hyperlinks>
    <hyperlink ref="B4" r:id="rId1" xr:uid="{5AAF6DD7-6037-43FA-BC54-35BE2050A0A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92D050"/>
  </sheetPr>
  <dimension ref="A1:F35"/>
  <sheetViews>
    <sheetView zoomScaleNormal="100" workbookViewId="0"/>
  </sheetViews>
  <sheetFormatPr defaultRowHeight="14.4" x14ac:dyDescent="0.3"/>
  <cols>
    <col min="2" max="2" width="13.44140625" customWidth="1"/>
    <col min="3" max="3" width="24.44140625" customWidth="1"/>
    <col min="4" max="4" width="23.44140625" customWidth="1"/>
    <col min="5" max="5" width="23" customWidth="1"/>
    <col min="6" max="6" width="5.6640625" customWidth="1"/>
    <col min="7" max="7" width="4.5546875" customWidth="1"/>
    <col min="8" max="8" width="5" customWidth="1"/>
  </cols>
  <sheetData>
    <row r="1" spans="1:3" x14ac:dyDescent="0.3">
      <c r="A1" s="4"/>
      <c r="B1" s="4"/>
      <c r="C1" s="4"/>
    </row>
    <row r="2" spans="1:3" x14ac:dyDescent="0.3">
      <c r="A2" s="4"/>
      <c r="B2" s="4"/>
      <c r="C2" s="4"/>
    </row>
    <row r="3" spans="1:3" x14ac:dyDescent="0.3">
      <c r="A3" s="4"/>
      <c r="B3" s="4"/>
      <c r="C3" s="4"/>
    </row>
    <row r="4" spans="1:3" x14ac:dyDescent="0.3">
      <c r="A4" s="4"/>
      <c r="B4" s="4"/>
      <c r="C4" s="4"/>
    </row>
    <row r="5" spans="1:3" x14ac:dyDescent="0.3">
      <c r="A5" s="4"/>
      <c r="B5" s="4"/>
      <c r="C5" s="4"/>
    </row>
    <row r="6" spans="1:3" x14ac:dyDescent="0.3">
      <c r="A6" s="4"/>
      <c r="B6" s="4"/>
      <c r="C6" s="4"/>
    </row>
    <row r="7" spans="1:3" x14ac:dyDescent="0.3">
      <c r="A7" s="4"/>
      <c r="B7" s="4"/>
      <c r="C7" s="4"/>
    </row>
    <row r="8" spans="1:3" x14ac:dyDescent="0.3">
      <c r="A8" s="4"/>
      <c r="B8" s="4"/>
      <c r="C8" s="4"/>
    </row>
    <row r="9" spans="1:3" x14ac:dyDescent="0.3">
      <c r="A9" s="4"/>
      <c r="B9" s="4"/>
      <c r="C9" s="4"/>
    </row>
    <row r="10" spans="1:3" x14ac:dyDescent="0.3">
      <c r="A10" s="4"/>
      <c r="B10" s="4"/>
      <c r="C10" s="4"/>
    </row>
    <row r="11" spans="1:3" x14ac:dyDescent="0.3">
      <c r="A11" s="4"/>
      <c r="B11" s="4"/>
      <c r="C11" s="4"/>
    </row>
    <row r="12" spans="1:3" x14ac:dyDescent="0.3">
      <c r="A12" s="4"/>
      <c r="B12" s="4"/>
      <c r="C12" s="4"/>
    </row>
    <row r="13" spans="1:3" x14ac:dyDescent="0.3">
      <c r="A13" s="4"/>
      <c r="B13" s="4"/>
      <c r="C13" s="4"/>
    </row>
    <row r="14" spans="1:3" x14ac:dyDescent="0.3">
      <c r="A14" s="4"/>
      <c r="B14" s="4"/>
      <c r="C14" s="4"/>
    </row>
    <row r="15" spans="1:3" x14ac:dyDescent="0.3">
      <c r="A15" s="4"/>
      <c r="B15" s="4"/>
      <c r="C15" s="4"/>
    </row>
    <row r="16" spans="1:3" x14ac:dyDescent="0.3">
      <c r="A16" s="4"/>
      <c r="B16" s="4"/>
      <c r="C16" s="4"/>
    </row>
    <row r="17" spans="1:5" x14ac:dyDescent="0.3">
      <c r="A17" s="4"/>
      <c r="B17" s="4"/>
      <c r="C17" s="4"/>
    </row>
    <row r="18" spans="1:5" x14ac:dyDescent="0.3">
      <c r="A18" s="4"/>
      <c r="B18" s="4"/>
      <c r="C18" s="4"/>
    </row>
    <row r="19" spans="1:5" x14ac:dyDescent="0.3">
      <c r="A19" s="4"/>
      <c r="B19" s="4"/>
      <c r="C19" s="4"/>
    </row>
    <row r="20" spans="1:5" x14ac:dyDescent="0.3">
      <c r="A20" s="4"/>
      <c r="B20" s="4"/>
      <c r="C20" s="4"/>
    </row>
    <row r="21" spans="1:5" x14ac:dyDescent="0.3">
      <c r="A21" s="4"/>
      <c r="B21" s="4"/>
      <c r="C21" s="4"/>
    </row>
    <row r="22" spans="1:5" ht="19.2" customHeight="1" x14ac:dyDescent="0.3">
      <c r="A22" s="4"/>
      <c r="B22" s="4"/>
      <c r="C22" s="4"/>
    </row>
    <row r="23" spans="1:5" x14ac:dyDescent="0.3">
      <c r="A23" s="4"/>
      <c r="B23" s="4"/>
      <c r="C23" s="4"/>
    </row>
    <row r="24" spans="1:5" ht="15" thickBot="1" x14ac:dyDescent="0.35">
      <c r="A24" s="4"/>
      <c r="B24" s="4"/>
      <c r="C24" s="4"/>
    </row>
    <row r="25" spans="1:5" ht="17.399999999999999" thickBot="1" x14ac:dyDescent="0.4">
      <c r="A25" s="12"/>
      <c r="B25" s="61" t="s">
        <v>33</v>
      </c>
      <c r="C25" s="60" t="s">
        <v>34</v>
      </c>
      <c r="D25" s="58" t="s">
        <v>35</v>
      </c>
      <c r="E25" s="59" t="s">
        <v>36</v>
      </c>
    </row>
    <row r="26" spans="1:5" x14ac:dyDescent="0.3">
      <c r="B26" s="62" t="s">
        <v>37</v>
      </c>
      <c r="C26" s="283"/>
      <c r="D26" s="212">
        <f>4*C26/100</f>
        <v>0</v>
      </c>
      <c r="E26" s="213">
        <f>30*C26/100</f>
        <v>0</v>
      </c>
    </row>
    <row r="27" spans="1:5" x14ac:dyDescent="0.3">
      <c r="B27" s="63" t="s">
        <v>38</v>
      </c>
      <c r="C27" s="284"/>
      <c r="D27" s="215">
        <f>2*C27/100</f>
        <v>0</v>
      </c>
      <c r="E27" s="216">
        <f>15*C27/100</f>
        <v>0</v>
      </c>
    </row>
    <row r="28" spans="1:5" x14ac:dyDescent="0.3">
      <c r="B28" s="63" t="s">
        <v>39</v>
      </c>
      <c r="C28" s="284"/>
      <c r="D28" s="215">
        <f>6*C28/100</f>
        <v>0</v>
      </c>
      <c r="E28" s="216">
        <f>45*C28/100</f>
        <v>0</v>
      </c>
    </row>
    <row r="29" spans="1:5" ht="15" thickBot="1" x14ac:dyDescent="0.35">
      <c r="B29" s="64" t="s">
        <v>40</v>
      </c>
      <c r="C29" s="285"/>
      <c r="D29" s="218">
        <f>4*C29/100</f>
        <v>0</v>
      </c>
      <c r="E29" s="219">
        <f t="shared" ref="E29" si="0">30*C29/100</f>
        <v>0</v>
      </c>
    </row>
    <row r="30" spans="1:5" ht="15" thickBot="1" x14ac:dyDescent="0.35">
      <c r="B30" s="65" t="s">
        <v>41</v>
      </c>
      <c r="C30" s="220">
        <f>SUM(C26:C29)</f>
        <v>0</v>
      </c>
      <c r="D30" s="221">
        <f>SUM(D26:D29)</f>
        <v>0</v>
      </c>
      <c r="E30" s="222">
        <f>SUM(E26:E29)</f>
        <v>0</v>
      </c>
    </row>
    <row r="31" spans="1:5" x14ac:dyDescent="0.3">
      <c r="E31" s="76"/>
    </row>
    <row r="32" spans="1:5" x14ac:dyDescent="0.3">
      <c r="E32" s="76"/>
    </row>
    <row r="35" spans="2:6" x14ac:dyDescent="0.3">
      <c r="B35" s="1"/>
      <c r="D35" s="144"/>
      <c r="E35" s="144"/>
      <c r="F35" s="144"/>
    </row>
  </sheetData>
  <sheetProtection algorithmName="SHA-512" hashValue="uKVdA1iCapLNRNwlwUfS/Gv28OxJN/PdBAlR0Rb2K+6TA+nj0MqJEfe0j1e5rXsBKon18TnirqWDR1Hrb2Uq/g==" saltValue="rSIeZdFsIhz3Ki3EAw3LjA==" spinCount="100000" sheet="1" objects="1" scenarios="1"/>
  <printOptions horizontalCentered="1"/>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B0343-44B3-46C7-BC70-F3BE69C99834}">
  <sheetPr codeName="Sheet5">
    <tabColor rgb="FF92D050"/>
  </sheetPr>
  <dimension ref="B1:R85"/>
  <sheetViews>
    <sheetView topLeftCell="A28" zoomScaleNormal="100" workbookViewId="0">
      <selection activeCell="K66" sqref="K66"/>
    </sheetView>
  </sheetViews>
  <sheetFormatPr defaultRowHeight="14.4" x14ac:dyDescent="0.3"/>
  <cols>
    <col min="2" max="2" width="20.44140625" bestFit="1" customWidth="1"/>
    <col min="3" max="3" width="24.6640625" customWidth="1"/>
    <col min="5" max="5" width="44.88671875" customWidth="1"/>
    <col min="6" max="6" width="5.5546875" customWidth="1"/>
    <col min="7" max="7" width="4.6640625" customWidth="1"/>
    <col min="8" max="8" width="21.33203125" hidden="1" customWidth="1"/>
    <col min="9" max="9" width="4.109375" customWidth="1"/>
    <col min="11" max="11" width="12.5546875" customWidth="1"/>
    <col min="13" max="13" width="10.5546875" customWidth="1"/>
    <col min="18" max="18" width="11.109375" customWidth="1"/>
  </cols>
  <sheetData>
    <row r="1" spans="3:8" x14ac:dyDescent="0.3">
      <c r="C1" s="35"/>
      <c r="D1" s="35"/>
      <c r="E1" s="35"/>
      <c r="F1" s="35"/>
    </row>
    <row r="2" spans="3:8" ht="15" thickBot="1" x14ac:dyDescent="0.35">
      <c r="C2" s="35"/>
      <c r="D2" s="35"/>
      <c r="E2" s="35"/>
      <c r="F2" s="35"/>
      <c r="H2" s="57" t="s">
        <v>0</v>
      </c>
    </row>
    <row r="3" spans="3:8" ht="15.6" thickTop="1" thickBot="1" x14ac:dyDescent="0.35">
      <c r="C3" s="35"/>
      <c r="D3" s="35"/>
      <c r="E3" s="35"/>
      <c r="F3" s="35"/>
      <c r="H3" s="57"/>
    </row>
    <row r="4" spans="3:8" ht="15.6" thickTop="1" thickBot="1" x14ac:dyDescent="0.35">
      <c r="C4" s="35"/>
      <c r="D4" s="35"/>
      <c r="E4" s="35"/>
      <c r="F4" s="35"/>
      <c r="H4" s="57" t="s">
        <v>42</v>
      </c>
    </row>
    <row r="5" spans="3:8" ht="15.6" thickTop="1" thickBot="1" x14ac:dyDescent="0.35">
      <c r="C5" s="35"/>
      <c r="D5" s="35"/>
      <c r="E5" s="35"/>
      <c r="F5" s="35"/>
      <c r="H5" s="57" t="s">
        <v>43</v>
      </c>
    </row>
    <row r="6" spans="3:8" ht="15.6" thickTop="1" thickBot="1" x14ac:dyDescent="0.35">
      <c r="C6" s="35"/>
      <c r="D6" s="35"/>
      <c r="E6" s="35"/>
      <c r="F6" s="35"/>
      <c r="H6" s="57" t="s">
        <v>44</v>
      </c>
    </row>
    <row r="7" spans="3:8" ht="15" thickTop="1" x14ac:dyDescent="0.3">
      <c r="C7" s="35"/>
      <c r="D7" s="35"/>
      <c r="E7" s="35"/>
      <c r="F7" s="35"/>
    </row>
    <row r="8" spans="3:8" x14ac:dyDescent="0.3">
      <c r="C8" s="35"/>
      <c r="D8" s="35"/>
      <c r="E8" s="35"/>
      <c r="F8" s="35"/>
    </row>
    <row r="9" spans="3:8" x14ac:dyDescent="0.3">
      <c r="C9" s="35"/>
      <c r="D9" s="35"/>
      <c r="E9" s="35"/>
      <c r="F9" s="35"/>
    </row>
    <row r="10" spans="3:8" x14ac:dyDescent="0.3">
      <c r="C10" s="35"/>
      <c r="D10" s="35"/>
      <c r="E10" s="35"/>
      <c r="F10" s="35"/>
    </row>
    <row r="11" spans="3:8" x14ac:dyDescent="0.3">
      <c r="C11" s="35"/>
      <c r="D11" s="35"/>
      <c r="E11" s="35"/>
      <c r="F11" s="35"/>
    </row>
    <row r="12" spans="3:8" x14ac:dyDescent="0.3">
      <c r="C12" s="35"/>
      <c r="D12" s="35"/>
      <c r="E12" s="35"/>
      <c r="F12" s="35"/>
    </row>
    <row r="13" spans="3:8" x14ac:dyDescent="0.3">
      <c r="C13" s="35"/>
      <c r="D13" s="35"/>
      <c r="E13" s="35"/>
      <c r="F13" s="35"/>
    </row>
    <row r="14" spans="3:8" x14ac:dyDescent="0.3">
      <c r="C14" s="35"/>
      <c r="D14" s="35"/>
      <c r="E14" s="35"/>
      <c r="F14" s="35"/>
    </row>
    <row r="15" spans="3:8" x14ac:dyDescent="0.3">
      <c r="C15" s="35"/>
      <c r="D15" s="35"/>
      <c r="E15" s="35"/>
      <c r="F15" s="35"/>
    </row>
    <row r="16" spans="3:8" x14ac:dyDescent="0.3">
      <c r="C16" s="35"/>
      <c r="D16" s="35"/>
      <c r="E16" s="35"/>
      <c r="F16" s="35"/>
    </row>
    <row r="17" spans="3:6" x14ac:dyDescent="0.3">
      <c r="C17" s="35"/>
      <c r="D17" s="35"/>
      <c r="E17" s="35"/>
      <c r="F17" s="35"/>
    </row>
    <row r="18" spans="3:6" x14ac:dyDescent="0.3">
      <c r="C18" s="35"/>
      <c r="D18" s="35"/>
      <c r="E18" s="35"/>
      <c r="F18" s="35"/>
    </row>
    <row r="19" spans="3:6" x14ac:dyDescent="0.3">
      <c r="C19" s="35"/>
      <c r="D19" s="35"/>
      <c r="E19" s="35"/>
      <c r="F19" s="35"/>
    </row>
    <row r="20" spans="3:6" x14ac:dyDescent="0.3">
      <c r="C20" s="35"/>
      <c r="D20" s="35"/>
      <c r="E20" s="35"/>
      <c r="F20" s="35"/>
    </row>
    <row r="21" spans="3:6" x14ac:dyDescent="0.3">
      <c r="C21" s="35"/>
      <c r="D21" s="35"/>
      <c r="E21" s="35"/>
      <c r="F21" s="35"/>
    </row>
    <row r="22" spans="3:6" x14ac:dyDescent="0.3">
      <c r="C22" s="35"/>
      <c r="D22" s="35"/>
      <c r="E22" s="35"/>
      <c r="F22" s="35"/>
    </row>
    <row r="23" spans="3:6" x14ac:dyDescent="0.3">
      <c r="C23" s="35"/>
      <c r="D23" s="35"/>
      <c r="E23" s="35"/>
      <c r="F23" s="35"/>
    </row>
    <row r="24" spans="3:6" x14ac:dyDescent="0.3">
      <c r="C24" s="35"/>
      <c r="D24" s="35"/>
      <c r="E24" s="35"/>
      <c r="F24" s="35"/>
    </row>
    <row r="25" spans="3:6" x14ac:dyDescent="0.3">
      <c r="C25" s="35"/>
      <c r="D25" s="35"/>
      <c r="E25" s="35"/>
      <c r="F25" s="35"/>
    </row>
    <row r="26" spans="3:6" x14ac:dyDescent="0.3">
      <c r="C26" s="35"/>
      <c r="D26" s="35"/>
      <c r="E26" s="35"/>
      <c r="F26" s="35"/>
    </row>
    <row r="27" spans="3:6" x14ac:dyDescent="0.3">
      <c r="C27" s="35"/>
      <c r="D27" s="35"/>
      <c r="E27" s="35"/>
      <c r="F27" s="35"/>
    </row>
    <row r="28" spans="3:6" x14ac:dyDescent="0.3">
      <c r="C28" s="35"/>
      <c r="D28" s="35"/>
      <c r="E28" s="35"/>
      <c r="F28" s="35"/>
    </row>
    <row r="29" spans="3:6" x14ac:dyDescent="0.3">
      <c r="C29" s="35"/>
      <c r="D29" s="35"/>
      <c r="E29" s="35"/>
      <c r="F29" s="35"/>
    </row>
    <row r="30" spans="3:6" x14ac:dyDescent="0.3">
      <c r="C30" s="35"/>
      <c r="D30" s="35"/>
      <c r="E30" s="35"/>
      <c r="F30" s="35"/>
    </row>
    <row r="31" spans="3:6" x14ac:dyDescent="0.3">
      <c r="C31" s="35"/>
      <c r="D31" s="35"/>
      <c r="E31" s="35"/>
      <c r="F31" s="35"/>
    </row>
    <row r="32" spans="3:6" x14ac:dyDescent="0.3">
      <c r="C32" s="35"/>
      <c r="D32" s="35"/>
      <c r="E32" s="35"/>
      <c r="F32" s="35"/>
    </row>
    <row r="33" spans="3:6" x14ac:dyDescent="0.3">
      <c r="C33" s="35"/>
      <c r="D33" s="35"/>
      <c r="E33" s="35"/>
      <c r="F33" s="35"/>
    </row>
    <row r="34" spans="3:6" x14ac:dyDescent="0.3">
      <c r="C34" s="35"/>
      <c r="D34" s="35"/>
      <c r="E34" s="35"/>
      <c r="F34" s="35"/>
    </row>
    <row r="35" spans="3:6" x14ac:dyDescent="0.3">
      <c r="C35" s="35"/>
      <c r="D35" s="35"/>
      <c r="E35" s="35"/>
      <c r="F35" s="35"/>
    </row>
    <row r="36" spans="3:6" x14ac:dyDescent="0.3">
      <c r="C36" s="35"/>
      <c r="D36" s="35"/>
      <c r="E36" s="35"/>
      <c r="F36" s="35"/>
    </row>
    <row r="37" spans="3:6" x14ac:dyDescent="0.3">
      <c r="C37" s="35"/>
      <c r="D37" s="35"/>
      <c r="E37" s="35"/>
      <c r="F37" s="35"/>
    </row>
    <row r="38" spans="3:6" x14ac:dyDescent="0.3">
      <c r="C38" s="35"/>
      <c r="D38" s="35"/>
      <c r="E38" s="35"/>
      <c r="F38" s="35"/>
    </row>
    <row r="39" spans="3:6" x14ac:dyDescent="0.3">
      <c r="C39" s="35"/>
      <c r="D39" s="35"/>
      <c r="E39" s="35"/>
      <c r="F39" s="35"/>
    </row>
    <row r="40" spans="3:6" x14ac:dyDescent="0.3">
      <c r="C40" s="35"/>
      <c r="D40" s="35"/>
      <c r="E40" s="35"/>
      <c r="F40" s="35"/>
    </row>
    <row r="41" spans="3:6" x14ac:dyDescent="0.3">
      <c r="C41" s="35"/>
      <c r="D41" s="35"/>
      <c r="E41" s="35"/>
      <c r="F41" s="35"/>
    </row>
    <row r="42" spans="3:6" x14ac:dyDescent="0.3">
      <c r="C42" s="35"/>
      <c r="D42" s="35"/>
      <c r="E42" s="35"/>
      <c r="F42" s="35"/>
    </row>
    <row r="43" spans="3:6" x14ac:dyDescent="0.3">
      <c r="C43" s="35"/>
      <c r="D43" s="35"/>
      <c r="E43" s="35"/>
      <c r="F43" s="35"/>
    </row>
    <row r="44" spans="3:6" x14ac:dyDescent="0.3">
      <c r="C44" s="35"/>
      <c r="D44" s="35"/>
      <c r="E44" s="35"/>
      <c r="F44" s="182"/>
    </row>
    <row r="45" spans="3:6" x14ac:dyDescent="0.3">
      <c r="C45" s="35"/>
      <c r="D45" s="35"/>
      <c r="E45" s="35"/>
      <c r="F45" s="182"/>
    </row>
    <row r="46" spans="3:6" x14ac:dyDescent="0.3">
      <c r="C46" s="35"/>
      <c r="D46" s="35"/>
      <c r="E46" s="35"/>
      <c r="F46" s="182"/>
    </row>
    <row r="47" spans="3:6" x14ac:dyDescent="0.3">
      <c r="C47" s="35"/>
      <c r="D47" s="35"/>
      <c r="E47" s="35"/>
      <c r="F47" s="182"/>
    </row>
    <row r="48" spans="3:6" x14ac:dyDescent="0.3">
      <c r="C48" s="35"/>
      <c r="D48" s="35"/>
      <c r="E48" s="35"/>
      <c r="F48" s="182"/>
    </row>
    <row r="49" spans="2:6" x14ac:dyDescent="0.3">
      <c r="C49" s="35"/>
      <c r="D49" s="35"/>
      <c r="E49" s="35"/>
      <c r="F49" s="182"/>
    </row>
    <row r="50" spans="2:6" x14ac:dyDescent="0.3">
      <c r="C50" s="35"/>
      <c r="D50" s="35"/>
      <c r="E50" s="35"/>
      <c r="F50" s="182"/>
    </row>
    <row r="51" spans="2:6" x14ac:dyDescent="0.3">
      <c r="C51" s="35"/>
      <c r="D51" s="35"/>
      <c r="E51" s="35"/>
      <c r="F51" s="182"/>
    </row>
    <row r="52" spans="2:6" x14ac:dyDescent="0.3">
      <c r="C52" s="35"/>
      <c r="D52" s="35"/>
      <c r="E52" s="35"/>
      <c r="F52" s="182"/>
    </row>
    <row r="53" spans="2:6" x14ac:dyDescent="0.3">
      <c r="C53" s="35"/>
      <c r="D53" s="35"/>
      <c r="E53" s="35"/>
      <c r="F53" s="182"/>
    </row>
    <row r="54" spans="2:6" ht="15" thickBot="1" x14ac:dyDescent="0.35">
      <c r="C54" s="35"/>
      <c r="D54" s="35"/>
      <c r="E54" s="35"/>
      <c r="F54" s="182"/>
    </row>
    <row r="55" spans="2:6" x14ac:dyDescent="0.3">
      <c r="B55" s="27" t="s">
        <v>4</v>
      </c>
      <c r="C55" s="28" t="s">
        <v>5</v>
      </c>
      <c r="D55" s="28" t="s">
        <v>6</v>
      </c>
      <c r="E55" s="73" t="s">
        <v>7</v>
      </c>
      <c r="F55" s="174"/>
    </row>
    <row r="56" spans="2:6" x14ac:dyDescent="0.3">
      <c r="B56" s="53" t="s">
        <v>45</v>
      </c>
      <c r="C56" s="282"/>
      <c r="D56" s="129" t="s">
        <v>46</v>
      </c>
      <c r="E56" s="32" t="s">
        <v>47</v>
      </c>
      <c r="F56" s="175"/>
    </row>
    <row r="57" spans="2:6" ht="16.2" x14ac:dyDescent="0.35">
      <c r="B57" s="36" t="s">
        <v>48</v>
      </c>
      <c r="C57" s="286"/>
      <c r="D57" s="22" t="s">
        <v>9</v>
      </c>
      <c r="E57" s="23" t="s">
        <v>49</v>
      </c>
      <c r="F57" s="175"/>
    </row>
    <row r="58" spans="2:6" ht="28.8" x14ac:dyDescent="0.3">
      <c r="B58" s="234" t="s">
        <v>50</v>
      </c>
      <c r="C58" s="287"/>
      <c r="D58" s="22" t="s">
        <v>51</v>
      </c>
      <c r="E58" s="263" t="s">
        <v>52</v>
      </c>
      <c r="F58" s="181"/>
    </row>
    <row r="59" spans="2:6" ht="28.8" x14ac:dyDescent="0.3">
      <c r="B59" s="234" t="s">
        <v>53</v>
      </c>
      <c r="C59" s="287"/>
      <c r="D59" s="22" t="s">
        <v>51</v>
      </c>
      <c r="E59" s="262" t="s">
        <v>54</v>
      </c>
      <c r="F59" s="175"/>
    </row>
    <row r="60" spans="2:6" ht="15.6" x14ac:dyDescent="0.35">
      <c r="B60" s="36" t="s">
        <v>55</v>
      </c>
      <c r="C60" s="199">
        <v>0.4</v>
      </c>
      <c r="D60" s="24" t="s">
        <v>15</v>
      </c>
      <c r="E60" s="23" t="s">
        <v>56</v>
      </c>
      <c r="F60" s="175"/>
    </row>
    <row r="61" spans="2:6" ht="15.6" x14ac:dyDescent="0.35">
      <c r="B61" s="36" t="s">
        <v>57</v>
      </c>
      <c r="C61" s="288"/>
      <c r="D61" s="22" t="s">
        <v>58</v>
      </c>
      <c r="E61" s="23" t="s">
        <v>59</v>
      </c>
      <c r="F61" s="175"/>
    </row>
    <row r="62" spans="2:6" ht="16.2" thickBot="1" x14ac:dyDescent="0.4">
      <c r="B62" s="52" t="s">
        <v>60</v>
      </c>
      <c r="C62" s="200">
        <v>8.3000000000000004E-2</v>
      </c>
      <c r="D62" s="39" t="s">
        <v>61</v>
      </c>
      <c r="E62" s="38" t="s">
        <v>62</v>
      </c>
      <c r="F62" s="181"/>
    </row>
    <row r="63" spans="2:6" ht="43.8" thickBot="1" x14ac:dyDescent="0.35">
      <c r="B63" s="235" t="s">
        <v>63</v>
      </c>
      <c r="C63" s="226" t="str">
        <f>IF(C56="","",IF(C56="","Select Design Type",IF(C56="Standard","Not Applicable",IF(C56="Enhanced",C58*C60/C61,IF(C56="Underdrained Enhanced",C59*C60/C61)))))</f>
        <v/>
      </c>
      <c r="D63" s="70" t="s">
        <v>61</v>
      </c>
      <c r="E63" s="71" t="s">
        <v>64</v>
      </c>
      <c r="F63" s="181"/>
    </row>
    <row r="64" spans="2:6" ht="16.2" thickBot="1" x14ac:dyDescent="0.35">
      <c r="B64" s="236" t="s">
        <v>65</v>
      </c>
      <c r="C64" s="188" t="str">
        <f>IF(C56="Standard", "Not Applicable", IF(C61=0,"Not Applicable", IF(AND(C63&lt;=2),"Within time", "Not within time")))</f>
        <v>Not Applicable</v>
      </c>
      <c r="D64" s="51"/>
      <c r="E64" s="66" t="s">
        <v>66</v>
      </c>
      <c r="F64" s="175"/>
    </row>
    <row r="65" spans="2:18" ht="16.8" thickBot="1" x14ac:dyDescent="0.35">
      <c r="B65" s="55" t="s">
        <v>21</v>
      </c>
      <c r="C65" s="223" t="str">
        <f>IF(C56="","Select Design Type",C57*((C58*C60)+(C61*C62)))</f>
        <v>Select Design Type</v>
      </c>
      <c r="D65" s="70" t="s">
        <v>67</v>
      </c>
      <c r="E65" s="45" t="s">
        <v>68</v>
      </c>
      <c r="F65" s="175"/>
    </row>
    <row r="66" spans="2:18" ht="16.8" thickBot="1" x14ac:dyDescent="0.35">
      <c r="B66" s="237" t="s">
        <v>142</v>
      </c>
      <c r="C66" s="312" t="str">
        <f>IF(C56="Underdrained Enhanced",C57*((C59*C60)+(C61*C62)),"N/A")</f>
        <v>N/A</v>
      </c>
      <c r="D66" s="70" t="s">
        <v>67</v>
      </c>
      <c r="E66" s="45" t="s">
        <v>143</v>
      </c>
      <c r="F66" s="175"/>
    </row>
    <row r="67" spans="2:18" ht="16.2" x14ac:dyDescent="0.3">
      <c r="B67" s="237" t="s">
        <v>26</v>
      </c>
      <c r="C67" s="224" t="str">
        <f>IF(C56="Enhanced",C65,IF(C56="Standard",5*C57/100,IF(C56="Underdrained Enhanced",(C57*((C59*C60)+(C61*C62))+5*C57/100),"Select Design Type")))</f>
        <v>Select Design Type</v>
      </c>
      <c r="D67" s="41" t="s">
        <v>22</v>
      </c>
      <c r="E67" s="42" t="s">
        <v>68</v>
      </c>
      <c r="F67" s="175"/>
      <c r="G67" s="76"/>
      <c r="H67" s="76"/>
    </row>
    <row r="68" spans="2:18" ht="15" thickBot="1" x14ac:dyDescent="0.35">
      <c r="B68" s="233" t="s">
        <v>26</v>
      </c>
      <c r="C68" s="225" t="str">
        <f>IFERROR(C67*7.48,"")</f>
        <v/>
      </c>
      <c r="D68" s="33" t="s">
        <v>28</v>
      </c>
      <c r="E68" s="34" t="s">
        <v>29</v>
      </c>
      <c r="F68" s="106"/>
      <c r="G68" s="76"/>
      <c r="H68" s="76"/>
    </row>
    <row r="69" spans="2:18" x14ac:dyDescent="0.3">
      <c r="B69" s="124"/>
      <c r="F69" s="106"/>
      <c r="G69" s="130"/>
      <c r="H69" s="11"/>
      <c r="I69" s="11"/>
      <c r="J69" s="144"/>
      <c r="K69" s="144"/>
      <c r="L69" s="84"/>
      <c r="M69" s="84"/>
    </row>
    <row r="70" spans="2:18" x14ac:dyDescent="0.3">
      <c r="G70" s="107"/>
      <c r="H70" s="76"/>
      <c r="I70" s="144"/>
      <c r="J70" s="77"/>
      <c r="K70" s="144"/>
      <c r="L70" s="77"/>
    </row>
    <row r="71" spans="2:18" x14ac:dyDescent="0.3">
      <c r="G71" s="123"/>
      <c r="H71" s="77"/>
      <c r="I71" s="144"/>
      <c r="J71" s="77"/>
      <c r="K71" s="144"/>
      <c r="L71" s="77"/>
    </row>
    <row r="72" spans="2:18" x14ac:dyDescent="0.3">
      <c r="G72" s="123"/>
      <c r="H72" s="77"/>
      <c r="I72" s="144"/>
      <c r="J72" s="77"/>
      <c r="K72" s="144"/>
      <c r="L72" s="77"/>
    </row>
    <row r="73" spans="2:18" x14ac:dyDescent="0.3">
      <c r="C73" s="80"/>
      <c r="D73" s="80"/>
      <c r="F73" s="80"/>
      <c r="H73" s="144"/>
      <c r="I73" s="144"/>
      <c r="J73" s="144"/>
      <c r="K73" s="144"/>
      <c r="L73" s="84"/>
      <c r="M73" s="84"/>
      <c r="N73" s="84"/>
      <c r="O73" s="84"/>
      <c r="P73" s="84"/>
      <c r="Q73" s="84"/>
      <c r="R73" s="84"/>
    </row>
    <row r="74" spans="2:18" x14ac:dyDescent="0.3">
      <c r="B74" s="80"/>
      <c r="C74" s="80"/>
      <c r="D74" s="80"/>
      <c r="E74" s="80"/>
      <c r="F74" s="80"/>
      <c r="H74" s="79"/>
      <c r="I74" s="79"/>
      <c r="J74" s="79"/>
      <c r="K74" s="79"/>
      <c r="L74" s="144"/>
      <c r="M74" s="144"/>
      <c r="N74" s="144"/>
      <c r="O74" s="144"/>
      <c r="P74" s="144"/>
      <c r="Q74" s="144"/>
      <c r="R74" s="144"/>
    </row>
    <row r="75" spans="2:18" x14ac:dyDescent="0.3">
      <c r="B75" s="80"/>
      <c r="C75" s="80"/>
      <c r="D75" s="80"/>
      <c r="E75" s="80"/>
      <c r="F75" s="80"/>
      <c r="H75" s="79"/>
      <c r="I75" s="79"/>
      <c r="J75" s="79"/>
      <c r="K75" s="79"/>
      <c r="L75" s="144"/>
      <c r="M75" s="144"/>
      <c r="N75" s="144"/>
      <c r="O75" s="144"/>
      <c r="P75" s="144"/>
      <c r="Q75" s="144"/>
      <c r="R75" s="144"/>
    </row>
    <row r="76" spans="2:18" x14ac:dyDescent="0.3">
      <c r="B76" s="80"/>
      <c r="C76" s="80"/>
      <c r="D76" s="80"/>
      <c r="E76" s="80"/>
      <c r="H76" s="79"/>
      <c r="I76" s="79"/>
      <c r="J76" s="79"/>
      <c r="K76" s="79"/>
      <c r="L76" s="144"/>
      <c r="M76" s="144"/>
      <c r="N76" s="144"/>
      <c r="O76" s="144"/>
      <c r="P76" s="144"/>
      <c r="Q76" s="144"/>
      <c r="R76" s="144"/>
    </row>
    <row r="77" spans="2:18" x14ac:dyDescent="0.3">
      <c r="B77" s="80"/>
    </row>
    <row r="78" spans="2:18" x14ac:dyDescent="0.3">
      <c r="L78" s="7"/>
    </row>
    <row r="79" spans="2:18" x14ac:dyDescent="0.3">
      <c r="F79" s="144"/>
    </row>
    <row r="80" spans="2:18" x14ac:dyDescent="0.3">
      <c r="B80" s="1"/>
      <c r="E80" s="144"/>
      <c r="G80" s="144"/>
      <c r="H80" s="144"/>
      <c r="I80" s="144"/>
    </row>
    <row r="81" spans="2:6" x14ac:dyDescent="0.3">
      <c r="B81" s="1"/>
    </row>
    <row r="82" spans="2:6" x14ac:dyDescent="0.3">
      <c r="B82" s="1"/>
    </row>
    <row r="84" spans="2:6" ht="15.6" x14ac:dyDescent="0.35">
      <c r="B84" s="1"/>
      <c r="F84" s="6"/>
    </row>
    <row r="85" spans="2:6" ht="15.6" x14ac:dyDescent="0.35">
      <c r="B85" s="1"/>
      <c r="E85" s="6"/>
    </row>
  </sheetData>
  <sheetProtection algorithmName="SHA-512" hashValue="EAqSnryMbCaNTfDD3C/7eqme6BSJgYRmJ7vu1VAmiH/BwZJF/f4aeOT1cfXawrfp6loXWanEep4h5j5sNYf2oQ==" saltValue="jnlgKiSJkS7Ev7WKWxRvYA==" spinCount="100000" sheet="1" objects="1" scenarios="1"/>
  <dataValidations count="1">
    <dataValidation type="list" allowBlank="1" showInputMessage="1" showErrorMessage="1" sqref="C56" xr:uid="{2FC497F1-CBC9-43D2-A37D-FDC3B5C96884}">
      <formula1>$H$3:$H$6</formula1>
    </dataValidation>
  </dataValidations>
  <pageMargins left="0.7" right="0.7" top="0.75" bottom="0.75" header="0.3" footer="0.3"/>
  <pageSetup scale="6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Q96"/>
  <sheetViews>
    <sheetView zoomScaleNormal="100" workbookViewId="0"/>
  </sheetViews>
  <sheetFormatPr defaultRowHeight="14.4" x14ac:dyDescent="0.3"/>
  <cols>
    <col min="2" max="2" width="19.88671875" customWidth="1"/>
    <col min="3" max="3" width="27" customWidth="1"/>
    <col min="4" max="4" width="15.88671875" customWidth="1"/>
    <col min="5" max="5" width="45.6640625" customWidth="1"/>
    <col min="6" max="6" width="6.5546875" customWidth="1"/>
    <col min="7" max="7" width="7.44140625" customWidth="1"/>
    <col min="8" max="8" width="13.33203125" hidden="1" customWidth="1"/>
    <col min="9" max="9" width="6.44140625" customWidth="1"/>
  </cols>
  <sheetData>
    <row r="1" spans="1:14" x14ac:dyDescent="0.3">
      <c r="A1" s="4"/>
      <c r="B1" s="4"/>
      <c r="C1" s="4"/>
    </row>
    <row r="2" spans="1:14" ht="15" thickBot="1" x14ac:dyDescent="0.35">
      <c r="H2" s="57" t="s">
        <v>0</v>
      </c>
    </row>
    <row r="3" spans="1:14" ht="15.6" thickTop="1" thickBot="1" x14ac:dyDescent="0.35">
      <c r="H3" s="57"/>
    </row>
    <row r="4" spans="1:14" ht="16.8" thickTop="1" thickBot="1" x14ac:dyDescent="0.35">
      <c r="A4" s="2"/>
      <c r="H4" s="57"/>
      <c r="I4" s="13"/>
      <c r="N4" s="81"/>
    </row>
    <row r="5" spans="1:14" ht="16.8" thickTop="1" thickBot="1" x14ac:dyDescent="0.35">
      <c r="A5" s="2"/>
      <c r="H5" s="57" t="s">
        <v>42</v>
      </c>
      <c r="I5" s="13"/>
      <c r="N5" s="81"/>
    </row>
    <row r="6" spans="1:14" ht="16.8" thickTop="1" thickBot="1" x14ac:dyDescent="0.35">
      <c r="A6" s="2"/>
      <c r="H6" s="57" t="s">
        <v>69</v>
      </c>
      <c r="I6" s="13"/>
      <c r="N6" s="81"/>
    </row>
    <row r="7" spans="1:14" ht="16.8" thickTop="1" thickBot="1" x14ac:dyDescent="0.35">
      <c r="A7" s="2"/>
      <c r="H7" s="57" t="s">
        <v>44</v>
      </c>
      <c r="N7" s="81"/>
    </row>
    <row r="8" spans="1:14" ht="16.2" thickTop="1" x14ac:dyDescent="0.3">
      <c r="A8" s="2"/>
      <c r="N8" s="81"/>
    </row>
    <row r="9" spans="1:14" ht="15.6" x14ac:dyDescent="0.3">
      <c r="A9" s="2"/>
      <c r="N9" s="81"/>
    </row>
    <row r="10" spans="1:14" ht="15.6" x14ac:dyDescent="0.3">
      <c r="A10" s="2"/>
      <c r="N10" s="81"/>
    </row>
    <row r="11" spans="1:14" ht="15.6" x14ac:dyDescent="0.3">
      <c r="A11" s="2"/>
      <c r="N11" s="81"/>
    </row>
    <row r="12" spans="1:14" ht="15.6" x14ac:dyDescent="0.3">
      <c r="A12" s="2"/>
      <c r="N12" s="81"/>
    </row>
    <row r="13" spans="1:14" ht="15.6" x14ac:dyDescent="0.3">
      <c r="A13" s="2"/>
      <c r="N13" s="81"/>
    </row>
    <row r="14" spans="1:14" ht="15.6" x14ac:dyDescent="0.3">
      <c r="A14" s="2"/>
      <c r="N14" s="81"/>
    </row>
    <row r="15" spans="1:14" ht="15.6" x14ac:dyDescent="0.3">
      <c r="A15" s="2"/>
      <c r="N15" s="81"/>
    </row>
    <row r="16" spans="1:14" ht="15.6" x14ac:dyDescent="0.3">
      <c r="A16" s="2"/>
      <c r="N16" s="81"/>
    </row>
    <row r="17" spans="1:14" ht="15.6" x14ac:dyDescent="0.3">
      <c r="A17" s="2"/>
      <c r="N17" s="81"/>
    </row>
    <row r="18" spans="1:14" ht="15.6" x14ac:dyDescent="0.3">
      <c r="A18" s="2"/>
      <c r="N18" s="81"/>
    </row>
    <row r="19" spans="1:14" ht="15.6" x14ac:dyDescent="0.3">
      <c r="A19" s="2"/>
      <c r="N19" s="81"/>
    </row>
    <row r="20" spans="1:14" ht="15.6" x14ac:dyDescent="0.3">
      <c r="A20" s="2"/>
      <c r="N20" s="81"/>
    </row>
    <row r="21" spans="1:14" ht="15.6" x14ac:dyDescent="0.3">
      <c r="A21" s="2"/>
      <c r="N21" s="81"/>
    </row>
    <row r="22" spans="1:14" ht="15.6" x14ac:dyDescent="0.3">
      <c r="A22" s="2"/>
      <c r="N22" s="81"/>
    </row>
    <row r="23" spans="1:14" ht="15.6" x14ac:dyDescent="0.3">
      <c r="A23" s="2"/>
      <c r="N23" s="81"/>
    </row>
    <row r="24" spans="1:14" ht="15.6" x14ac:dyDescent="0.3">
      <c r="A24" s="2"/>
      <c r="N24" s="81"/>
    </row>
    <row r="25" spans="1:14" ht="15.6" x14ac:dyDescent="0.3">
      <c r="A25" s="2"/>
      <c r="N25" s="81"/>
    </row>
    <row r="26" spans="1:14" ht="15.6" x14ac:dyDescent="0.3">
      <c r="A26" s="2"/>
      <c r="N26" s="81"/>
    </row>
    <row r="27" spans="1:14" ht="15.6" x14ac:dyDescent="0.3">
      <c r="A27" s="2"/>
      <c r="N27" s="81"/>
    </row>
    <row r="28" spans="1:14" ht="15.6" x14ac:dyDescent="0.3">
      <c r="A28" s="2"/>
      <c r="N28" s="81"/>
    </row>
    <row r="29" spans="1:14" ht="15.6" x14ac:dyDescent="0.3">
      <c r="A29" s="2"/>
      <c r="N29" s="81"/>
    </row>
    <row r="30" spans="1:14" ht="15.6" x14ac:dyDescent="0.3">
      <c r="A30" s="2"/>
      <c r="N30" s="81"/>
    </row>
    <row r="31" spans="1:14" ht="15.6" x14ac:dyDescent="0.3">
      <c r="A31" s="2"/>
      <c r="N31" s="81"/>
    </row>
    <row r="32" spans="1:14" ht="15.6" x14ac:dyDescent="0.3">
      <c r="A32" s="2"/>
      <c r="N32" s="81"/>
    </row>
    <row r="33" spans="1:14" ht="15.6" x14ac:dyDescent="0.3">
      <c r="A33" s="2"/>
      <c r="N33" s="81"/>
    </row>
    <row r="34" spans="1:14" ht="15.6" x14ac:dyDescent="0.3">
      <c r="A34" s="2"/>
      <c r="N34" s="81"/>
    </row>
    <row r="35" spans="1:14" ht="15.6" x14ac:dyDescent="0.3">
      <c r="A35" s="2"/>
      <c r="N35" s="81"/>
    </row>
    <row r="36" spans="1:14" ht="15.6" x14ac:dyDescent="0.3">
      <c r="A36" s="2"/>
      <c r="N36" s="81"/>
    </row>
    <row r="37" spans="1:14" ht="15.6" x14ac:dyDescent="0.3">
      <c r="A37" s="2"/>
      <c r="N37" s="81"/>
    </row>
    <row r="38" spans="1:14" ht="15.6" x14ac:dyDescent="0.3">
      <c r="A38" s="2"/>
      <c r="N38" s="81"/>
    </row>
    <row r="39" spans="1:14" ht="15.6" x14ac:dyDescent="0.3">
      <c r="A39" s="2"/>
      <c r="N39" s="81"/>
    </row>
    <row r="40" spans="1:14" ht="15.6" x14ac:dyDescent="0.3">
      <c r="A40" s="2"/>
      <c r="N40" s="81"/>
    </row>
    <row r="41" spans="1:14" ht="15.6" x14ac:dyDescent="0.3">
      <c r="A41" s="2"/>
      <c r="N41" s="81"/>
    </row>
    <row r="42" spans="1:14" ht="15.6" x14ac:dyDescent="0.3">
      <c r="A42" s="2"/>
      <c r="N42" s="81"/>
    </row>
    <row r="43" spans="1:14" ht="15.6" x14ac:dyDescent="0.3">
      <c r="A43" s="2"/>
      <c r="N43" s="81"/>
    </row>
    <row r="44" spans="1:14" ht="15.6" x14ac:dyDescent="0.3">
      <c r="A44" s="2"/>
      <c r="N44" s="81"/>
    </row>
    <row r="45" spans="1:14" ht="15.6" x14ac:dyDescent="0.3">
      <c r="A45" s="2"/>
      <c r="N45" s="81"/>
    </row>
    <row r="46" spans="1:14" ht="15.6" x14ac:dyDescent="0.3">
      <c r="A46" s="2"/>
      <c r="N46" s="81"/>
    </row>
    <row r="47" spans="1:14" ht="15.6" x14ac:dyDescent="0.3">
      <c r="A47" s="2"/>
      <c r="N47" s="81"/>
    </row>
    <row r="48" spans="1:14" ht="15.6" x14ac:dyDescent="0.3">
      <c r="A48" s="2"/>
      <c r="N48" s="81"/>
    </row>
    <row r="49" spans="1:14" ht="15.6" x14ac:dyDescent="0.3">
      <c r="A49" s="2"/>
      <c r="N49" s="81"/>
    </row>
    <row r="50" spans="1:14" ht="15.6" x14ac:dyDescent="0.3">
      <c r="A50" s="2"/>
      <c r="N50" s="81"/>
    </row>
    <row r="51" spans="1:14" ht="15.6" x14ac:dyDescent="0.3">
      <c r="A51" s="2"/>
      <c r="N51" s="81"/>
    </row>
    <row r="52" spans="1:14" ht="15.6" x14ac:dyDescent="0.3">
      <c r="A52" s="2"/>
      <c r="N52" s="81"/>
    </row>
    <row r="53" spans="1:14" ht="15.6" x14ac:dyDescent="0.3">
      <c r="A53" s="2"/>
      <c r="N53" s="81"/>
    </row>
    <row r="54" spans="1:14" ht="15.6" x14ac:dyDescent="0.3">
      <c r="A54" s="2"/>
      <c r="N54" s="81"/>
    </row>
    <row r="55" spans="1:14" ht="16.2" thickBot="1" x14ac:dyDescent="0.35">
      <c r="A55" s="2"/>
      <c r="N55" s="81"/>
    </row>
    <row r="56" spans="1:14" ht="16.2" thickBot="1" x14ac:dyDescent="0.35">
      <c r="A56" s="2"/>
      <c r="B56" s="40" t="s">
        <v>4</v>
      </c>
      <c r="C56" s="44" t="s">
        <v>5</v>
      </c>
      <c r="D56" s="44" t="s">
        <v>6</v>
      </c>
      <c r="E56" s="74" t="s">
        <v>7</v>
      </c>
      <c r="F56" s="174"/>
      <c r="N56" s="81"/>
    </row>
    <row r="57" spans="1:14" ht="15.6" x14ac:dyDescent="0.3">
      <c r="A57" s="2"/>
      <c r="B57" s="180" t="s">
        <v>33</v>
      </c>
      <c r="C57" s="289"/>
      <c r="D57" s="161" t="s">
        <v>46</v>
      </c>
      <c r="E57" s="157" t="s">
        <v>70</v>
      </c>
      <c r="F57" s="175"/>
      <c r="N57" s="81"/>
    </row>
    <row r="58" spans="1:14" ht="16.2" x14ac:dyDescent="0.3">
      <c r="A58" s="2"/>
      <c r="B58" s="179" t="s">
        <v>71</v>
      </c>
      <c r="C58" s="290"/>
      <c r="D58" s="43" t="s">
        <v>9</v>
      </c>
      <c r="E58" s="147"/>
      <c r="F58" s="175"/>
      <c r="N58" s="81"/>
    </row>
    <row r="59" spans="1:14" ht="16.2" x14ac:dyDescent="0.3">
      <c r="A59" s="2"/>
      <c r="B59" s="169" t="s">
        <v>72</v>
      </c>
      <c r="C59" s="290"/>
      <c r="D59" s="148" t="s">
        <v>73</v>
      </c>
      <c r="E59" s="149"/>
      <c r="F59" s="175"/>
      <c r="N59" s="81"/>
    </row>
    <row r="60" spans="1:14" ht="16.2" x14ac:dyDescent="0.3">
      <c r="A60" s="2"/>
      <c r="B60" s="169" t="s">
        <v>74</v>
      </c>
      <c r="C60" s="227">
        <f>(C58+C59)/2</f>
        <v>0</v>
      </c>
      <c r="D60" s="150" t="s">
        <v>73</v>
      </c>
      <c r="E60" s="149" t="s">
        <v>75</v>
      </c>
      <c r="F60" s="175"/>
      <c r="N60" s="81"/>
    </row>
    <row r="61" spans="1:14" ht="15.6" x14ac:dyDescent="0.3">
      <c r="A61" s="2"/>
      <c r="B61" s="169" t="s">
        <v>76</v>
      </c>
      <c r="C61" s="291"/>
      <c r="D61" s="151" t="s">
        <v>51</v>
      </c>
      <c r="E61" s="149"/>
      <c r="F61" s="175"/>
      <c r="N61" s="81"/>
    </row>
    <row r="62" spans="1:14" ht="15.6" x14ac:dyDescent="0.3">
      <c r="A62" s="2"/>
      <c r="B62" s="169" t="s">
        <v>77</v>
      </c>
      <c r="C62" s="228">
        <v>0.25</v>
      </c>
      <c r="D62" s="22" t="s">
        <v>15</v>
      </c>
      <c r="E62" s="149" t="s">
        <v>78</v>
      </c>
      <c r="F62" s="175"/>
      <c r="N62" s="81"/>
    </row>
    <row r="63" spans="1:14" ht="15.6" x14ac:dyDescent="0.3">
      <c r="A63" s="2"/>
      <c r="B63" s="169" t="s">
        <v>79</v>
      </c>
      <c r="C63" s="291"/>
      <c r="D63" s="22" t="s">
        <v>51</v>
      </c>
      <c r="E63" s="152"/>
      <c r="F63" s="175"/>
      <c r="N63" s="81"/>
    </row>
    <row r="64" spans="1:14" ht="28.8" x14ac:dyDescent="0.3">
      <c r="A64" s="2"/>
      <c r="B64" s="169" t="s">
        <v>80</v>
      </c>
      <c r="C64" s="291"/>
      <c r="D64" s="22" t="s">
        <v>51</v>
      </c>
      <c r="E64" s="152" t="s">
        <v>81</v>
      </c>
      <c r="F64" s="175"/>
      <c r="N64" s="81"/>
    </row>
    <row r="65" spans="1:17" ht="15.6" x14ac:dyDescent="0.3">
      <c r="A65" s="2"/>
      <c r="B65" s="169" t="s">
        <v>82</v>
      </c>
      <c r="C65" s="228">
        <v>0.4</v>
      </c>
      <c r="D65" s="22" t="s">
        <v>15</v>
      </c>
      <c r="E65" s="149" t="s">
        <v>83</v>
      </c>
      <c r="F65" s="175"/>
      <c r="N65" s="81"/>
    </row>
    <row r="66" spans="1:17" ht="16.2" thickBot="1" x14ac:dyDescent="0.35">
      <c r="A66" s="2"/>
      <c r="B66" s="168" t="s">
        <v>84</v>
      </c>
      <c r="C66" s="291"/>
      <c r="D66" s="22" t="s">
        <v>51</v>
      </c>
      <c r="E66" s="152" t="s">
        <v>85</v>
      </c>
      <c r="F66" s="175"/>
      <c r="N66" s="81"/>
    </row>
    <row r="67" spans="1:17" ht="16.8" thickBot="1" x14ac:dyDescent="0.35">
      <c r="A67" s="2"/>
      <c r="B67" s="158" t="s">
        <v>21</v>
      </c>
      <c r="C67" s="229">
        <f>C59*((C61*C62)+((C63+C64)*C65))+C60*C66</f>
        <v>0</v>
      </c>
      <c r="D67" s="153" t="s">
        <v>86</v>
      </c>
      <c r="E67" s="154"/>
      <c r="F67" s="175"/>
      <c r="N67" s="81"/>
    </row>
    <row r="68" spans="1:17" ht="15" customHeight="1" x14ac:dyDescent="0.3">
      <c r="A68" s="2"/>
      <c r="B68" s="67" t="s">
        <v>87</v>
      </c>
      <c r="C68" s="287"/>
      <c r="D68" s="46" t="s">
        <v>58</v>
      </c>
      <c r="E68" s="155" t="s">
        <v>88</v>
      </c>
      <c r="F68" s="176"/>
      <c r="N68" s="81"/>
    </row>
    <row r="69" spans="1:17" ht="15" customHeight="1" x14ac:dyDescent="0.3">
      <c r="A69" s="2"/>
      <c r="B69" s="146" t="s">
        <v>89</v>
      </c>
      <c r="C69" s="228">
        <v>3</v>
      </c>
      <c r="D69" s="22" t="s">
        <v>61</v>
      </c>
      <c r="E69" s="149" t="s">
        <v>90</v>
      </c>
      <c r="F69" s="175"/>
      <c r="N69" s="81"/>
    </row>
    <row r="70" spans="1:17" ht="15" customHeight="1" thickBot="1" x14ac:dyDescent="0.35">
      <c r="A70" s="2"/>
      <c r="B70" s="146" t="s">
        <v>91</v>
      </c>
      <c r="C70" s="228">
        <v>0.4</v>
      </c>
      <c r="D70" s="37" t="s">
        <v>15</v>
      </c>
      <c r="E70" s="156" t="s">
        <v>92</v>
      </c>
      <c r="F70" s="175"/>
      <c r="N70" s="81"/>
    </row>
    <row r="71" spans="1:17" ht="28.8" x14ac:dyDescent="0.3">
      <c r="A71" s="2"/>
      <c r="B71" s="67" t="s">
        <v>80</v>
      </c>
      <c r="C71" s="230" t="str">
        <f>IF(C57="Enhanced with Underdrain", C68*C69/C70, "N/A")</f>
        <v>N/A</v>
      </c>
      <c r="D71" s="46" t="s">
        <v>51</v>
      </c>
      <c r="E71" s="207" t="s">
        <v>93</v>
      </c>
      <c r="F71" s="175"/>
      <c r="N71" s="81"/>
    </row>
    <row r="72" spans="1:17" ht="16.8" thickBot="1" x14ac:dyDescent="0.35">
      <c r="A72" s="2"/>
      <c r="B72" s="168" t="s">
        <v>94</v>
      </c>
      <c r="C72" s="189">
        <f>C59*C68*C69</f>
        <v>0</v>
      </c>
      <c r="D72" s="159" t="s">
        <v>86</v>
      </c>
      <c r="E72" s="160"/>
      <c r="F72" s="175"/>
      <c r="N72" s="81"/>
    </row>
    <row r="73" spans="1:17" ht="37.200000000000003" customHeight="1" thickBot="1" x14ac:dyDescent="0.35">
      <c r="A73" s="2"/>
      <c r="B73" s="67" t="s">
        <v>95</v>
      </c>
      <c r="C73" s="190" t="str">
        <f>IF(C57="","Select Type",IF(C57="Standard","N/A",IF(AND(C64&gt;C71,C57="Enhanced with Underdrain"),"Exceeds 72 hours",IF(AND(C64&lt;=C71,C57="Enhanced with Underdrain"),"Drains within 72 hours",IF(AND(C67&gt;C72,C57="Enhanced"),"Exceeds 72 hours",IF(AND(C67&lt;=C72,C57="Enhanced"),"Drains within 72 hours"))))))</f>
        <v>Select Type</v>
      </c>
      <c r="D73" s="68" t="s">
        <v>96</v>
      </c>
      <c r="E73" s="69" t="s">
        <v>97</v>
      </c>
      <c r="F73" s="177"/>
      <c r="N73" s="81"/>
    </row>
    <row r="74" spans="1:17" ht="16.2" x14ac:dyDescent="0.3">
      <c r="A74" s="2"/>
      <c r="B74" s="231" t="s">
        <v>26</v>
      </c>
      <c r="C74" s="243" t="str">
        <f>IF(C57="","Select Type",IF(C57="Standard", 0.6*C67,C67))</f>
        <v>Select Type</v>
      </c>
      <c r="D74" s="46" t="s">
        <v>22</v>
      </c>
      <c r="E74" s="162" t="s">
        <v>98</v>
      </c>
      <c r="F74" s="176"/>
      <c r="N74" s="81"/>
    </row>
    <row r="75" spans="1:17" ht="16.2" thickBot="1" x14ac:dyDescent="0.35">
      <c r="A75" s="2"/>
      <c r="B75" s="232" t="s">
        <v>26</v>
      </c>
      <c r="C75" s="244" t="str">
        <f>IFERROR(C74*7.48,"")</f>
        <v/>
      </c>
      <c r="D75" s="139" t="s">
        <v>28</v>
      </c>
      <c r="E75" s="163"/>
      <c r="F75" s="178"/>
      <c r="N75" s="81"/>
    </row>
    <row r="76" spans="1:17" ht="15.6" x14ac:dyDescent="0.3">
      <c r="A76" s="2"/>
      <c r="C76" s="5"/>
      <c r="N76" s="81"/>
    </row>
    <row r="77" spans="1:17" ht="15.75" customHeight="1" x14ac:dyDescent="0.3">
      <c r="C77" s="106"/>
      <c r="D77" s="106"/>
      <c r="E77" s="106"/>
      <c r="F77" s="106"/>
      <c r="N77" s="81"/>
      <c r="O77" s="80"/>
      <c r="P77" s="80"/>
      <c r="Q77" s="80"/>
    </row>
    <row r="78" spans="1:17" ht="18" customHeight="1" x14ac:dyDescent="0.3">
      <c r="C78" s="106"/>
      <c r="D78" s="106"/>
      <c r="E78" s="114"/>
      <c r="F78" s="114"/>
      <c r="N78" s="81"/>
    </row>
    <row r="79" spans="1:17" ht="18" customHeight="1" x14ac:dyDescent="0.3">
      <c r="C79" s="106"/>
      <c r="D79" s="106"/>
      <c r="E79" s="106"/>
      <c r="F79" s="106"/>
      <c r="J79" s="106"/>
      <c r="K79" s="106"/>
      <c r="N79" s="81"/>
    </row>
    <row r="80" spans="1:17" x14ac:dyDescent="0.3">
      <c r="C80" s="106"/>
      <c r="D80" s="106"/>
      <c r="E80" s="106"/>
      <c r="F80" s="106"/>
      <c r="J80" s="106"/>
      <c r="K80" s="106"/>
      <c r="N80" s="81"/>
    </row>
    <row r="81" spans="1:15" ht="18" customHeight="1" x14ac:dyDescent="0.3">
      <c r="C81" s="106"/>
      <c r="D81" s="106"/>
      <c r="E81" s="106"/>
      <c r="F81" s="106"/>
      <c r="I81" s="80"/>
      <c r="J81" s="105"/>
      <c r="K81" s="127"/>
      <c r="L81" s="3"/>
      <c r="N81" s="80"/>
    </row>
    <row r="82" spans="1:15" x14ac:dyDescent="0.3">
      <c r="C82" s="106"/>
      <c r="D82" s="106"/>
      <c r="E82" s="107"/>
      <c r="F82" s="107"/>
      <c r="G82" s="76"/>
      <c r="J82" s="106"/>
      <c r="K82" s="127"/>
      <c r="L82" s="3"/>
    </row>
    <row r="83" spans="1:15" x14ac:dyDescent="0.3">
      <c r="C83" s="106"/>
      <c r="D83" s="127"/>
      <c r="E83" s="114"/>
      <c r="F83" s="114"/>
      <c r="G83" s="11"/>
      <c r="J83" s="106"/>
      <c r="K83" s="127"/>
      <c r="L83" s="3"/>
      <c r="M83" s="11"/>
    </row>
    <row r="84" spans="1:15" x14ac:dyDescent="0.3">
      <c r="C84" s="106"/>
      <c r="D84" s="106"/>
      <c r="E84" s="106"/>
      <c r="F84" s="106"/>
      <c r="H84" s="11"/>
      <c r="J84" s="106"/>
      <c r="K84" s="106"/>
    </row>
    <row r="85" spans="1:15" ht="15" customHeight="1" x14ac:dyDescent="0.3">
      <c r="C85" s="106"/>
      <c r="D85" s="106"/>
      <c r="E85" s="106"/>
      <c r="F85" s="106"/>
      <c r="J85" s="106"/>
      <c r="K85" s="106"/>
    </row>
    <row r="86" spans="1:15" x14ac:dyDescent="0.3">
      <c r="A86" s="81"/>
      <c r="B86" s="81"/>
      <c r="C86" s="115"/>
      <c r="D86" s="115"/>
      <c r="E86" s="115"/>
      <c r="F86" s="115"/>
    </row>
    <row r="87" spans="1:15" x14ac:dyDescent="0.3">
      <c r="B87" s="1"/>
      <c r="E87" s="144"/>
      <c r="F87" s="144"/>
      <c r="G87" s="144"/>
    </row>
    <row r="88" spans="1:15" x14ac:dyDescent="0.3">
      <c r="H88" s="144"/>
    </row>
    <row r="89" spans="1:15" x14ac:dyDescent="0.3">
      <c r="B89" s="144"/>
      <c r="C89" s="80"/>
    </row>
    <row r="90" spans="1:15" x14ac:dyDescent="0.3">
      <c r="B90" s="144"/>
      <c r="C90" s="80"/>
    </row>
    <row r="91" spans="1:15" x14ac:dyDescent="0.3">
      <c r="C91" s="80"/>
      <c r="D91" s="80"/>
      <c r="E91" s="80"/>
      <c r="F91" s="80"/>
      <c r="G91" s="80"/>
    </row>
    <row r="92" spans="1:15" x14ac:dyDescent="0.3">
      <c r="B92" s="144"/>
      <c r="C92" s="80"/>
      <c r="D92" s="80"/>
      <c r="E92" s="80"/>
      <c r="F92" s="80"/>
      <c r="G92" s="80"/>
      <c r="H92" s="80"/>
      <c r="J92" s="80"/>
    </row>
    <row r="93" spans="1:15" x14ac:dyDescent="0.3">
      <c r="E93" s="144"/>
      <c r="F93" s="144"/>
      <c r="G93" s="144"/>
      <c r="H93" s="80"/>
    </row>
    <row r="94" spans="1:15" x14ac:dyDescent="0.3">
      <c r="H94" s="144"/>
      <c r="I94" s="80"/>
      <c r="J94" s="80"/>
    </row>
    <row r="95" spans="1:15" x14ac:dyDescent="0.3">
      <c r="I95" s="80"/>
      <c r="J95" s="80"/>
    </row>
    <row r="96" spans="1:15" x14ac:dyDescent="0.3">
      <c r="K96" s="9"/>
      <c r="O96" s="9"/>
    </row>
  </sheetData>
  <sheetProtection algorithmName="SHA-512" hashValue="9SomP4nbFNpUFL1a+va9ZZf68muVD0LAxO0H6CkQLz5XQjj9wBllIsI0mPY5boArq0QsR/UDt9rIIsOikE/7oQ==" saltValue="r8+zznu6KY7CR2XMSQpV8g==" spinCount="100000" sheet="1" objects="1" scenarios="1"/>
  <dataValidations count="1">
    <dataValidation type="list" allowBlank="1" showInputMessage="1" showErrorMessage="1" sqref="C57" xr:uid="{6A68737D-0CED-42D4-BC75-C7EE010189E7}">
      <formula1>$H$4:$H$7</formula1>
    </dataValidation>
  </dataValidations>
  <pageMargins left="0.7" right="0.7" top="0.75" bottom="0.75" header="0.3" footer="0.3"/>
  <pageSetup scale="5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BF4BE-826A-4353-A015-F82E11594A17}">
  <sheetPr codeName="Sheet7">
    <tabColor rgb="FF92D050"/>
  </sheetPr>
  <dimension ref="A1:H51"/>
  <sheetViews>
    <sheetView zoomScaleNormal="100" workbookViewId="0"/>
  </sheetViews>
  <sheetFormatPr defaultColWidth="8.88671875" defaultRowHeight="14.4" x14ac:dyDescent="0.3"/>
  <cols>
    <col min="2" max="2" width="18" customWidth="1"/>
    <col min="3" max="3" width="22.33203125" customWidth="1"/>
    <col min="4" max="4" width="12.44140625" customWidth="1"/>
    <col min="5" max="5" width="38.44140625" customWidth="1"/>
    <col min="6" max="6" width="6.33203125" customWidth="1"/>
    <col min="7" max="7" width="19.33203125" hidden="1" customWidth="1"/>
  </cols>
  <sheetData>
    <row r="1" spans="1:7" x14ac:dyDescent="0.3">
      <c r="A1" s="35"/>
      <c r="B1" s="35"/>
      <c r="C1" s="35"/>
    </row>
    <row r="2" spans="1:7" ht="15" thickBot="1" x14ac:dyDescent="0.35">
      <c r="G2" s="57" t="s">
        <v>0</v>
      </c>
    </row>
    <row r="3" spans="1:7" ht="16.8" thickTop="1" thickBot="1" x14ac:dyDescent="0.35">
      <c r="A3" s="13"/>
      <c r="G3" s="57"/>
    </row>
    <row r="4" spans="1:7" ht="16.8" thickTop="1" thickBot="1" x14ac:dyDescent="0.35">
      <c r="A4" s="13"/>
      <c r="G4" s="57" t="s">
        <v>99</v>
      </c>
    </row>
    <row r="5" spans="1:7" ht="15.6" thickTop="1" thickBot="1" x14ac:dyDescent="0.35">
      <c r="G5" s="57" t="s">
        <v>100</v>
      </c>
    </row>
    <row r="6" spans="1:7" ht="15" thickTop="1" x14ac:dyDescent="0.3"/>
    <row r="23" spans="2:8" x14ac:dyDescent="0.3">
      <c r="E23" s="76"/>
      <c r="F23" s="76"/>
    </row>
    <row r="24" spans="2:8" x14ac:dyDescent="0.3">
      <c r="E24" s="3"/>
      <c r="F24" s="76"/>
      <c r="G24" s="76"/>
    </row>
    <row r="25" spans="2:8" x14ac:dyDescent="0.3">
      <c r="G25" s="76"/>
    </row>
    <row r="26" spans="2:8" x14ac:dyDescent="0.3">
      <c r="B26" s="80"/>
      <c r="C26" s="80"/>
    </row>
    <row r="28" spans="2:8" x14ac:dyDescent="0.3">
      <c r="B28" s="1"/>
      <c r="E28" s="144"/>
      <c r="F28" s="144"/>
      <c r="H28" s="144"/>
    </row>
    <row r="29" spans="2:8" x14ac:dyDescent="0.3">
      <c r="B29" s="1"/>
      <c r="G29" s="144"/>
    </row>
    <row r="31" spans="2:8" x14ac:dyDescent="0.3">
      <c r="B31" s="1"/>
    </row>
    <row r="32" spans="2:8" x14ac:dyDescent="0.3">
      <c r="B32" s="1"/>
    </row>
    <row r="34" spans="2:6" x14ac:dyDescent="0.3">
      <c r="B34" s="144"/>
      <c r="C34" s="144"/>
      <c r="D34" s="144"/>
      <c r="E34" s="144"/>
      <c r="F34" s="144"/>
    </row>
    <row r="38" spans="2:6" ht="15" thickBot="1" x14ac:dyDescent="0.35"/>
    <row r="39" spans="2:6" ht="15" thickBot="1" x14ac:dyDescent="0.35">
      <c r="B39" s="126" t="s">
        <v>4</v>
      </c>
      <c r="C39" s="134" t="s">
        <v>5</v>
      </c>
      <c r="D39" s="44" t="s">
        <v>6</v>
      </c>
      <c r="E39" s="74" t="s">
        <v>7</v>
      </c>
    </row>
    <row r="40" spans="2:6" ht="16.2" x14ac:dyDescent="0.3">
      <c r="B40" s="142" t="s">
        <v>8</v>
      </c>
      <c r="C40" s="292"/>
      <c r="D40" s="46" t="s">
        <v>9</v>
      </c>
      <c r="E40" s="47"/>
    </row>
    <row r="41" spans="2:6" ht="16.8" x14ac:dyDescent="0.35">
      <c r="B41" s="125" t="s">
        <v>101</v>
      </c>
      <c r="C41" s="204">
        <v>0.4</v>
      </c>
      <c r="D41" s="48" t="s">
        <v>73</v>
      </c>
      <c r="E41" s="128" t="s">
        <v>83</v>
      </c>
    </row>
    <row r="42" spans="2:6" x14ac:dyDescent="0.3">
      <c r="B42" s="125" t="s">
        <v>11</v>
      </c>
      <c r="C42" s="293"/>
      <c r="D42" s="201" t="s">
        <v>51</v>
      </c>
      <c r="E42" s="23"/>
    </row>
    <row r="43" spans="2:6" ht="15.6" x14ac:dyDescent="0.35">
      <c r="B43" s="125" t="s">
        <v>102</v>
      </c>
      <c r="C43" s="293"/>
      <c r="D43" s="202" t="s">
        <v>58</v>
      </c>
      <c r="E43" s="128" t="s">
        <v>88</v>
      </c>
    </row>
    <row r="44" spans="2:6" ht="15.6" x14ac:dyDescent="0.35">
      <c r="B44" s="131" t="s">
        <v>103</v>
      </c>
      <c r="C44" s="205">
        <v>8.3000000000000004E-2</v>
      </c>
      <c r="D44" s="203" t="s">
        <v>61</v>
      </c>
      <c r="E44" s="143" t="s">
        <v>104</v>
      </c>
    </row>
    <row r="45" spans="2:6" ht="16.2" thickBot="1" x14ac:dyDescent="0.4">
      <c r="B45" s="131" t="s">
        <v>89</v>
      </c>
      <c r="C45" s="206">
        <v>3</v>
      </c>
      <c r="D45" s="139" t="s">
        <v>61</v>
      </c>
      <c r="E45" s="34" t="s">
        <v>105</v>
      </c>
    </row>
    <row r="46" spans="2:6" ht="15" thickBot="1" x14ac:dyDescent="0.35">
      <c r="B46" s="240" t="s">
        <v>33</v>
      </c>
      <c r="C46" s="294"/>
      <c r="D46" s="132" t="s">
        <v>106</v>
      </c>
      <c r="E46" s="45" t="s">
        <v>107</v>
      </c>
    </row>
    <row r="47" spans="2:6" ht="16.2" thickBot="1" x14ac:dyDescent="0.35">
      <c r="B47" s="241" t="s">
        <v>108</v>
      </c>
      <c r="C47" s="191">
        <f>IF(C46="Basin",(C43*C45),(C43*C45/C41))</f>
        <v>0</v>
      </c>
      <c r="D47" s="133" t="s">
        <v>51</v>
      </c>
      <c r="E47" s="42" t="s">
        <v>109</v>
      </c>
    </row>
    <row r="48" spans="2:6" ht="43.8" thickBot="1" x14ac:dyDescent="0.35">
      <c r="B48" s="241" t="s">
        <v>110</v>
      </c>
      <c r="C48" s="183" t="str">
        <f>IF(C42&lt;=C47, "Within range", "Out of Range")</f>
        <v>Within range</v>
      </c>
      <c r="D48" s="141" t="s">
        <v>111</v>
      </c>
      <c r="E48" s="140" t="s">
        <v>112</v>
      </c>
    </row>
    <row r="49" spans="2:5" ht="16.8" thickBot="1" x14ac:dyDescent="0.35">
      <c r="B49" s="242" t="s">
        <v>21</v>
      </c>
      <c r="C49" s="245">
        <f>IF(C46="Basin", C40*(C42+(C43*C44)), C40*((C41*C42)+(C43*C44)))</f>
        <v>0</v>
      </c>
      <c r="D49" s="49" t="s">
        <v>22</v>
      </c>
      <c r="E49" s="50" t="s">
        <v>109</v>
      </c>
    </row>
    <row r="50" spans="2:5" ht="16.2" x14ac:dyDescent="0.3">
      <c r="B50" s="238" t="s">
        <v>26</v>
      </c>
      <c r="C50" s="245">
        <f>C49</f>
        <v>0</v>
      </c>
      <c r="D50" s="49" t="s">
        <v>22</v>
      </c>
      <c r="E50" s="50"/>
    </row>
    <row r="51" spans="2:5" ht="15" thickBot="1" x14ac:dyDescent="0.35">
      <c r="B51" s="239" t="s">
        <v>26</v>
      </c>
      <c r="C51" s="246">
        <f>C50*7.48</f>
        <v>0</v>
      </c>
      <c r="D51" s="29" t="s">
        <v>28</v>
      </c>
      <c r="E51" s="30"/>
    </row>
  </sheetData>
  <sheetProtection algorithmName="SHA-512" hashValue="e/JG0tSSZO3qphXi/GVr4MNTBOIlkp9Gv/E+R/RhwgtFr0qqy+N1tO8A/pDP9nWJ7UoAXSoUjz9H+OPSmtIlfQ==" saltValue="cEG2wOvivn09nFtY03+uCQ==" spinCount="100000" sheet="1" objects="1" scenarios="1"/>
  <dataValidations count="1">
    <dataValidation type="list" allowBlank="1" showInputMessage="1" showErrorMessage="1" sqref="C46" xr:uid="{7C4DE905-5599-4334-9225-D9F518047021}">
      <formula1>$G$3:$G$5</formula1>
    </dataValidation>
  </dataValidations>
  <pageMargins left="0.7" right="0.7" top="0.75" bottom="0.75" header="0.3" footer="0.3"/>
  <pageSetup scale="87"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4B06C-EF27-4824-99A0-3F23DA47682F}">
  <sheetPr codeName="Sheet8">
    <tabColor rgb="FF92D050"/>
  </sheetPr>
  <dimension ref="A1:AA112"/>
  <sheetViews>
    <sheetView zoomScaleNormal="100" workbookViewId="0"/>
  </sheetViews>
  <sheetFormatPr defaultRowHeight="14.4" x14ac:dyDescent="0.3"/>
  <cols>
    <col min="3" max="3" width="23.44140625" customWidth="1"/>
    <col min="4" max="4" width="19.33203125" customWidth="1"/>
    <col min="5" max="5" width="15.6640625" customWidth="1"/>
    <col min="6" max="6" width="13.44140625" customWidth="1"/>
    <col min="7" max="7" width="5.6640625" customWidth="1"/>
    <col min="8" max="8" width="8.88671875" hidden="1" customWidth="1"/>
    <col min="9" max="9" width="8.6640625" customWidth="1"/>
    <col min="12" max="12" width="24.33203125" customWidth="1"/>
  </cols>
  <sheetData>
    <row r="1" spans="1:8" x14ac:dyDescent="0.3">
      <c r="A1" s="83"/>
      <c r="B1" s="83"/>
      <c r="C1" s="83"/>
      <c r="D1" s="83"/>
    </row>
    <row r="2" spans="1:8" ht="15" thickBot="1" x14ac:dyDescent="0.35">
      <c r="A2" s="78"/>
      <c r="B2" s="78"/>
      <c r="C2" s="78"/>
      <c r="D2" s="78"/>
      <c r="H2" s="57" t="s">
        <v>0</v>
      </c>
    </row>
    <row r="3" spans="1:8" ht="15.6" thickTop="1" thickBot="1" x14ac:dyDescent="0.35">
      <c r="A3" s="78"/>
      <c r="B3" s="78"/>
      <c r="C3" s="78"/>
      <c r="D3" s="78"/>
      <c r="H3" s="57"/>
    </row>
    <row r="4" spans="1:8" ht="15.6" thickTop="1" thickBot="1" x14ac:dyDescent="0.35">
      <c r="A4" s="78"/>
      <c r="B4" s="78"/>
      <c r="C4" s="78"/>
      <c r="D4" s="78"/>
      <c r="H4" s="57" t="s">
        <v>113</v>
      </c>
    </row>
    <row r="5" spans="1:8" ht="15.6" thickTop="1" thickBot="1" x14ac:dyDescent="0.35">
      <c r="A5" s="78"/>
      <c r="B5" s="78"/>
      <c r="C5" s="78"/>
      <c r="D5" s="78"/>
      <c r="H5" s="57" t="s">
        <v>114</v>
      </c>
    </row>
    <row r="6" spans="1:8" ht="15" thickTop="1" x14ac:dyDescent="0.3">
      <c r="A6" s="78"/>
      <c r="B6" s="78"/>
      <c r="C6" s="78"/>
      <c r="D6" s="78"/>
    </row>
    <row r="7" spans="1:8" x14ac:dyDescent="0.3">
      <c r="A7" s="78"/>
      <c r="B7" s="78"/>
      <c r="C7" s="78"/>
      <c r="D7" s="78"/>
    </row>
    <row r="8" spans="1:8" x14ac:dyDescent="0.3">
      <c r="A8" s="78"/>
      <c r="B8" s="78"/>
      <c r="C8" s="78"/>
      <c r="D8" s="78"/>
    </row>
    <row r="9" spans="1:8" x14ac:dyDescent="0.3">
      <c r="A9" s="78"/>
      <c r="B9" s="78"/>
      <c r="C9" s="78"/>
      <c r="D9" s="78"/>
    </row>
    <row r="10" spans="1:8" x14ac:dyDescent="0.3">
      <c r="A10" s="78"/>
      <c r="B10" s="78"/>
      <c r="C10" s="78"/>
      <c r="D10" s="78"/>
    </row>
    <row r="11" spans="1:8" x14ac:dyDescent="0.3">
      <c r="A11" s="78"/>
      <c r="B11" s="78"/>
      <c r="C11" s="78"/>
      <c r="D11" s="78"/>
    </row>
    <row r="12" spans="1:8" x14ac:dyDescent="0.3">
      <c r="A12" s="78"/>
      <c r="B12" s="78"/>
      <c r="C12" s="78"/>
      <c r="D12" s="78"/>
    </row>
    <row r="13" spans="1:8" x14ac:dyDescent="0.3">
      <c r="A13" s="78"/>
      <c r="B13" s="78"/>
      <c r="C13" s="78"/>
      <c r="D13" s="78"/>
    </row>
    <row r="14" spans="1:8" x14ac:dyDescent="0.3">
      <c r="A14" s="78"/>
      <c r="B14" s="78"/>
      <c r="C14" s="78"/>
      <c r="D14" s="78"/>
    </row>
    <row r="15" spans="1:8" x14ac:dyDescent="0.3">
      <c r="A15" s="78"/>
      <c r="B15" s="78"/>
      <c r="C15" s="78"/>
      <c r="D15" s="78"/>
    </row>
    <row r="16" spans="1:8" x14ac:dyDescent="0.3">
      <c r="A16" s="78"/>
      <c r="B16" s="78"/>
      <c r="C16" s="78"/>
      <c r="D16" s="78"/>
    </row>
    <row r="17" spans="1:27" x14ac:dyDescent="0.3">
      <c r="A17" s="78"/>
      <c r="B17" s="78"/>
      <c r="C17" s="78"/>
      <c r="D17" s="78"/>
    </row>
    <row r="18" spans="1:27" x14ac:dyDescent="0.3">
      <c r="A18" s="78"/>
      <c r="B18" s="78"/>
      <c r="C18" s="78"/>
      <c r="D18" s="78"/>
    </row>
    <row r="19" spans="1:27" x14ac:dyDescent="0.3">
      <c r="A19" s="78"/>
      <c r="B19" s="78"/>
      <c r="C19" s="78"/>
      <c r="D19" s="78"/>
    </row>
    <row r="20" spans="1:27" ht="15" thickBot="1" x14ac:dyDescent="0.35">
      <c r="A20" s="78"/>
      <c r="B20" s="78"/>
      <c r="C20" s="78"/>
      <c r="D20" s="78"/>
      <c r="H20" s="106"/>
      <c r="I20" s="106"/>
      <c r="J20" s="106"/>
      <c r="K20" s="106"/>
      <c r="L20" s="106"/>
      <c r="M20" s="106"/>
      <c r="N20" s="106"/>
      <c r="O20" s="106"/>
      <c r="P20" s="106"/>
      <c r="Q20" s="106"/>
      <c r="R20" s="106"/>
      <c r="S20" s="106"/>
      <c r="T20" s="106"/>
      <c r="U20" s="106"/>
      <c r="V20" s="106"/>
      <c r="W20" s="106"/>
      <c r="X20" s="106"/>
      <c r="Y20" s="106"/>
      <c r="Z20" s="106"/>
      <c r="AA20" s="106"/>
    </row>
    <row r="21" spans="1:27" ht="16.8" thickBot="1" x14ac:dyDescent="0.35">
      <c r="A21" s="78"/>
      <c r="B21" s="61" t="s">
        <v>115</v>
      </c>
      <c r="C21" s="170" t="s">
        <v>116</v>
      </c>
      <c r="D21" s="165" t="s">
        <v>117</v>
      </c>
      <c r="E21" s="60" t="s">
        <v>35</v>
      </c>
      <c r="F21" s="61" t="s">
        <v>36</v>
      </c>
      <c r="H21" s="91"/>
      <c r="I21" s="106"/>
      <c r="J21" s="106"/>
      <c r="K21" s="106"/>
      <c r="L21" s="106"/>
      <c r="M21" s="106"/>
      <c r="N21" s="106"/>
      <c r="O21" s="106"/>
      <c r="P21" s="112"/>
      <c r="Q21" s="105"/>
      <c r="R21" s="106"/>
      <c r="S21" s="106"/>
      <c r="T21" s="106"/>
      <c r="U21" s="106"/>
      <c r="V21" s="106"/>
      <c r="W21" s="106"/>
      <c r="X21" s="106"/>
      <c r="Y21" s="106"/>
      <c r="Z21" s="106"/>
      <c r="AA21" s="106"/>
    </row>
    <row r="22" spans="1:27" ht="15.6" x14ac:dyDescent="0.3">
      <c r="A22" s="78"/>
      <c r="B22" s="109">
        <v>1</v>
      </c>
      <c r="C22" s="295"/>
      <c r="D22" s="296"/>
      <c r="E22" s="192">
        <f>IF(C22="Yes",D22*0.3,D22*0.1)</f>
        <v>0</v>
      </c>
      <c r="F22" s="193">
        <f>E22*7.48</f>
        <v>0</v>
      </c>
      <c r="H22" s="91"/>
      <c r="I22" s="113"/>
      <c r="J22" s="113"/>
      <c r="K22" s="121"/>
      <c r="L22" s="106"/>
      <c r="M22" s="106"/>
      <c r="N22" s="106"/>
      <c r="O22" s="106"/>
      <c r="P22" s="112"/>
      <c r="Q22" s="105"/>
      <c r="R22" s="106"/>
      <c r="S22" s="106"/>
      <c r="T22" s="106"/>
      <c r="U22" s="106"/>
      <c r="V22" s="106"/>
      <c r="W22" s="106"/>
      <c r="X22" s="106"/>
      <c r="Y22" s="106"/>
      <c r="Z22" s="106"/>
      <c r="AA22" s="106"/>
    </row>
    <row r="23" spans="1:27" ht="15.6" x14ac:dyDescent="0.3">
      <c r="A23" s="78"/>
      <c r="B23" s="110">
        <v>2</v>
      </c>
      <c r="C23" s="297"/>
      <c r="D23" s="298"/>
      <c r="E23" s="194">
        <f>IF(C23="Yes",D23*0.3,D23*0.1)</f>
        <v>0</v>
      </c>
      <c r="F23" s="195">
        <f>E23*7.48</f>
        <v>0</v>
      </c>
      <c r="H23" s="91"/>
      <c r="I23" s="106"/>
      <c r="J23" s="105"/>
      <c r="K23" s="106"/>
      <c r="L23" s="106"/>
      <c r="M23" s="106"/>
      <c r="N23" s="106"/>
      <c r="O23" s="106"/>
      <c r="P23" s="112"/>
      <c r="Q23" s="105"/>
      <c r="R23" s="106"/>
      <c r="S23" s="106"/>
      <c r="T23" s="106"/>
      <c r="U23" s="106"/>
      <c r="V23" s="106"/>
      <c r="W23" s="106"/>
      <c r="X23" s="106"/>
      <c r="Y23" s="106"/>
      <c r="Z23" s="106"/>
      <c r="AA23" s="106"/>
    </row>
    <row r="24" spans="1:27" x14ac:dyDescent="0.3">
      <c r="A24" s="78"/>
      <c r="B24" s="110">
        <v>3</v>
      </c>
      <c r="C24" s="297"/>
      <c r="D24" s="298"/>
      <c r="E24" s="194">
        <f>IF(C24="Yes",D24*0.3,D24*0.1)</f>
        <v>0</v>
      </c>
      <c r="F24" s="195">
        <f t="shared" ref="F24:F26" si="0">E24*7.48</f>
        <v>0</v>
      </c>
      <c r="H24" s="106"/>
      <c r="I24" s="106"/>
      <c r="J24" s="106"/>
      <c r="K24" s="106"/>
      <c r="L24" s="106"/>
      <c r="M24" s="106"/>
      <c r="N24" s="113"/>
      <c r="O24" s="113"/>
      <c r="P24" s="113"/>
      <c r="Q24" s="113"/>
      <c r="R24" s="113"/>
      <c r="S24" s="106"/>
      <c r="T24" s="106"/>
      <c r="U24" s="106"/>
      <c r="V24" s="106"/>
      <c r="W24" s="106"/>
      <c r="X24" s="106"/>
      <c r="Y24" s="106"/>
      <c r="Z24" s="106"/>
      <c r="AA24" s="106"/>
    </row>
    <row r="25" spans="1:27" x14ac:dyDescent="0.3">
      <c r="A25" s="78"/>
      <c r="B25" s="110">
        <v>4</v>
      </c>
      <c r="C25" s="297"/>
      <c r="D25" s="298"/>
      <c r="E25" s="194">
        <f>IF(C25="Yes",D25*0.3,D25*0.1)</f>
        <v>0</v>
      </c>
      <c r="F25" s="195">
        <f t="shared" si="0"/>
        <v>0</v>
      </c>
      <c r="H25" s="106"/>
      <c r="I25" s="106"/>
      <c r="J25" s="106"/>
      <c r="K25" s="106"/>
      <c r="L25" s="106"/>
      <c r="M25" s="106"/>
      <c r="N25" s="106"/>
      <c r="O25" s="106"/>
      <c r="P25" s="106"/>
      <c r="Q25" s="106"/>
      <c r="R25" s="106"/>
      <c r="S25" s="106"/>
      <c r="T25" s="106"/>
      <c r="U25" s="106"/>
      <c r="V25" s="106"/>
      <c r="W25" s="106"/>
      <c r="X25" s="106"/>
      <c r="Y25" s="106"/>
      <c r="Z25" s="106"/>
      <c r="AA25" s="106"/>
    </row>
    <row r="26" spans="1:27" ht="16.2" thickBot="1" x14ac:dyDescent="0.35">
      <c r="A26" s="2"/>
      <c r="B26" s="111">
        <v>5</v>
      </c>
      <c r="C26" s="299"/>
      <c r="D26" s="300"/>
      <c r="E26" s="194">
        <f>IF(C26="Yes",D26*0.3,D26*0.1)</f>
        <v>0</v>
      </c>
      <c r="F26" s="195">
        <f t="shared" si="0"/>
        <v>0</v>
      </c>
      <c r="H26" s="106"/>
      <c r="I26" s="106"/>
      <c r="J26" s="116"/>
      <c r="K26" s="106"/>
      <c r="L26" s="106"/>
      <c r="M26" s="106"/>
      <c r="N26" s="106"/>
      <c r="O26" s="117"/>
      <c r="P26" s="117"/>
      <c r="Q26" s="117"/>
      <c r="R26" s="117"/>
      <c r="S26" s="106"/>
      <c r="T26" s="106"/>
      <c r="U26" s="106"/>
      <c r="V26" s="106"/>
      <c r="W26" s="106"/>
      <c r="X26" s="106"/>
      <c r="Y26" s="106"/>
      <c r="Z26" s="106"/>
      <c r="AA26" s="106"/>
    </row>
    <row r="27" spans="1:27" ht="16.2" thickBot="1" x14ac:dyDescent="0.35">
      <c r="A27" s="2"/>
      <c r="B27" s="108" t="s">
        <v>41</v>
      </c>
      <c r="C27" s="196"/>
      <c r="D27" s="197">
        <f>SUM(D22:D26)</f>
        <v>0</v>
      </c>
      <c r="E27" s="198">
        <f>SUM(E22:E26)</f>
        <v>0</v>
      </c>
      <c r="F27" s="197">
        <f>SUM(F22:F26)</f>
        <v>0</v>
      </c>
      <c r="H27" s="106"/>
      <c r="I27" s="106"/>
      <c r="J27" s="116"/>
      <c r="K27" s="106"/>
      <c r="L27" s="106"/>
      <c r="M27" s="106"/>
      <c r="N27" s="106"/>
      <c r="O27" s="106"/>
      <c r="P27" s="106"/>
      <c r="Q27" s="106"/>
      <c r="R27" s="106"/>
      <c r="S27" s="106"/>
      <c r="T27" s="106"/>
      <c r="U27" s="106"/>
      <c r="V27" s="106"/>
      <c r="W27" s="106"/>
      <c r="X27" s="106"/>
      <c r="Y27" s="106"/>
      <c r="Z27" s="106"/>
      <c r="AA27" s="106"/>
    </row>
    <row r="28" spans="1:27" ht="15.6" x14ac:dyDescent="0.3">
      <c r="A28" s="2"/>
      <c r="B28" s="78"/>
      <c r="C28" s="78"/>
      <c r="D28" s="78"/>
      <c r="H28" s="106"/>
      <c r="I28" s="106"/>
      <c r="J28" s="106"/>
      <c r="K28" s="116"/>
      <c r="L28" s="106"/>
      <c r="M28" s="106"/>
      <c r="N28" s="106"/>
      <c r="O28" s="106"/>
      <c r="P28" s="106"/>
      <c r="Q28" s="106"/>
      <c r="R28" s="106"/>
      <c r="S28" s="106"/>
      <c r="T28" s="106"/>
      <c r="U28" s="106"/>
      <c r="V28" s="106"/>
      <c r="W28" s="106"/>
      <c r="X28" s="106"/>
      <c r="Y28" s="106"/>
      <c r="Z28" s="106"/>
      <c r="AA28" s="106"/>
    </row>
    <row r="29" spans="1:27" ht="15.6" x14ac:dyDescent="0.3">
      <c r="A29" s="2"/>
      <c r="B29" s="78"/>
      <c r="C29" s="78"/>
      <c r="D29" s="78"/>
      <c r="H29" s="106"/>
      <c r="I29" s="106"/>
      <c r="J29" s="106"/>
      <c r="K29" s="116"/>
      <c r="L29" s="106"/>
      <c r="M29" s="106"/>
      <c r="N29" s="106"/>
      <c r="O29" s="107"/>
      <c r="P29" s="106"/>
      <c r="Q29" s="106"/>
      <c r="R29" s="106"/>
      <c r="S29" s="106"/>
      <c r="T29" s="106"/>
      <c r="U29" s="106"/>
      <c r="V29" s="106"/>
      <c r="W29" s="106"/>
      <c r="X29" s="106"/>
      <c r="Y29" s="106"/>
      <c r="Z29" s="106"/>
      <c r="AA29" s="106"/>
    </row>
    <row r="30" spans="1:27" ht="15.6" x14ac:dyDescent="0.3">
      <c r="A30" s="2"/>
      <c r="B30" s="118"/>
      <c r="C30" s="118"/>
      <c r="D30" s="118"/>
      <c r="E30" s="119"/>
      <c r="H30" s="106"/>
      <c r="I30" s="106"/>
      <c r="J30" s="106"/>
      <c r="K30" s="106"/>
      <c r="L30" s="106"/>
      <c r="M30" s="106"/>
      <c r="N30" s="106"/>
      <c r="O30" s="113"/>
      <c r="P30" s="113"/>
      <c r="Q30" s="106"/>
      <c r="R30" s="106"/>
      <c r="S30" s="106"/>
      <c r="T30" s="106"/>
      <c r="U30" s="106"/>
      <c r="V30" s="106"/>
      <c r="W30" s="106"/>
      <c r="X30" s="106"/>
      <c r="Y30" s="106"/>
      <c r="Z30" s="106"/>
      <c r="AA30" s="106"/>
    </row>
    <row r="31" spans="1:27" ht="15.6" x14ac:dyDescent="0.3">
      <c r="A31" s="2"/>
      <c r="B31" s="118"/>
      <c r="C31" s="118"/>
      <c r="D31" s="118"/>
      <c r="E31" s="119"/>
      <c r="H31" s="106"/>
      <c r="I31" s="106"/>
      <c r="J31" s="122"/>
      <c r="K31" s="113"/>
      <c r="L31" s="121"/>
      <c r="M31" s="106"/>
      <c r="N31" s="106"/>
      <c r="O31" s="106"/>
      <c r="P31" s="106"/>
      <c r="Q31" s="106"/>
      <c r="R31" s="106"/>
      <c r="S31" s="106"/>
      <c r="T31" s="106"/>
      <c r="U31" s="106"/>
      <c r="V31" s="106"/>
      <c r="W31" s="106"/>
      <c r="X31" s="106"/>
      <c r="Y31" s="106"/>
      <c r="Z31" s="106"/>
      <c r="AA31" s="106"/>
    </row>
    <row r="32" spans="1:27" ht="15.6" x14ac:dyDescent="0.3">
      <c r="A32" s="2"/>
      <c r="B32" s="118"/>
      <c r="C32" s="120"/>
      <c r="D32" s="118"/>
      <c r="E32" s="119"/>
      <c r="H32" s="106"/>
      <c r="I32" s="106"/>
      <c r="J32" s="113"/>
      <c r="K32" s="113"/>
      <c r="L32" s="121"/>
      <c r="M32" s="114"/>
      <c r="N32" s="106"/>
      <c r="O32" s="106"/>
      <c r="P32" s="106"/>
      <c r="Q32" s="106"/>
      <c r="R32" s="106"/>
      <c r="S32" s="106"/>
      <c r="T32" s="106"/>
      <c r="U32" s="106"/>
      <c r="V32" s="106"/>
      <c r="W32" s="106"/>
      <c r="X32" s="106"/>
      <c r="Y32" s="106"/>
      <c r="Z32" s="106"/>
      <c r="AA32" s="106"/>
    </row>
    <row r="33" spans="2:27" x14ac:dyDescent="0.3">
      <c r="B33" s="119"/>
      <c r="C33" s="119"/>
      <c r="D33" s="119"/>
      <c r="E33" s="119"/>
      <c r="H33" s="106"/>
      <c r="I33" s="115"/>
      <c r="J33" s="113"/>
      <c r="K33" s="113"/>
      <c r="L33" s="106"/>
      <c r="M33" s="106"/>
      <c r="N33" s="106"/>
      <c r="O33" s="106"/>
      <c r="P33" s="106"/>
      <c r="Q33" s="106"/>
      <c r="R33" s="106"/>
      <c r="S33" s="106"/>
      <c r="T33" s="106"/>
      <c r="U33" s="106"/>
      <c r="V33" s="106"/>
      <c r="W33" s="106"/>
      <c r="X33" s="106"/>
      <c r="Y33" s="106"/>
      <c r="Z33" s="106"/>
      <c r="AA33" s="106"/>
    </row>
    <row r="34" spans="2:27" x14ac:dyDescent="0.3">
      <c r="H34" s="106"/>
      <c r="I34" s="106"/>
      <c r="J34" s="113"/>
      <c r="K34" s="113"/>
      <c r="L34" s="106"/>
      <c r="M34" s="106"/>
      <c r="N34" s="106"/>
      <c r="O34" s="123"/>
      <c r="P34" s="123"/>
      <c r="Q34" s="106"/>
      <c r="R34" s="106"/>
      <c r="S34" s="106"/>
      <c r="T34" s="106"/>
      <c r="U34" s="106"/>
      <c r="V34" s="106"/>
      <c r="W34" s="106"/>
      <c r="X34" s="106"/>
      <c r="Y34" s="106"/>
      <c r="Z34" s="106"/>
      <c r="AA34" s="106"/>
    </row>
    <row r="35" spans="2:27" x14ac:dyDescent="0.3">
      <c r="H35" s="106"/>
      <c r="I35" s="106"/>
      <c r="J35" s="113"/>
      <c r="K35" s="113"/>
      <c r="L35" s="106"/>
      <c r="M35" s="106"/>
      <c r="N35" s="106"/>
      <c r="O35" s="106"/>
      <c r="P35" s="106"/>
      <c r="Q35" s="106"/>
      <c r="R35" s="106"/>
      <c r="S35" s="106"/>
      <c r="T35" s="106"/>
      <c r="U35" s="106"/>
      <c r="V35" s="106"/>
      <c r="W35" s="106"/>
      <c r="X35" s="106"/>
      <c r="Y35" s="106"/>
      <c r="Z35" s="106"/>
      <c r="AA35" s="106"/>
    </row>
    <row r="36" spans="2:27" x14ac:dyDescent="0.3">
      <c r="H36" s="106"/>
      <c r="I36" s="106"/>
      <c r="J36" s="113"/>
      <c r="K36" s="113"/>
      <c r="L36" s="113"/>
      <c r="M36" s="113"/>
      <c r="N36" s="113"/>
      <c r="O36" s="117"/>
      <c r="P36" s="105"/>
      <c r="Q36" s="105"/>
      <c r="R36" s="105"/>
      <c r="S36" s="106"/>
      <c r="T36" s="106"/>
      <c r="U36" s="106"/>
      <c r="V36" s="106"/>
      <c r="W36" s="106"/>
      <c r="X36" s="106"/>
      <c r="Y36" s="106"/>
      <c r="Z36" s="106"/>
      <c r="AA36" s="106"/>
    </row>
    <row r="37" spans="2:27" x14ac:dyDescent="0.3">
      <c r="H37" s="106"/>
      <c r="I37" s="106"/>
      <c r="J37" s="113"/>
      <c r="K37" s="113"/>
      <c r="L37" s="113"/>
      <c r="M37" s="113"/>
      <c r="N37" s="113"/>
      <c r="O37" s="106"/>
      <c r="P37" s="106"/>
      <c r="Q37" s="106"/>
      <c r="R37" s="106"/>
      <c r="S37" s="106"/>
      <c r="T37" s="106"/>
      <c r="U37" s="106"/>
      <c r="V37" s="106"/>
      <c r="W37" s="106"/>
      <c r="X37" s="106"/>
      <c r="Y37" s="106"/>
      <c r="Z37" s="106"/>
      <c r="AA37" s="106"/>
    </row>
    <row r="38" spans="2:27" x14ac:dyDescent="0.3">
      <c r="H38" s="106"/>
      <c r="I38" s="106"/>
      <c r="J38" s="113"/>
      <c r="K38" s="113"/>
      <c r="L38" s="106"/>
      <c r="M38" s="106"/>
      <c r="N38" s="106"/>
      <c r="O38" s="106"/>
      <c r="P38" s="106"/>
      <c r="Q38" s="106"/>
      <c r="R38" s="106"/>
      <c r="S38" s="106"/>
      <c r="T38" s="106"/>
      <c r="U38" s="106"/>
      <c r="V38" s="106"/>
      <c r="W38" s="106"/>
      <c r="X38" s="106"/>
      <c r="Y38" s="106"/>
      <c r="Z38" s="106"/>
      <c r="AA38" s="106"/>
    </row>
    <row r="39" spans="2:27" x14ac:dyDescent="0.3">
      <c r="H39" s="106"/>
      <c r="I39" s="106"/>
      <c r="J39" s="105"/>
      <c r="K39" s="105"/>
      <c r="L39" s="106"/>
      <c r="M39" s="106"/>
      <c r="N39" s="106"/>
      <c r="O39" s="113"/>
      <c r="P39" s="113"/>
      <c r="Q39" s="113"/>
      <c r="R39" s="113"/>
      <c r="S39" s="113"/>
      <c r="T39" s="106"/>
      <c r="U39" s="106"/>
      <c r="V39" s="106"/>
      <c r="W39" s="106"/>
      <c r="X39" s="106"/>
      <c r="Y39" s="106"/>
      <c r="Z39" s="106"/>
      <c r="AA39" s="106"/>
    </row>
    <row r="40" spans="2:27" x14ac:dyDescent="0.3">
      <c r="H40" s="106"/>
      <c r="I40" s="106"/>
      <c r="J40" s="115"/>
      <c r="K40" s="115"/>
      <c r="L40" s="115"/>
      <c r="M40" s="115"/>
      <c r="N40" s="106"/>
      <c r="O40" s="106"/>
      <c r="P40" s="106"/>
      <c r="Q40" s="106"/>
      <c r="R40" s="106"/>
      <c r="S40" s="106"/>
      <c r="T40" s="106"/>
      <c r="U40" s="106"/>
      <c r="V40" s="106"/>
      <c r="W40" s="106"/>
      <c r="X40" s="106"/>
      <c r="Y40" s="106"/>
      <c r="Z40" s="106"/>
      <c r="AA40" s="106"/>
    </row>
    <row r="41" spans="2:27" x14ac:dyDescent="0.3">
      <c r="H41" s="106"/>
      <c r="I41" s="106"/>
      <c r="J41" s="116"/>
      <c r="K41" s="106"/>
      <c r="L41" s="106"/>
      <c r="M41" s="106"/>
      <c r="N41" s="112"/>
      <c r="O41" s="106"/>
      <c r="P41" s="106"/>
      <c r="Q41" s="106"/>
      <c r="R41" s="106"/>
      <c r="S41" s="106"/>
      <c r="T41" s="106"/>
      <c r="U41" s="106"/>
      <c r="V41" s="106"/>
      <c r="W41" s="106"/>
      <c r="X41" s="106"/>
      <c r="Y41" s="106"/>
      <c r="Z41" s="106"/>
      <c r="AA41" s="106"/>
    </row>
    <row r="42" spans="2:27" x14ac:dyDescent="0.3">
      <c r="H42" s="106"/>
      <c r="I42" s="106"/>
      <c r="J42" s="106"/>
      <c r="K42" s="106"/>
      <c r="L42" s="106"/>
      <c r="M42" s="106"/>
      <c r="N42" s="106"/>
      <c r="O42" s="106"/>
      <c r="P42" s="106"/>
      <c r="Q42" s="106"/>
      <c r="R42" s="106"/>
      <c r="S42" s="106"/>
      <c r="T42" s="106"/>
      <c r="U42" s="106"/>
      <c r="V42" s="106"/>
      <c r="W42" s="106"/>
      <c r="X42" s="106"/>
      <c r="Y42" s="106"/>
      <c r="Z42" s="106"/>
      <c r="AA42" s="106"/>
    </row>
    <row r="43" spans="2:27" x14ac:dyDescent="0.3">
      <c r="H43" s="106"/>
      <c r="I43" s="106"/>
      <c r="J43" s="106"/>
      <c r="K43" s="105"/>
      <c r="L43" s="117"/>
      <c r="M43" s="117"/>
      <c r="N43" s="117"/>
      <c r="O43" s="106"/>
      <c r="P43" s="106"/>
      <c r="Q43" s="106"/>
      <c r="R43" s="106"/>
      <c r="S43" s="106"/>
      <c r="T43" s="106"/>
      <c r="U43" s="106"/>
      <c r="V43" s="106"/>
      <c r="W43" s="106"/>
      <c r="X43" s="106"/>
      <c r="Y43" s="106"/>
      <c r="Z43" s="106"/>
      <c r="AA43" s="106"/>
    </row>
    <row r="44" spans="2:27" x14ac:dyDescent="0.3">
      <c r="H44" s="106"/>
      <c r="I44" s="106"/>
      <c r="J44" s="106"/>
      <c r="K44" s="106"/>
      <c r="L44" s="106"/>
      <c r="M44" s="106"/>
      <c r="N44" s="106"/>
      <c r="O44" s="106"/>
      <c r="P44" s="106"/>
      <c r="Q44" s="106"/>
      <c r="R44" s="106"/>
      <c r="S44" s="106"/>
      <c r="T44" s="106"/>
      <c r="U44" s="106"/>
      <c r="V44" s="106"/>
      <c r="W44" s="106"/>
      <c r="X44" s="106"/>
      <c r="Y44" s="106"/>
      <c r="Z44" s="106"/>
      <c r="AA44" s="106"/>
    </row>
    <row r="45" spans="2:27" x14ac:dyDescent="0.3">
      <c r="H45" s="106"/>
      <c r="I45" s="106"/>
      <c r="J45" s="117"/>
      <c r="K45" s="117"/>
      <c r="L45" s="117"/>
      <c r="M45" s="117"/>
      <c r="N45" s="117"/>
      <c r="O45" s="106"/>
      <c r="P45" s="106"/>
      <c r="Q45" s="106"/>
      <c r="R45" s="106"/>
      <c r="S45" s="106"/>
      <c r="T45" s="106"/>
      <c r="U45" s="106"/>
      <c r="V45" s="106"/>
      <c r="W45" s="106"/>
      <c r="X45" s="106"/>
      <c r="Y45" s="106"/>
      <c r="Z45" s="106"/>
      <c r="AA45" s="106"/>
    </row>
    <row r="46" spans="2:27" x14ac:dyDescent="0.3">
      <c r="H46" s="106"/>
      <c r="I46" s="106"/>
      <c r="J46" s="116"/>
      <c r="K46" s="106"/>
      <c r="L46" s="106"/>
      <c r="M46" s="113"/>
      <c r="N46" s="113"/>
      <c r="O46" s="106"/>
      <c r="P46" s="106"/>
      <c r="Q46" s="106"/>
      <c r="R46" s="106"/>
      <c r="S46" s="106"/>
      <c r="T46" s="106"/>
      <c r="U46" s="106"/>
      <c r="V46" s="106"/>
      <c r="W46" s="106"/>
      <c r="X46" s="106"/>
      <c r="Y46" s="106"/>
      <c r="Z46" s="106"/>
      <c r="AA46" s="106"/>
    </row>
    <row r="47" spans="2:27" x14ac:dyDescent="0.3">
      <c r="H47" s="106"/>
      <c r="I47" s="106"/>
      <c r="J47" s="106"/>
      <c r="K47" s="106"/>
      <c r="L47" s="106"/>
      <c r="M47" s="112"/>
      <c r="N47" s="106"/>
      <c r="O47" s="106"/>
      <c r="P47" s="106"/>
      <c r="Q47" s="106"/>
      <c r="R47" s="106"/>
      <c r="S47" s="106"/>
      <c r="T47" s="106"/>
      <c r="U47" s="106"/>
      <c r="V47" s="106"/>
      <c r="W47" s="106"/>
      <c r="X47" s="106"/>
      <c r="Y47" s="106"/>
      <c r="Z47" s="106"/>
      <c r="AA47" s="106"/>
    </row>
    <row r="48" spans="2:27" x14ac:dyDescent="0.3">
      <c r="H48" s="106"/>
      <c r="I48" s="106"/>
      <c r="J48" s="106"/>
      <c r="K48" s="106"/>
      <c r="L48" s="106"/>
      <c r="M48" s="106"/>
      <c r="N48" s="106"/>
      <c r="O48" s="106"/>
      <c r="P48" s="106"/>
      <c r="Q48" s="106"/>
      <c r="R48" s="106"/>
      <c r="S48" s="106"/>
      <c r="T48" s="106"/>
      <c r="U48" s="106"/>
      <c r="V48" s="106"/>
      <c r="W48" s="106"/>
      <c r="X48" s="106"/>
      <c r="Y48" s="106"/>
      <c r="Z48" s="106"/>
      <c r="AA48" s="106"/>
    </row>
    <row r="49" spans="8:27" x14ac:dyDescent="0.3">
      <c r="H49" s="106"/>
      <c r="I49" s="106"/>
      <c r="J49" s="106"/>
      <c r="K49" s="106"/>
      <c r="L49" s="106"/>
      <c r="M49" s="106"/>
      <c r="N49" s="106"/>
      <c r="O49" s="106"/>
      <c r="P49" s="106"/>
      <c r="Q49" s="106"/>
      <c r="R49" s="106"/>
      <c r="S49" s="106"/>
      <c r="T49" s="106"/>
      <c r="U49" s="106"/>
      <c r="V49" s="106"/>
      <c r="W49" s="106"/>
      <c r="X49" s="106"/>
      <c r="Y49" s="106"/>
      <c r="Z49" s="106"/>
      <c r="AA49" s="106"/>
    </row>
    <row r="50" spans="8:27" x14ac:dyDescent="0.3">
      <c r="H50" s="106"/>
      <c r="I50" s="106"/>
      <c r="J50" s="106"/>
      <c r="K50" s="106"/>
      <c r="L50" s="106"/>
      <c r="M50" s="106"/>
      <c r="N50" s="106"/>
      <c r="O50" s="106"/>
      <c r="P50" s="106"/>
      <c r="Q50" s="106"/>
      <c r="R50" s="106"/>
      <c r="S50" s="106"/>
      <c r="T50" s="106"/>
      <c r="U50" s="106"/>
      <c r="V50" s="106"/>
      <c r="W50" s="106"/>
      <c r="X50" s="106"/>
      <c r="Y50" s="106"/>
      <c r="Z50" s="106"/>
      <c r="AA50" s="106"/>
    </row>
    <row r="51" spans="8:27" x14ac:dyDescent="0.3">
      <c r="H51" s="106"/>
      <c r="I51" s="106"/>
      <c r="J51" s="106"/>
      <c r="K51" s="106"/>
      <c r="L51" s="106"/>
      <c r="M51" s="106"/>
      <c r="N51" s="106"/>
      <c r="O51" s="106"/>
      <c r="P51" s="106"/>
      <c r="Q51" s="106"/>
      <c r="R51" s="106"/>
      <c r="S51" s="106"/>
      <c r="T51" s="106"/>
      <c r="U51" s="106"/>
      <c r="V51" s="106"/>
      <c r="W51" s="106"/>
      <c r="X51" s="106"/>
      <c r="Y51" s="106"/>
      <c r="Z51" s="106"/>
      <c r="AA51" s="106"/>
    </row>
    <row r="52" spans="8:27" x14ac:dyDescent="0.3">
      <c r="H52" s="106"/>
      <c r="I52" s="106"/>
      <c r="J52" s="106"/>
      <c r="K52" s="106"/>
      <c r="L52" s="106"/>
      <c r="M52" s="106"/>
      <c r="N52" s="106"/>
      <c r="O52" s="106"/>
      <c r="P52" s="106"/>
      <c r="Q52" s="106"/>
      <c r="R52" s="106"/>
      <c r="S52" s="106"/>
      <c r="T52" s="106"/>
      <c r="U52" s="106"/>
      <c r="V52" s="106"/>
      <c r="W52" s="106"/>
      <c r="X52" s="106"/>
      <c r="Y52" s="106"/>
      <c r="Z52" s="106"/>
      <c r="AA52" s="106"/>
    </row>
    <row r="53" spans="8:27" x14ac:dyDescent="0.3">
      <c r="H53" s="106"/>
      <c r="I53" s="106"/>
      <c r="J53" s="106"/>
      <c r="K53" s="106"/>
      <c r="L53" s="106"/>
      <c r="M53" s="106"/>
      <c r="N53" s="106"/>
      <c r="O53" s="106"/>
      <c r="P53" s="106"/>
      <c r="Q53" s="106"/>
      <c r="R53" s="106"/>
      <c r="S53" s="106"/>
      <c r="T53" s="106"/>
      <c r="U53" s="106"/>
      <c r="V53" s="106"/>
      <c r="W53" s="106"/>
      <c r="X53" s="106"/>
      <c r="Y53" s="106"/>
      <c r="Z53" s="106"/>
      <c r="AA53" s="106"/>
    </row>
    <row r="54" spans="8:27" x14ac:dyDescent="0.3">
      <c r="H54" s="106"/>
      <c r="I54" s="106"/>
      <c r="J54" s="106"/>
      <c r="K54" s="106"/>
      <c r="L54" s="106"/>
      <c r="M54" s="106"/>
      <c r="N54" s="106"/>
      <c r="O54" s="106"/>
      <c r="P54" s="106"/>
      <c r="Q54" s="106"/>
      <c r="R54" s="106"/>
      <c r="S54" s="106"/>
      <c r="T54" s="106"/>
      <c r="U54" s="106"/>
      <c r="V54" s="106"/>
      <c r="W54" s="106"/>
      <c r="X54" s="106"/>
      <c r="Y54" s="106"/>
      <c r="Z54" s="106"/>
      <c r="AA54" s="106"/>
    </row>
    <row r="55" spans="8:27" x14ac:dyDescent="0.3">
      <c r="H55" s="106"/>
      <c r="I55" s="106"/>
      <c r="J55" s="106"/>
      <c r="K55" s="106"/>
      <c r="L55" s="106"/>
      <c r="M55" s="106"/>
      <c r="N55" s="106"/>
      <c r="O55" s="106"/>
      <c r="P55" s="106"/>
      <c r="Q55" s="106"/>
      <c r="R55" s="106"/>
      <c r="S55" s="106"/>
      <c r="T55" s="106"/>
      <c r="U55" s="106"/>
      <c r="V55" s="106"/>
      <c r="W55" s="106"/>
      <c r="X55" s="106"/>
      <c r="Y55" s="106"/>
      <c r="Z55" s="106"/>
      <c r="AA55" s="106"/>
    </row>
    <row r="56" spans="8:27" x14ac:dyDescent="0.3">
      <c r="H56" s="106"/>
      <c r="I56" s="106"/>
      <c r="J56" s="106"/>
      <c r="K56" s="106"/>
      <c r="L56" s="106"/>
      <c r="M56" s="106"/>
      <c r="N56" s="106"/>
      <c r="O56" s="106"/>
      <c r="P56" s="106"/>
      <c r="Q56" s="106"/>
      <c r="R56" s="106"/>
      <c r="S56" s="106"/>
      <c r="T56" s="106"/>
      <c r="U56" s="106"/>
      <c r="V56" s="106"/>
      <c r="W56" s="106"/>
      <c r="X56" s="106"/>
      <c r="Y56" s="106"/>
      <c r="Z56" s="106"/>
      <c r="AA56" s="106"/>
    </row>
    <row r="57" spans="8:27" x14ac:dyDescent="0.3">
      <c r="H57" s="106"/>
      <c r="I57" s="106"/>
      <c r="J57" s="106"/>
      <c r="K57" s="106"/>
      <c r="L57" s="106"/>
      <c r="M57" s="106"/>
      <c r="N57" s="106"/>
      <c r="O57" s="106"/>
      <c r="P57" s="106"/>
      <c r="Q57" s="106"/>
      <c r="R57" s="106"/>
      <c r="S57" s="106"/>
      <c r="T57" s="106"/>
      <c r="U57" s="106"/>
      <c r="V57" s="106"/>
      <c r="W57" s="106"/>
      <c r="X57" s="106"/>
      <c r="Y57" s="106"/>
      <c r="Z57" s="106"/>
      <c r="AA57" s="106"/>
    </row>
    <row r="58" spans="8:27" x14ac:dyDescent="0.3">
      <c r="H58" s="106"/>
      <c r="I58" s="106"/>
      <c r="J58" s="106"/>
      <c r="K58" s="106"/>
      <c r="L58" s="106"/>
      <c r="M58" s="106"/>
      <c r="N58" s="106"/>
      <c r="O58" s="106"/>
      <c r="P58" s="106"/>
      <c r="Q58" s="106"/>
      <c r="R58" s="106"/>
      <c r="S58" s="106"/>
      <c r="T58" s="106"/>
      <c r="U58" s="106"/>
      <c r="V58" s="106"/>
      <c r="W58" s="106"/>
      <c r="X58" s="106"/>
      <c r="Y58" s="106"/>
      <c r="Z58" s="106"/>
      <c r="AA58" s="106"/>
    </row>
    <row r="59" spans="8:27" x14ac:dyDescent="0.3">
      <c r="H59" s="106"/>
      <c r="I59" s="106"/>
      <c r="J59" s="106"/>
      <c r="K59" s="106"/>
      <c r="L59" s="106"/>
      <c r="M59" s="106"/>
      <c r="N59" s="106"/>
      <c r="O59" s="106"/>
      <c r="P59" s="106"/>
      <c r="Q59" s="106"/>
      <c r="R59" s="106"/>
      <c r="S59" s="106"/>
      <c r="T59" s="106"/>
      <c r="U59" s="106"/>
      <c r="V59" s="106"/>
      <c r="W59" s="106"/>
      <c r="X59" s="106"/>
      <c r="Y59" s="106"/>
      <c r="Z59" s="106"/>
      <c r="AA59" s="106"/>
    </row>
    <row r="60" spans="8:27" x14ac:dyDescent="0.3">
      <c r="H60" s="106"/>
      <c r="I60" s="106"/>
      <c r="J60" s="106"/>
      <c r="K60" s="106"/>
      <c r="L60" s="106"/>
      <c r="M60" s="106"/>
      <c r="N60" s="106"/>
      <c r="O60" s="106"/>
      <c r="P60" s="106"/>
      <c r="Q60" s="106"/>
      <c r="R60" s="106"/>
      <c r="S60" s="106"/>
      <c r="T60" s="106"/>
      <c r="U60" s="106"/>
      <c r="V60" s="106"/>
      <c r="W60" s="106"/>
      <c r="X60" s="106"/>
      <c r="Y60" s="106"/>
      <c r="Z60" s="106"/>
      <c r="AA60" s="106"/>
    </row>
    <row r="61" spans="8:27" x14ac:dyDescent="0.3">
      <c r="H61" s="106"/>
      <c r="I61" s="106"/>
      <c r="J61" s="106"/>
      <c r="K61" s="106"/>
      <c r="L61" s="106"/>
      <c r="M61" s="106"/>
      <c r="N61" s="106"/>
      <c r="O61" s="106"/>
      <c r="P61" s="106"/>
      <c r="Q61" s="106"/>
      <c r="R61" s="106"/>
      <c r="S61" s="106"/>
      <c r="T61" s="106"/>
      <c r="U61" s="106"/>
      <c r="V61" s="106"/>
      <c r="W61" s="106"/>
      <c r="X61" s="106"/>
      <c r="Y61" s="106"/>
      <c r="Z61" s="106"/>
      <c r="AA61" s="106"/>
    </row>
    <row r="62" spans="8:27" x14ac:dyDescent="0.3">
      <c r="H62" s="106"/>
      <c r="I62" s="106"/>
      <c r="J62" s="106"/>
      <c r="K62" s="106"/>
      <c r="L62" s="106"/>
      <c r="M62" s="106"/>
      <c r="N62" s="106"/>
      <c r="O62" s="106"/>
      <c r="P62" s="106"/>
      <c r="Q62" s="106"/>
      <c r="R62" s="106"/>
      <c r="S62" s="106"/>
      <c r="T62" s="106"/>
      <c r="U62" s="106"/>
      <c r="V62" s="106"/>
      <c r="W62" s="106"/>
      <c r="X62" s="106"/>
      <c r="Y62" s="106"/>
      <c r="Z62" s="106"/>
      <c r="AA62" s="106"/>
    </row>
    <row r="63" spans="8:27" x14ac:dyDescent="0.3">
      <c r="H63" s="106"/>
      <c r="I63" s="106"/>
      <c r="J63" s="106"/>
      <c r="K63" s="106"/>
      <c r="L63" s="106"/>
      <c r="M63" s="106"/>
      <c r="N63" s="106"/>
      <c r="O63" s="106"/>
      <c r="P63" s="106"/>
      <c r="Q63" s="106"/>
      <c r="R63" s="106"/>
      <c r="S63" s="106"/>
      <c r="T63" s="106"/>
      <c r="U63" s="106"/>
      <c r="V63" s="106"/>
      <c r="W63" s="106"/>
      <c r="X63" s="106"/>
      <c r="Y63" s="106"/>
      <c r="Z63" s="106"/>
      <c r="AA63" s="106"/>
    </row>
    <row r="64" spans="8:27" x14ac:dyDescent="0.3">
      <c r="H64" s="106"/>
      <c r="I64" s="106"/>
      <c r="J64" s="106"/>
      <c r="K64" s="106"/>
      <c r="L64" s="106"/>
      <c r="M64" s="106"/>
      <c r="N64" s="106"/>
      <c r="O64" s="106"/>
      <c r="P64" s="106"/>
      <c r="Q64" s="106"/>
      <c r="R64" s="106"/>
      <c r="S64" s="106"/>
      <c r="T64" s="106"/>
      <c r="U64" s="106"/>
      <c r="V64" s="106"/>
      <c r="W64" s="106"/>
      <c r="X64" s="106"/>
      <c r="Y64" s="106"/>
      <c r="Z64" s="106"/>
      <c r="AA64" s="106"/>
    </row>
    <row r="65" spans="8:27" x14ac:dyDescent="0.3">
      <c r="H65" s="106"/>
      <c r="I65" s="106"/>
      <c r="J65" s="106"/>
      <c r="K65" s="106"/>
      <c r="L65" s="106"/>
      <c r="M65" s="106"/>
      <c r="N65" s="106"/>
      <c r="O65" s="106"/>
      <c r="P65" s="106"/>
      <c r="Q65" s="106"/>
      <c r="R65" s="106"/>
      <c r="S65" s="106"/>
      <c r="T65" s="106"/>
      <c r="U65" s="106"/>
      <c r="V65" s="106"/>
      <c r="W65" s="106"/>
      <c r="X65" s="106"/>
      <c r="Y65" s="106"/>
      <c r="Z65" s="106"/>
      <c r="AA65" s="106"/>
    </row>
    <row r="66" spans="8:27" x14ac:dyDescent="0.3">
      <c r="H66" s="106"/>
      <c r="I66" s="106"/>
      <c r="J66" s="106"/>
      <c r="K66" s="106"/>
      <c r="L66" s="106"/>
      <c r="M66" s="106"/>
      <c r="N66" s="106"/>
      <c r="O66" s="106"/>
      <c r="P66" s="106"/>
      <c r="Q66" s="106"/>
      <c r="R66" s="106"/>
      <c r="S66" s="106"/>
      <c r="T66" s="106"/>
      <c r="U66" s="106"/>
      <c r="V66" s="106"/>
      <c r="W66" s="106"/>
      <c r="X66" s="106"/>
      <c r="Y66" s="106"/>
      <c r="Z66" s="106"/>
      <c r="AA66" s="106"/>
    </row>
    <row r="67" spans="8:27" x14ac:dyDescent="0.3">
      <c r="H67" s="106"/>
      <c r="I67" s="106"/>
      <c r="J67" s="106"/>
      <c r="K67" s="106"/>
      <c r="L67" s="106"/>
      <c r="M67" s="106"/>
      <c r="N67" s="106"/>
      <c r="O67" s="106"/>
      <c r="P67" s="106"/>
      <c r="Q67" s="106"/>
      <c r="R67" s="106"/>
      <c r="S67" s="106"/>
      <c r="T67" s="106"/>
      <c r="U67" s="106"/>
      <c r="V67" s="106"/>
      <c r="W67" s="106"/>
      <c r="X67" s="106"/>
      <c r="Y67" s="106"/>
      <c r="Z67" s="106"/>
      <c r="AA67" s="106"/>
    </row>
    <row r="68" spans="8:27" x14ac:dyDescent="0.3">
      <c r="H68" s="106"/>
      <c r="I68" s="106"/>
      <c r="J68" s="106"/>
      <c r="K68" s="106"/>
      <c r="L68" s="106"/>
      <c r="M68" s="106"/>
      <c r="N68" s="106"/>
      <c r="O68" s="106"/>
      <c r="P68" s="106"/>
      <c r="Q68" s="106"/>
      <c r="R68" s="106"/>
      <c r="S68" s="106"/>
      <c r="T68" s="106"/>
      <c r="U68" s="106"/>
      <c r="V68" s="106"/>
      <c r="W68" s="106"/>
      <c r="X68" s="106"/>
      <c r="Y68" s="106"/>
      <c r="Z68" s="106"/>
      <c r="AA68" s="106"/>
    </row>
    <row r="69" spans="8:27" x14ac:dyDescent="0.3">
      <c r="H69" s="106"/>
      <c r="I69" s="106"/>
      <c r="J69" s="106"/>
      <c r="K69" s="106"/>
      <c r="L69" s="106"/>
      <c r="M69" s="106"/>
      <c r="N69" s="106"/>
      <c r="O69" s="106"/>
      <c r="P69" s="106"/>
      <c r="Q69" s="106"/>
      <c r="R69" s="106"/>
      <c r="S69" s="106"/>
      <c r="T69" s="106"/>
      <c r="U69" s="106"/>
      <c r="V69" s="106"/>
      <c r="W69" s="106"/>
      <c r="X69" s="106"/>
      <c r="Y69" s="106"/>
      <c r="Z69" s="106"/>
      <c r="AA69" s="106"/>
    </row>
    <row r="70" spans="8:27" x14ac:dyDescent="0.3">
      <c r="H70" s="106"/>
      <c r="I70" s="106"/>
      <c r="J70" s="106"/>
      <c r="K70" s="106"/>
      <c r="L70" s="106"/>
      <c r="M70" s="106"/>
      <c r="N70" s="106"/>
      <c r="O70" s="106"/>
      <c r="P70" s="106"/>
      <c r="Q70" s="106"/>
      <c r="R70" s="106"/>
      <c r="S70" s="106"/>
      <c r="T70" s="106"/>
      <c r="U70" s="106"/>
      <c r="V70" s="106"/>
      <c r="W70" s="106"/>
      <c r="X70" s="106"/>
      <c r="Y70" s="106"/>
      <c r="Z70" s="106"/>
      <c r="AA70" s="106"/>
    </row>
    <row r="71" spans="8:27" x14ac:dyDescent="0.3">
      <c r="H71" s="106"/>
      <c r="I71" s="106"/>
      <c r="J71" s="106"/>
      <c r="K71" s="106"/>
      <c r="L71" s="106"/>
      <c r="M71" s="106"/>
      <c r="N71" s="106"/>
      <c r="O71" s="106"/>
      <c r="P71" s="106"/>
      <c r="Q71" s="106"/>
      <c r="R71" s="106"/>
      <c r="S71" s="106"/>
      <c r="T71" s="106"/>
      <c r="U71" s="106"/>
      <c r="V71" s="106"/>
      <c r="W71" s="106"/>
      <c r="X71" s="106"/>
      <c r="Y71" s="106"/>
      <c r="Z71" s="106"/>
      <c r="AA71" s="106"/>
    </row>
    <row r="72" spans="8:27" x14ac:dyDescent="0.3">
      <c r="H72" s="106"/>
      <c r="I72" s="106"/>
      <c r="J72" s="106"/>
      <c r="K72" s="106"/>
      <c r="L72" s="106"/>
      <c r="M72" s="106"/>
      <c r="N72" s="106"/>
      <c r="O72" s="106"/>
      <c r="P72" s="106"/>
      <c r="Q72" s="106"/>
      <c r="R72" s="106"/>
      <c r="S72" s="106"/>
      <c r="T72" s="106"/>
      <c r="U72" s="106"/>
      <c r="V72" s="106"/>
      <c r="W72" s="106"/>
      <c r="X72" s="106"/>
      <c r="Y72" s="106"/>
      <c r="Z72" s="106"/>
      <c r="AA72" s="106"/>
    </row>
    <row r="73" spans="8:27" x14ac:dyDescent="0.3">
      <c r="H73" s="106"/>
      <c r="I73" s="106"/>
      <c r="J73" s="106"/>
      <c r="K73" s="106"/>
      <c r="L73" s="106"/>
      <c r="M73" s="106"/>
      <c r="N73" s="106"/>
      <c r="O73" s="106"/>
      <c r="P73" s="106"/>
      <c r="Q73" s="106"/>
      <c r="R73" s="106"/>
      <c r="S73" s="106"/>
      <c r="T73" s="106"/>
      <c r="U73" s="106"/>
      <c r="V73" s="106"/>
      <c r="W73" s="106"/>
      <c r="X73" s="106"/>
      <c r="Y73" s="106"/>
      <c r="Z73" s="106"/>
      <c r="AA73" s="106"/>
    </row>
    <row r="74" spans="8:27" x14ac:dyDescent="0.3">
      <c r="H74" s="106"/>
      <c r="I74" s="106"/>
      <c r="J74" s="106"/>
      <c r="K74" s="106"/>
      <c r="L74" s="106"/>
      <c r="M74" s="106"/>
      <c r="N74" s="106"/>
      <c r="O74" s="106"/>
      <c r="P74" s="106"/>
      <c r="Q74" s="106"/>
      <c r="R74" s="106"/>
      <c r="S74" s="106"/>
      <c r="T74" s="106"/>
      <c r="U74" s="106"/>
      <c r="V74" s="106"/>
      <c r="W74" s="106"/>
      <c r="X74" s="106"/>
      <c r="Y74" s="106"/>
      <c r="Z74" s="106"/>
      <c r="AA74" s="106"/>
    </row>
    <row r="75" spans="8:27" x14ac:dyDescent="0.3">
      <c r="H75" s="106"/>
      <c r="I75" s="106"/>
      <c r="J75" s="106"/>
      <c r="K75" s="106"/>
      <c r="L75" s="106"/>
      <c r="M75" s="106"/>
      <c r="N75" s="106"/>
      <c r="O75" s="106"/>
      <c r="P75" s="106"/>
      <c r="Q75" s="106"/>
      <c r="R75" s="106"/>
      <c r="S75" s="106"/>
      <c r="T75" s="106"/>
      <c r="U75" s="106"/>
      <c r="V75" s="106"/>
      <c r="W75" s="106"/>
      <c r="X75" s="106"/>
      <c r="Y75" s="106"/>
      <c r="Z75" s="106"/>
      <c r="AA75" s="106"/>
    </row>
    <row r="76" spans="8:27" x14ac:dyDescent="0.3">
      <c r="H76" s="106"/>
      <c r="I76" s="106"/>
      <c r="J76" s="106"/>
      <c r="K76" s="106"/>
      <c r="L76" s="106"/>
      <c r="M76" s="106"/>
      <c r="N76" s="106"/>
      <c r="O76" s="106"/>
      <c r="P76" s="106"/>
      <c r="Q76" s="106"/>
      <c r="R76" s="106"/>
      <c r="S76" s="106"/>
      <c r="T76" s="106"/>
      <c r="U76" s="106"/>
      <c r="V76" s="106"/>
      <c r="W76" s="106"/>
      <c r="X76" s="106"/>
      <c r="Y76" s="106"/>
      <c r="Z76" s="106"/>
      <c r="AA76" s="106"/>
    </row>
    <row r="77" spans="8:27" x14ac:dyDescent="0.3">
      <c r="H77" s="106"/>
      <c r="I77" s="106"/>
      <c r="J77" s="106"/>
      <c r="K77" s="106"/>
      <c r="L77" s="106"/>
      <c r="M77" s="106"/>
      <c r="N77" s="106"/>
      <c r="O77" s="106"/>
      <c r="P77" s="106"/>
      <c r="Q77" s="106"/>
      <c r="R77" s="106"/>
      <c r="S77" s="106"/>
      <c r="T77" s="106"/>
      <c r="U77" s="106"/>
      <c r="V77" s="106"/>
      <c r="W77" s="106"/>
      <c r="X77" s="106"/>
      <c r="Y77" s="106"/>
      <c r="Z77" s="106"/>
      <c r="AA77" s="106"/>
    </row>
    <row r="78" spans="8:27" x14ac:dyDescent="0.3">
      <c r="H78" s="106"/>
      <c r="I78" s="106"/>
      <c r="J78" s="106"/>
      <c r="K78" s="106"/>
      <c r="L78" s="106"/>
      <c r="M78" s="106"/>
      <c r="N78" s="106"/>
      <c r="O78" s="106"/>
      <c r="P78" s="106"/>
      <c r="Q78" s="106"/>
      <c r="R78" s="106"/>
      <c r="S78" s="106"/>
      <c r="T78" s="106"/>
      <c r="U78" s="106"/>
      <c r="V78" s="106"/>
      <c r="W78" s="106"/>
      <c r="X78" s="106"/>
      <c r="Y78" s="106"/>
      <c r="Z78" s="106"/>
      <c r="AA78" s="106"/>
    </row>
    <row r="79" spans="8:27" x14ac:dyDescent="0.3">
      <c r="H79" s="106"/>
      <c r="I79" s="106"/>
      <c r="J79" s="106"/>
      <c r="K79" s="106"/>
      <c r="L79" s="106"/>
      <c r="M79" s="106"/>
      <c r="N79" s="106"/>
      <c r="O79" s="106"/>
      <c r="P79" s="106"/>
      <c r="Q79" s="106"/>
      <c r="R79" s="106"/>
      <c r="S79" s="106"/>
      <c r="T79" s="106"/>
      <c r="U79" s="106"/>
      <c r="V79" s="106"/>
      <c r="W79" s="106"/>
      <c r="X79" s="106"/>
      <c r="Y79" s="106"/>
      <c r="Z79" s="106"/>
      <c r="AA79" s="106"/>
    </row>
    <row r="80" spans="8:27" x14ac:dyDescent="0.3">
      <c r="H80" s="106"/>
      <c r="I80" s="106"/>
      <c r="J80" s="106"/>
      <c r="K80" s="106"/>
      <c r="L80" s="106"/>
      <c r="M80" s="106"/>
      <c r="N80" s="106"/>
      <c r="O80" s="106"/>
      <c r="P80" s="106"/>
      <c r="Q80" s="106"/>
      <c r="R80" s="106"/>
      <c r="S80" s="106"/>
      <c r="T80" s="106"/>
      <c r="U80" s="106"/>
      <c r="V80" s="106"/>
      <c r="W80" s="106"/>
      <c r="X80" s="106"/>
      <c r="Y80" s="106"/>
      <c r="Z80" s="106"/>
      <c r="AA80" s="106"/>
    </row>
    <row r="81" spans="8:27" x14ac:dyDescent="0.3">
      <c r="H81" s="106"/>
      <c r="I81" s="106"/>
      <c r="J81" s="106"/>
      <c r="K81" s="106"/>
      <c r="L81" s="106"/>
      <c r="M81" s="106"/>
      <c r="N81" s="106"/>
      <c r="O81" s="106"/>
      <c r="P81" s="106"/>
      <c r="Q81" s="106"/>
      <c r="R81" s="106"/>
      <c r="S81" s="106"/>
      <c r="T81" s="106"/>
      <c r="U81" s="106"/>
      <c r="V81" s="106"/>
      <c r="W81" s="106"/>
      <c r="X81" s="106"/>
      <c r="Y81" s="106"/>
      <c r="Z81" s="106"/>
      <c r="AA81" s="106"/>
    </row>
    <row r="82" spans="8:27" x14ac:dyDescent="0.3">
      <c r="H82" s="106"/>
      <c r="I82" s="106"/>
      <c r="J82" s="106"/>
      <c r="K82" s="106"/>
      <c r="L82" s="106"/>
      <c r="M82" s="106"/>
      <c r="N82" s="106"/>
      <c r="O82" s="106"/>
      <c r="P82" s="106"/>
      <c r="Q82" s="106"/>
      <c r="R82" s="106"/>
      <c r="S82" s="106"/>
      <c r="T82" s="106"/>
      <c r="U82" s="106"/>
      <c r="V82" s="106"/>
      <c r="W82" s="106"/>
      <c r="X82" s="106"/>
      <c r="Y82" s="106"/>
      <c r="Z82" s="106"/>
      <c r="AA82" s="106"/>
    </row>
    <row r="83" spans="8:27" x14ac:dyDescent="0.3">
      <c r="H83" s="106"/>
      <c r="I83" s="106"/>
      <c r="J83" s="106"/>
      <c r="K83" s="106"/>
      <c r="L83" s="106"/>
      <c r="M83" s="106"/>
      <c r="N83" s="106"/>
      <c r="O83" s="106"/>
      <c r="P83" s="106"/>
      <c r="Q83" s="106"/>
      <c r="R83" s="106"/>
      <c r="S83" s="106"/>
      <c r="T83" s="106"/>
      <c r="U83" s="106"/>
      <c r="V83" s="106"/>
      <c r="W83" s="106"/>
      <c r="X83" s="106"/>
      <c r="Y83" s="106"/>
      <c r="Z83" s="106"/>
      <c r="AA83" s="106"/>
    </row>
    <row r="84" spans="8:27" x14ac:dyDescent="0.3">
      <c r="H84" s="106"/>
      <c r="I84" s="106"/>
      <c r="J84" s="106"/>
      <c r="K84" s="106"/>
      <c r="L84" s="106"/>
      <c r="M84" s="106"/>
      <c r="N84" s="106"/>
      <c r="O84" s="106"/>
      <c r="P84" s="106"/>
      <c r="Q84" s="106"/>
      <c r="R84" s="106"/>
      <c r="S84" s="106"/>
      <c r="T84" s="106"/>
      <c r="U84" s="106"/>
      <c r="V84" s="106"/>
      <c r="W84" s="106"/>
      <c r="X84" s="106"/>
      <c r="Y84" s="106"/>
      <c r="Z84" s="106"/>
      <c r="AA84" s="106"/>
    </row>
    <row r="85" spans="8:27" x14ac:dyDescent="0.3">
      <c r="H85" s="106"/>
      <c r="I85" s="106"/>
      <c r="J85" s="106"/>
      <c r="K85" s="106"/>
      <c r="L85" s="106"/>
      <c r="M85" s="106"/>
      <c r="N85" s="106"/>
      <c r="O85" s="106"/>
      <c r="P85" s="106"/>
      <c r="Q85" s="106"/>
      <c r="R85" s="106"/>
      <c r="S85" s="106"/>
      <c r="T85" s="106"/>
      <c r="U85" s="106"/>
      <c r="V85" s="106"/>
      <c r="W85" s="106"/>
      <c r="X85" s="106"/>
      <c r="Y85" s="106"/>
      <c r="Z85" s="106"/>
      <c r="AA85" s="106"/>
    </row>
    <row r="86" spans="8:27" x14ac:dyDescent="0.3">
      <c r="H86" s="106"/>
      <c r="I86" s="106"/>
      <c r="J86" s="106"/>
      <c r="K86" s="106"/>
      <c r="L86" s="106"/>
      <c r="M86" s="106"/>
      <c r="N86" s="106"/>
      <c r="O86" s="106"/>
      <c r="P86" s="106"/>
      <c r="Q86" s="106"/>
      <c r="R86" s="106"/>
      <c r="S86" s="106"/>
      <c r="T86" s="106"/>
      <c r="U86" s="106"/>
      <c r="V86" s="106"/>
      <c r="W86" s="106"/>
      <c r="X86" s="106"/>
      <c r="Y86" s="106"/>
      <c r="Z86" s="106"/>
      <c r="AA86" s="106"/>
    </row>
    <row r="87" spans="8:27" x14ac:dyDescent="0.3">
      <c r="H87" s="106"/>
      <c r="I87" s="106"/>
      <c r="J87" s="106"/>
      <c r="K87" s="106"/>
      <c r="L87" s="106"/>
      <c r="M87" s="106"/>
      <c r="N87" s="106"/>
      <c r="O87" s="106"/>
      <c r="P87" s="106"/>
      <c r="Q87" s="106"/>
      <c r="R87" s="106"/>
      <c r="S87" s="106"/>
      <c r="T87" s="106"/>
      <c r="U87" s="106"/>
      <c r="V87" s="106"/>
      <c r="W87" s="106"/>
      <c r="X87" s="106"/>
      <c r="Y87" s="106"/>
      <c r="Z87" s="106"/>
      <c r="AA87" s="106"/>
    </row>
    <row r="88" spans="8:27" x14ac:dyDescent="0.3">
      <c r="H88" s="106"/>
      <c r="I88" s="106"/>
      <c r="J88" s="106"/>
      <c r="K88" s="106"/>
      <c r="L88" s="106"/>
      <c r="M88" s="106"/>
      <c r="N88" s="106"/>
      <c r="O88" s="106"/>
      <c r="P88" s="106"/>
      <c r="Q88" s="106"/>
      <c r="R88" s="106"/>
      <c r="S88" s="106"/>
      <c r="T88" s="106"/>
      <c r="U88" s="106"/>
      <c r="V88" s="106"/>
      <c r="W88" s="106"/>
      <c r="X88" s="106"/>
      <c r="Y88" s="106"/>
      <c r="Z88" s="106"/>
      <c r="AA88" s="106"/>
    </row>
    <row r="89" spans="8:27" x14ac:dyDescent="0.3">
      <c r="H89" s="106"/>
      <c r="I89" s="106"/>
      <c r="J89" s="106"/>
      <c r="K89" s="106"/>
      <c r="L89" s="106"/>
      <c r="M89" s="106"/>
      <c r="N89" s="106"/>
      <c r="O89" s="106"/>
      <c r="P89" s="106"/>
      <c r="Q89" s="106"/>
      <c r="R89" s="106"/>
      <c r="S89" s="106"/>
      <c r="T89" s="106"/>
      <c r="U89" s="106"/>
      <c r="V89" s="106"/>
      <c r="W89" s="106"/>
      <c r="X89" s="106"/>
      <c r="Y89" s="106"/>
      <c r="Z89" s="106"/>
      <c r="AA89" s="106"/>
    </row>
    <row r="90" spans="8:27" x14ac:dyDescent="0.3">
      <c r="H90" s="106"/>
      <c r="I90" s="106"/>
      <c r="J90" s="106"/>
      <c r="K90" s="106"/>
      <c r="L90" s="106"/>
      <c r="M90" s="106"/>
      <c r="N90" s="106"/>
      <c r="O90" s="106"/>
      <c r="P90" s="106"/>
      <c r="Q90" s="106"/>
      <c r="R90" s="106"/>
      <c r="S90" s="106"/>
      <c r="T90" s="106"/>
      <c r="U90" s="106"/>
      <c r="V90" s="106"/>
      <c r="W90" s="106"/>
      <c r="X90" s="106"/>
      <c r="Y90" s="106"/>
      <c r="Z90" s="106"/>
      <c r="AA90" s="106"/>
    </row>
    <row r="91" spans="8:27" x14ac:dyDescent="0.3">
      <c r="H91" s="106"/>
      <c r="I91" s="106"/>
      <c r="J91" s="106"/>
      <c r="K91" s="106"/>
      <c r="L91" s="106"/>
      <c r="M91" s="106"/>
      <c r="N91" s="106"/>
      <c r="O91" s="106"/>
      <c r="P91" s="106"/>
      <c r="Q91" s="106"/>
      <c r="R91" s="106"/>
      <c r="S91" s="106"/>
      <c r="T91" s="106"/>
      <c r="U91" s="106"/>
      <c r="V91" s="106"/>
      <c r="W91" s="106"/>
      <c r="X91" s="106"/>
      <c r="Y91" s="106"/>
      <c r="Z91" s="106"/>
      <c r="AA91" s="106"/>
    </row>
    <row r="92" spans="8:27" x14ac:dyDescent="0.3">
      <c r="H92" s="106"/>
      <c r="I92" s="106"/>
      <c r="J92" s="106"/>
      <c r="K92" s="106"/>
      <c r="L92" s="106"/>
      <c r="M92" s="106"/>
      <c r="N92" s="106"/>
      <c r="O92" s="106"/>
      <c r="P92" s="106"/>
      <c r="Q92" s="106"/>
      <c r="R92" s="106"/>
      <c r="S92" s="106"/>
      <c r="T92" s="106"/>
      <c r="U92" s="106"/>
      <c r="V92" s="106"/>
      <c r="W92" s="106"/>
      <c r="X92" s="106"/>
      <c r="Y92" s="106"/>
      <c r="Z92" s="106"/>
      <c r="AA92" s="106"/>
    </row>
    <row r="93" spans="8:27" x14ac:dyDescent="0.3">
      <c r="H93" s="106"/>
      <c r="I93" s="106"/>
      <c r="J93" s="106"/>
      <c r="K93" s="106"/>
      <c r="L93" s="106"/>
      <c r="M93" s="106"/>
      <c r="N93" s="106"/>
      <c r="O93" s="106"/>
      <c r="P93" s="106"/>
      <c r="Q93" s="106"/>
      <c r="R93" s="106"/>
      <c r="S93" s="106"/>
      <c r="T93" s="106"/>
      <c r="U93" s="106"/>
      <c r="V93" s="106"/>
      <c r="W93" s="106"/>
      <c r="X93" s="106"/>
      <c r="Y93" s="106"/>
      <c r="Z93" s="106"/>
      <c r="AA93" s="106"/>
    </row>
    <row r="94" spans="8:27" x14ac:dyDescent="0.3">
      <c r="H94" s="106"/>
      <c r="I94" s="106"/>
      <c r="J94" s="106"/>
      <c r="K94" s="106"/>
      <c r="L94" s="106"/>
      <c r="M94" s="106"/>
      <c r="N94" s="106"/>
      <c r="O94" s="106"/>
      <c r="P94" s="106"/>
      <c r="Q94" s="106"/>
      <c r="R94" s="106"/>
      <c r="S94" s="106"/>
      <c r="T94" s="106"/>
      <c r="U94" s="106"/>
      <c r="V94" s="106"/>
      <c r="W94" s="106"/>
      <c r="X94" s="106"/>
      <c r="Y94" s="106"/>
      <c r="Z94" s="106"/>
      <c r="AA94" s="106"/>
    </row>
    <row r="95" spans="8:27" x14ac:dyDescent="0.3">
      <c r="H95" s="106"/>
      <c r="I95" s="106"/>
      <c r="J95" s="106"/>
      <c r="K95" s="106"/>
      <c r="L95" s="106"/>
      <c r="M95" s="106"/>
      <c r="N95" s="106"/>
      <c r="O95" s="106"/>
      <c r="P95" s="106"/>
      <c r="Q95" s="106"/>
      <c r="R95" s="106"/>
      <c r="S95" s="106"/>
      <c r="T95" s="106"/>
      <c r="U95" s="106"/>
      <c r="V95" s="106"/>
      <c r="W95" s="106"/>
      <c r="X95" s="106"/>
      <c r="Y95" s="106"/>
      <c r="Z95" s="106"/>
      <c r="AA95" s="106"/>
    </row>
    <row r="96" spans="8:27" x14ac:dyDescent="0.3">
      <c r="H96" s="106"/>
      <c r="I96" s="106"/>
      <c r="J96" s="106"/>
      <c r="K96" s="106"/>
      <c r="L96" s="106"/>
      <c r="M96" s="106"/>
      <c r="N96" s="106"/>
      <c r="O96" s="106"/>
      <c r="P96" s="106"/>
      <c r="Q96" s="106"/>
      <c r="R96" s="106"/>
      <c r="S96" s="106"/>
      <c r="T96" s="106"/>
      <c r="U96" s="106"/>
      <c r="V96" s="106"/>
      <c r="W96" s="106"/>
      <c r="X96" s="106"/>
      <c r="Y96" s="106"/>
      <c r="Z96" s="106"/>
      <c r="AA96" s="106"/>
    </row>
    <row r="97" spans="8:27" x14ac:dyDescent="0.3">
      <c r="H97" s="106"/>
      <c r="I97" s="106"/>
      <c r="J97" s="106"/>
      <c r="K97" s="106"/>
      <c r="L97" s="106"/>
      <c r="M97" s="106"/>
      <c r="N97" s="106"/>
      <c r="O97" s="106"/>
      <c r="P97" s="106"/>
      <c r="Q97" s="106"/>
      <c r="R97" s="106"/>
      <c r="S97" s="106"/>
      <c r="T97" s="106"/>
      <c r="U97" s="106"/>
      <c r="V97" s="106"/>
      <c r="W97" s="106"/>
      <c r="X97" s="106"/>
      <c r="Y97" s="106"/>
      <c r="Z97" s="106"/>
      <c r="AA97" s="106"/>
    </row>
    <row r="98" spans="8:27" x14ac:dyDescent="0.3">
      <c r="H98" s="106"/>
      <c r="I98" s="106"/>
      <c r="J98" s="106"/>
      <c r="K98" s="106"/>
      <c r="L98" s="106"/>
      <c r="M98" s="106"/>
      <c r="N98" s="106"/>
      <c r="O98" s="106"/>
      <c r="P98" s="106"/>
      <c r="Q98" s="106"/>
      <c r="R98" s="106"/>
      <c r="S98" s="106"/>
      <c r="T98" s="106"/>
      <c r="U98" s="106"/>
      <c r="V98" s="106"/>
      <c r="W98" s="106"/>
      <c r="X98" s="106"/>
      <c r="Y98" s="106"/>
      <c r="Z98" s="106"/>
      <c r="AA98" s="106"/>
    </row>
    <row r="99" spans="8:27" x14ac:dyDescent="0.3">
      <c r="H99" s="106"/>
      <c r="I99" s="106"/>
      <c r="J99" s="106"/>
      <c r="K99" s="106"/>
      <c r="L99" s="106"/>
      <c r="M99" s="106"/>
      <c r="N99" s="106"/>
      <c r="O99" s="106"/>
      <c r="P99" s="106"/>
      <c r="Q99" s="106"/>
      <c r="R99" s="106"/>
      <c r="S99" s="106"/>
      <c r="T99" s="106"/>
      <c r="U99" s="106"/>
      <c r="V99" s="106"/>
      <c r="W99" s="106"/>
      <c r="X99" s="106"/>
      <c r="Y99" s="106"/>
      <c r="Z99" s="106"/>
      <c r="AA99" s="106"/>
    </row>
    <row r="100" spans="8:27" x14ac:dyDescent="0.3">
      <c r="H100" s="106"/>
      <c r="I100" s="106"/>
      <c r="J100" s="106"/>
      <c r="K100" s="106"/>
      <c r="L100" s="106"/>
      <c r="M100" s="106"/>
      <c r="N100" s="106"/>
      <c r="O100" s="106"/>
      <c r="P100" s="106"/>
      <c r="Q100" s="106"/>
      <c r="R100" s="106"/>
      <c r="S100" s="106"/>
      <c r="T100" s="106"/>
      <c r="U100" s="106"/>
      <c r="V100" s="106"/>
      <c r="W100" s="106"/>
      <c r="X100" s="106"/>
      <c r="Y100" s="106"/>
      <c r="Z100" s="106"/>
      <c r="AA100" s="106"/>
    </row>
    <row r="101" spans="8:27" x14ac:dyDescent="0.3">
      <c r="H101" s="106"/>
      <c r="I101" s="106"/>
      <c r="J101" s="106"/>
      <c r="K101" s="106"/>
      <c r="L101" s="106"/>
      <c r="M101" s="106"/>
      <c r="N101" s="106"/>
      <c r="O101" s="106"/>
      <c r="P101" s="106"/>
      <c r="Q101" s="106"/>
      <c r="R101" s="106"/>
      <c r="S101" s="106"/>
      <c r="T101" s="106"/>
      <c r="U101" s="106"/>
      <c r="V101" s="106"/>
      <c r="W101" s="106"/>
      <c r="X101" s="106"/>
      <c r="Y101" s="106"/>
      <c r="Z101" s="106"/>
      <c r="AA101" s="106"/>
    </row>
    <row r="102" spans="8:27" x14ac:dyDescent="0.3">
      <c r="H102" s="106"/>
      <c r="I102" s="106"/>
      <c r="J102" s="106"/>
      <c r="K102" s="106"/>
      <c r="L102" s="106"/>
      <c r="M102" s="106"/>
      <c r="N102" s="106"/>
      <c r="O102" s="106"/>
      <c r="P102" s="106"/>
      <c r="Q102" s="106"/>
      <c r="R102" s="106"/>
      <c r="S102" s="106"/>
      <c r="T102" s="106"/>
      <c r="U102" s="106"/>
      <c r="V102" s="106"/>
      <c r="W102" s="106"/>
      <c r="X102" s="106"/>
      <c r="Y102" s="106"/>
      <c r="Z102" s="106"/>
      <c r="AA102" s="106"/>
    </row>
    <row r="103" spans="8:27" x14ac:dyDescent="0.3">
      <c r="H103" s="106"/>
      <c r="I103" s="106"/>
      <c r="J103" s="106"/>
      <c r="K103" s="106"/>
      <c r="L103" s="106"/>
      <c r="M103" s="106"/>
      <c r="N103" s="106"/>
      <c r="O103" s="106"/>
      <c r="P103" s="106"/>
      <c r="Q103" s="106"/>
      <c r="R103" s="106"/>
      <c r="S103" s="106"/>
      <c r="T103" s="106"/>
      <c r="U103" s="106"/>
      <c r="V103" s="106"/>
      <c r="W103" s="106"/>
      <c r="X103" s="106"/>
      <c r="Y103" s="106"/>
      <c r="Z103" s="106"/>
      <c r="AA103" s="106"/>
    </row>
    <row r="104" spans="8:27" x14ac:dyDescent="0.3">
      <c r="H104" s="106"/>
      <c r="I104" s="106"/>
      <c r="J104" s="106"/>
      <c r="K104" s="106"/>
      <c r="L104" s="106"/>
      <c r="M104" s="106"/>
      <c r="N104" s="106"/>
      <c r="O104" s="106"/>
      <c r="P104" s="106"/>
      <c r="Q104" s="106"/>
      <c r="R104" s="106"/>
      <c r="S104" s="106"/>
      <c r="T104" s="106"/>
      <c r="U104" s="106"/>
      <c r="V104" s="106"/>
      <c r="W104" s="106"/>
      <c r="X104" s="106"/>
      <c r="Y104" s="106"/>
      <c r="Z104" s="106"/>
      <c r="AA104" s="106"/>
    </row>
    <row r="105" spans="8:27" x14ac:dyDescent="0.3">
      <c r="H105" s="106"/>
      <c r="I105" s="106"/>
      <c r="J105" s="106"/>
      <c r="K105" s="106"/>
      <c r="L105" s="106"/>
      <c r="M105" s="106"/>
      <c r="N105" s="106"/>
      <c r="O105" s="106"/>
      <c r="P105" s="106"/>
      <c r="Q105" s="106"/>
      <c r="R105" s="106"/>
      <c r="S105" s="106"/>
      <c r="T105" s="106"/>
      <c r="U105" s="106"/>
      <c r="V105" s="106"/>
      <c r="W105" s="106"/>
      <c r="X105" s="106"/>
      <c r="Y105" s="106"/>
      <c r="Z105" s="106"/>
      <c r="AA105" s="106"/>
    </row>
    <row r="106" spans="8:27" x14ac:dyDescent="0.3">
      <c r="H106" s="106"/>
      <c r="I106" s="106"/>
      <c r="J106" s="106"/>
      <c r="K106" s="106"/>
      <c r="L106" s="106"/>
      <c r="M106" s="106"/>
      <c r="N106" s="106"/>
      <c r="O106" s="106"/>
      <c r="P106" s="106"/>
      <c r="Q106" s="106"/>
      <c r="R106" s="106"/>
      <c r="S106" s="106"/>
      <c r="T106" s="106"/>
      <c r="U106" s="106"/>
      <c r="V106" s="106"/>
      <c r="W106" s="106"/>
      <c r="X106" s="106"/>
      <c r="Y106" s="106"/>
      <c r="Z106" s="106"/>
      <c r="AA106" s="106"/>
    </row>
    <row r="107" spans="8:27" x14ac:dyDescent="0.3">
      <c r="H107" s="106"/>
      <c r="I107" s="106"/>
      <c r="J107" s="106"/>
      <c r="K107" s="106"/>
      <c r="L107" s="106"/>
      <c r="M107" s="106"/>
      <c r="N107" s="106"/>
      <c r="O107" s="106"/>
      <c r="P107" s="106"/>
      <c r="Q107" s="106"/>
      <c r="R107" s="106"/>
      <c r="S107" s="106"/>
      <c r="T107" s="106"/>
      <c r="U107" s="106"/>
      <c r="V107" s="106"/>
      <c r="W107" s="106"/>
      <c r="X107" s="106"/>
      <c r="Y107" s="106"/>
      <c r="Z107" s="106"/>
      <c r="AA107" s="106"/>
    </row>
    <row r="108" spans="8:27" x14ac:dyDescent="0.3">
      <c r="H108" s="106"/>
      <c r="I108" s="106"/>
      <c r="J108" s="106"/>
      <c r="K108" s="106"/>
      <c r="L108" s="106"/>
      <c r="M108" s="106"/>
      <c r="N108" s="106"/>
      <c r="O108" s="106"/>
      <c r="P108" s="106"/>
      <c r="Q108" s="106"/>
      <c r="R108" s="106"/>
      <c r="S108" s="106"/>
      <c r="T108" s="106"/>
      <c r="U108" s="106"/>
      <c r="V108" s="106"/>
      <c r="W108" s="106"/>
      <c r="X108" s="106"/>
      <c r="Y108" s="106"/>
      <c r="Z108" s="106"/>
      <c r="AA108" s="106"/>
    </row>
    <row r="109" spans="8:27" x14ac:dyDescent="0.3">
      <c r="H109" s="106"/>
      <c r="I109" s="106"/>
      <c r="J109" s="106"/>
      <c r="K109" s="106"/>
      <c r="L109" s="106"/>
      <c r="M109" s="106"/>
      <c r="N109" s="106"/>
      <c r="O109" s="106"/>
      <c r="P109" s="106"/>
      <c r="Q109" s="106"/>
      <c r="R109" s="106"/>
      <c r="S109" s="106"/>
      <c r="T109" s="106"/>
      <c r="U109" s="106"/>
      <c r="V109" s="106"/>
      <c r="W109" s="106"/>
      <c r="X109" s="106"/>
      <c r="Y109" s="106"/>
      <c r="Z109" s="106"/>
      <c r="AA109" s="106"/>
    </row>
    <row r="110" spans="8:27" x14ac:dyDescent="0.3">
      <c r="H110" s="106"/>
      <c r="I110" s="106"/>
      <c r="J110" s="106"/>
      <c r="K110" s="106"/>
      <c r="L110" s="106"/>
      <c r="M110" s="106"/>
      <c r="N110" s="106"/>
      <c r="O110" s="106"/>
      <c r="P110" s="106"/>
      <c r="Q110" s="106"/>
      <c r="R110" s="106"/>
      <c r="S110" s="106"/>
      <c r="T110" s="106"/>
      <c r="U110" s="106"/>
      <c r="V110" s="106"/>
      <c r="W110" s="106"/>
      <c r="X110" s="106"/>
      <c r="Y110" s="106"/>
      <c r="Z110" s="106"/>
      <c r="AA110" s="106"/>
    </row>
    <row r="111" spans="8:27" x14ac:dyDescent="0.3">
      <c r="H111" s="106"/>
      <c r="I111" s="106"/>
      <c r="J111" s="106"/>
      <c r="K111" s="106"/>
      <c r="L111" s="106"/>
      <c r="M111" s="106"/>
      <c r="N111" s="106"/>
      <c r="O111" s="106"/>
      <c r="P111" s="106"/>
      <c r="Q111" s="106"/>
      <c r="R111" s="106"/>
      <c r="S111" s="106"/>
      <c r="T111" s="106"/>
      <c r="U111" s="106"/>
      <c r="V111" s="106"/>
      <c r="W111" s="106"/>
      <c r="X111" s="106"/>
      <c r="Y111" s="106"/>
      <c r="Z111" s="106"/>
      <c r="AA111" s="106"/>
    </row>
    <row r="112" spans="8:27" x14ac:dyDescent="0.3">
      <c r="H112" s="106"/>
      <c r="I112" s="106"/>
      <c r="J112" s="106"/>
      <c r="K112" s="106"/>
      <c r="L112" s="106"/>
      <c r="M112" s="106"/>
      <c r="N112" s="106"/>
      <c r="O112" s="106"/>
      <c r="P112" s="106"/>
      <c r="Q112" s="106"/>
      <c r="R112" s="106"/>
      <c r="S112" s="106"/>
      <c r="T112" s="106"/>
      <c r="U112" s="106"/>
      <c r="V112" s="106"/>
      <c r="W112" s="106"/>
      <c r="X112" s="106"/>
      <c r="Y112" s="106"/>
      <c r="Z112" s="106"/>
      <c r="AA112" s="106"/>
    </row>
  </sheetData>
  <sheetProtection algorithmName="SHA-512" hashValue="Io5qjPzK0FZEvs8SuJIZT1qDamGK1H6gPlAYTLmfTrQcmNlt2BKJnV1xzBafzawT+Chy1lSUUv9lUNwSp8p6RA==" saltValue="YVJo45rVD7x8VkhGqAlX+w==" spinCount="100000" sheet="1" objects="1" scenarios="1"/>
  <dataValidations count="1">
    <dataValidation type="list" allowBlank="1" showInputMessage="1" showErrorMessage="1" sqref="C22:C26" xr:uid="{AEC208A7-4950-41C5-991C-3AE4998B0D88}">
      <formula1>$H$3:$H$5</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9F2B-DF8E-4597-9BB0-BA5A432CE6AE}">
  <sheetPr codeName="Sheet13">
    <tabColor rgb="FF92D050"/>
  </sheetPr>
  <dimension ref="A1:Q60"/>
  <sheetViews>
    <sheetView zoomScaleNormal="100" workbookViewId="0"/>
  </sheetViews>
  <sheetFormatPr defaultRowHeight="14.4" x14ac:dyDescent="0.3"/>
  <cols>
    <col min="2" max="2" width="19.88671875" customWidth="1"/>
    <col min="3" max="3" width="27" customWidth="1"/>
    <col min="4" max="4" width="15.88671875" customWidth="1"/>
    <col min="5" max="5" width="45.6640625" customWidth="1"/>
    <col min="6" max="6" width="11.109375" customWidth="1"/>
    <col min="8" max="8" width="13.33203125" hidden="1" customWidth="1"/>
    <col min="9" max="9" width="11.6640625" customWidth="1"/>
  </cols>
  <sheetData>
    <row r="1" spans="1:14" x14ac:dyDescent="0.3">
      <c r="A1" s="4"/>
      <c r="B1" s="4"/>
      <c r="C1" s="4"/>
    </row>
    <row r="2" spans="1:14" ht="15" thickBot="1" x14ac:dyDescent="0.35">
      <c r="H2" s="57" t="s">
        <v>0</v>
      </c>
    </row>
    <row r="3" spans="1:14" ht="15.6" thickTop="1" thickBot="1" x14ac:dyDescent="0.35">
      <c r="H3" s="57"/>
    </row>
    <row r="4" spans="1:14" ht="16.8" thickTop="1" thickBot="1" x14ac:dyDescent="0.35">
      <c r="A4" s="2"/>
      <c r="H4" s="57"/>
      <c r="I4" s="13"/>
      <c r="N4" s="81"/>
    </row>
    <row r="5" spans="1:14" ht="16.8" thickTop="1" thickBot="1" x14ac:dyDescent="0.35">
      <c r="A5" s="2"/>
      <c r="H5" s="57" t="s">
        <v>42</v>
      </c>
      <c r="I5" s="13"/>
      <c r="N5" s="81"/>
    </row>
    <row r="6" spans="1:14" ht="16.8" thickTop="1" thickBot="1" x14ac:dyDescent="0.35">
      <c r="A6" s="2"/>
      <c r="H6" s="57" t="s">
        <v>69</v>
      </c>
      <c r="I6" s="13"/>
      <c r="N6" s="81"/>
    </row>
    <row r="7" spans="1:14" ht="16.8" thickTop="1" thickBot="1" x14ac:dyDescent="0.35">
      <c r="A7" s="2"/>
      <c r="H7" s="57" t="s">
        <v>44</v>
      </c>
      <c r="N7" s="81"/>
    </row>
    <row r="8" spans="1:14" ht="16.2" thickTop="1" x14ac:dyDescent="0.3">
      <c r="A8" s="2"/>
      <c r="N8" s="81"/>
    </row>
    <row r="9" spans="1:14" ht="15.6" x14ac:dyDescent="0.3">
      <c r="A9" s="2"/>
      <c r="N9" s="81"/>
    </row>
    <row r="10" spans="1:14" ht="15.6" x14ac:dyDescent="0.3">
      <c r="A10" s="2"/>
      <c r="N10" s="81"/>
    </row>
    <row r="11" spans="1:14" ht="15.6" x14ac:dyDescent="0.3">
      <c r="A11" s="2"/>
      <c r="N11" s="81"/>
    </row>
    <row r="12" spans="1:14" ht="15.6" x14ac:dyDescent="0.3">
      <c r="A12" s="2"/>
      <c r="N12" s="81"/>
    </row>
    <row r="13" spans="1:14" ht="15.6" x14ac:dyDescent="0.3">
      <c r="A13" s="2"/>
      <c r="N13" s="81"/>
    </row>
    <row r="14" spans="1:14" ht="15.6" x14ac:dyDescent="0.3">
      <c r="A14" s="2"/>
      <c r="N14" s="81"/>
    </row>
    <row r="15" spans="1:14" ht="15.6" x14ac:dyDescent="0.3">
      <c r="A15" s="2"/>
      <c r="N15" s="81"/>
    </row>
    <row r="16" spans="1:14" ht="15.6" x14ac:dyDescent="0.3">
      <c r="A16" s="2"/>
      <c r="N16" s="81"/>
    </row>
    <row r="17" spans="1:14" ht="15.6" x14ac:dyDescent="0.3">
      <c r="A17" s="2"/>
      <c r="N17" s="81"/>
    </row>
    <row r="18" spans="1:14" ht="15.6" x14ac:dyDescent="0.3">
      <c r="A18" s="2"/>
      <c r="N18" s="81"/>
    </row>
    <row r="19" spans="1:14" ht="15.6" x14ac:dyDescent="0.3">
      <c r="A19" s="2"/>
      <c r="N19" s="81"/>
    </row>
    <row r="20" spans="1:14" ht="15.6" x14ac:dyDescent="0.3">
      <c r="A20" s="2"/>
      <c r="N20" s="81"/>
    </row>
    <row r="21" spans="1:14" ht="15.6" x14ac:dyDescent="0.3">
      <c r="A21" s="2"/>
      <c r="N21" s="81"/>
    </row>
    <row r="22" spans="1:14" ht="15.6" x14ac:dyDescent="0.3">
      <c r="A22" s="2"/>
      <c r="N22" s="81"/>
    </row>
    <row r="23" spans="1:14" ht="15.6" x14ac:dyDescent="0.3">
      <c r="A23" s="2"/>
      <c r="N23" s="81"/>
    </row>
    <row r="24" spans="1:14" ht="15.6" x14ac:dyDescent="0.3">
      <c r="A24" s="2"/>
      <c r="N24" s="81"/>
    </row>
    <row r="25" spans="1:14" ht="15.6" x14ac:dyDescent="0.3">
      <c r="A25" s="2"/>
      <c r="N25" s="81"/>
    </row>
    <row r="26" spans="1:14" ht="15.6" x14ac:dyDescent="0.3">
      <c r="A26" s="2"/>
      <c r="N26" s="81"/>
    </row>
    <row r="27" spans="1:14" ht="16.2" thickBot="1" x14ac:dyDescent="0.35">
      <c r="A27" s="2"/>
      <c r="N27" s="81"/>
    </row>
    <row r="28" spans="1:14" ht="16.2" thickBot="1" x14ac:dyDescent="0.35">
      <c r="A28" s="2"/>
      <c r="B28" s="40" t="s">
        <v>4</v>
      </c>
      <c r="C28" s="44" t="s">
        <v>5</v>
      </c>
      <c r="D28" s="44" t="s">
        <v>6</v>
      </c>
      <c r="E28" s="74" t="s">
        <v>7</v>
      </c>
      <c r="F28" s="174"/>
      <c r="N28" s="81"/>
    </row>
    <row r="29" spans="1:14" ht="16.2" x14ac:dyDescent="0.3">
      <c r="A29" s="2"/>
      <c r="B29" s="179" t="s">
        <v>71</v>
      </c>
      <c r="C29" s="290"/>
      <c r="D29" s="43" t="s">
        <v>9</v>
      </c>
      <c r="E29" s="147"/>
      <c r="F29" s="175"/>
      <c r="N29" s="81"/>
    </row>
    <row r="30" spans="1:14" ht="16.2" x14ac:dyDescent="0.3">
      <c r="A30" s="2"/>
      <c r="B30" s="169" t="s">
        <v>72</v>
      </c>
      <c r="C30" s="290"/>
      <c r="D30" s="148" t="s">
        <v>73</v>
      </c>
      <c r="E30" s="149"/>
      <c r="F30" s="175"/>
      <c r="N30" s="81"/>
    </row>
    <row r="31" spans="1:14" ht="16.2" x14ac:dyDescent="0.3">
      <c r="A31" s="2"/>
      <c r="B31" s="169" t="s">
        <v>74</v>
      </c>
      <c r="C31" s="227">
        <f>(C29+C30)/2</f>
        <v>0</v>
      </c>
      <c r="D31" s="150" t="s">
        <v>73</v>
      </c>
      <c r="E31" s="149" t="s">
        <v>75</v>
      </c>
      <c r="F31" s="175"/>
      <c r="N31" s="81"/>
    </row>
    <row r="32" spans="1:14" ht="15.6" x14ac:dyDescent="0.3">
      <c r="A32" s="2"/>
      <c r="B32" s="169" t="s">
        <v>76</v>
      </c>
      <c r="C32" s="291"/>
      <c r="D32" s="151" t="s">
        <v>51</v>
      </c>
      <c r="E32" s="149"/>
      <c r="F32" s="175"/>
      <c r="N32" s="81"/>
    </row>
    <row r="33" spans="1:17" ht="15.6" x14ac:dyDescent="0.3">
      <c r="A33" s="2"/>
      <c r="B33" s="169" t="s">
        <v>77</v>
      </c>
      <c r="C33" s="228">
        <v>0.25</v>
      </c>
      <c r="D33" s="22" t="s">
        <v>15</v>
      </c>
      <c r="E33" s="149" t="s">
        <v>78</v>
      </c>
      <c r="F33" s="175"/>
      <c r="N33" s="81"/>
    </row>
    <row r="34" spans="1:17" ht="15.6" x14ac:dyDescent="0.3">
      <c r="A34" s="2"/>
      <c r="B34" s="169" t="s">
        <v>79</v>
      </c>
      <c r="C34" s="291"/>
      <c r="D34" s="22" t="s">
        <v>51</v>
      </c>
      <c r="E34" s="152"/>
      <c r="F34" s="175"/>
      <c r="N34" s="81"/>
    </row>
    <row r="35" spans="1:17" ht="15.6" x14ac:dyDescent="0.3">
      <c r="A35" s="2"/>
      <c r="B35" s="169" t="s">
        <v>82</v>
      </c>
      <c r="C35" s="228">
        <v>0.4</v>
      </c>
      <c r="D35" s="22" t="s">
        <v>15</v>
      </c>
      <c r="E35" s="149" t="s">
        <v>83</v>
      </c>
      <c r="F35" s="175"/>
      <c r="N35" s="81"/>
    </row>
    <row r="36" spans="1:17" ht="16.2" thickBot="1" x14ac:dyDescent="0.35">
      <c r="A36" s="2"/>
      <c r="B36" s="168" t="s">
        <v>84</v>
      </c>
      <c r="C36" s="291"/>
      <c r="D36" s="22" t="s">
        <v>51</v>
      </c>
      <c r="E36" s="152" t="s">
        <v>85</v>
      </c>
      <c r="F36" s="175"/>
      <c r="N36" s="81"/>
    </row>
    <row r="37" spans="1:17" ht="16.8" thickBot="1" x14ac:dyDescent="0.35">
      <c r="A37" s="2"/>
      <c r="B37" s="158" t="s">
        <v>21</v>
      </c>
      <c r="C37" s="229">
        <f>C30*((C32*C33)+(C34*C35))+C31*C36</f>
        <v>0</v>
      </c>
      <c r="D37" s="153" t="s">
        <v>86</v>
      </c>
      <c r="E37" s="154"/>
      <c r="F37" s="175"/>
      <c r="N37" s="81"/>
    </row>
    <row r="38" spans="1:17" ht="16.2" x14ac:dyDescent="0.3">
      <c r="A38" s="2"/>
      <c r="B38" s="231" t="s">
        <v>26</v>
      </c>
      <c r="C38" s="243">
        <f xml:space="preserve"> 0.6*C37</f>
        <v>0</v>
      </c>
      <c r="D38" s="46" t="s">
        <v>22</v>
      </c>
      <c r="E38" s="162"/>
      <c r="F38" s="176"/>
      <c r="N38" s="81"/>
    </row>
    <row r="39" spans="1:17" ht="16.2" thickBot="1" x14ac:dyDescent="0.35">
      <c r="A39" s="2"/>
      <c r="B39" s="232" t="s">
        <v>26</v>
      </c>
      <c r="C39" s="244">
        <f>IFERROR(C38*7.48,"")</f>
        <v>0</v>
      </c>
      <c r="D39" s="139" t="s">
        <v>28</v>
      </c>
      <c r="E39" s="163"/>
      <c r="F39" s="178"/>
      <c r="N39" s="81"/>
    </row>
    <row r="40" spans="1:17" ht="15.6" x14ac:dyDescent="0.3">
      <c r="A40" s="2"/>
      <c r="C40" s="5"/>
      <c r="J40" s="106"/>
      <c r="K40" s="106"/>
      <c r="N40" s="81"/>
    </row>
    <row r="41" spans="1:17" ht="15.75" customHeight="1" x14ac:dyDescent="0.3">
      <c r="C41" s="106"/>
      <c r="D41" s="106"/>
      <c r="E41" s="106"/>
      <c r="F41" s="106"/>
      <c r="J41" s="106"/>
      <c r="K41" s="106"/>
      <c r="N41" s="80"/>
      <c r="O41" s="80"/>
      <c r="P41" s="80"/>
      <c r="Q41" s="80"/>
    </row>
    <row r="42" spans="1:17" ht="18" customHeight="1" x14ac:dyDescent="0.3">
      <c r="C42" s="106"/>
      <c r="D42" s="106"/>
      <c r="E42" s="114"/>
      <c r="F42" s="114"/>
      <c r="I42" s="80"/>
      <c r="J42" s="105"/>
      <c r="K42" s="127"/>
      <c r="L42" s="3"/>
    </row>
    <row r="43" spans="1:17" ht="18" customHeight="1" x14ac:dyDescent="0.3">
      <c r="C43" s="106"/>
      <c r="D43" s="106"/>
      <c r="E43" s="106"/>
      <c r="F43" s="106"/>
      <c r="J43" s="106"/>
      <c r="K43" s="127"/>
      <c r="L43" s="3"/>
    </row>
    <row r="44" spans="1:17" x14ac:dyDescent="0.3">
      <c r="C44" s="106"/>
      <c r="D44" s="106"/>
      <c r="E44" s="106"/>
      <c r="F44" s="106"/>
      <c r="J44" s="106"/>
      <c r="K44" s="127"/>
      <c r="L44" s="3"/>
      <c r="M44" s="11"/>
    </row>
    <row r="45" spans="1:17" ht="18" customHeight="1" x14ac:dyDescent="0.3">
      <c r="C45" s="106"/>
      <c r="D45" s="106"/>
      <c r="E45" s="106"/>
      <c r="F45" s="106"/>
      <c r="J45" s="106"/>
      <c r="K45" s="106"/>
    </row>
    <row r="46" spans="1:17" x14ac:dyDescent="0.3">
      <c r="C46" s="106"/>
      <c r="D46" s="106"/>
      <c r="E46" s="107"/>
      <c r="F46" s="107"/>
      <c r="G46" s="76"/>
      <c r="J46" s="106"/>
      <c r="K46" s="106"/>
    </row>
    <row r="47" spans="1:17" x14ac:dyDescent="0.3">
      <c r="C47" s="106"/>
      <c r="D47" s="127"/>
      <c r="E47" s="114"/>
      <c r="F47" s="114"/>
      <c r="G47" s="11"/>
    </row>
    <row r="48" spans="1:17" x14ac:dyDescent="0.3">
      <c r="C48" s="106"/>
      <c r="D48" s="106"/>
      <c r="E48" s="106"/>
      <c r="F48" s="106"/>
      <c r="H48" s="11"/>
    </row>
    <row r="49" spans="1:15" ht="15" customHeight="1" x14ac:dyDescent="0.3">
      <c r="C49" s="106"/>
      <c r="D49" s="106"/>
      <c r="E49" s="106"/>
      <c r="F49" s="106"/>
    </row>
    <row r="50" spans="1:15" x14ac:dyDescent="0.3">
      <c r="A50" s="81"/>
      <c r="B50" s="81"/>
      <c r="C50" s="115"/>
      <c r="D50" s="115"/>
      <c r="E50" s="115"/>
      <c r="F50" s="115"/>
    </row>
    <row r="51" spans="1:15" x14ac:dyDescent="0.3">
      <c r="B51" s="1"/>
      <c r="E51" s="144"/>
      <c r="F51" s="144"/>
      <c r="G51" s="144"/>
    </row>
    <row r="52" spans="1:15" x14ac:dyDescent="0.3">
      <c r="H52" s="144"/>
    </row>
    <row r="53" spans="1:15" x14ac:dyDescent="0.3">
      <c r="B53" s="144"/>
      <c r="C53" s="80"/>
      <c r="J53" s="80"/>
    </row>
    <row r="54" spans="1:15" x14ac:dyDescent="0.3">
      <c r="B54" s="144"/>
      <c r="C54" s="80"/>
    </row>
    <row r="55" spans="1:15" x14ac:dyDescent="0.3">
      <c r="C55" s="80"/>
      <c r="D55" s="80"/>
      <c r="E55" s="80"/>
      <c r="F55" s="80"/>
      <c r="G55" s="80"/>
      <c r="I55" s="80"/>
      <c r="J55" s="80"/>
    </row>
    <row r="56" spans="1:15" x14ac:dyDescent="0.3">
      <c r="B56" s="144"/>
      <c r="C56" s="80"/>
      <c r="D56" s="80"/>
      <c r="E56" s="80"/>
      <c r="F56" s="80"/>
      <c r="G56" s="80"/>
      <c r="H56" s="80"/>
      <c r="I56" s="80"/>
      <c r="J56" s="80"/>
    </row>
    <row r="57" spans="1:15" x14ac:dyDescent="0.3">
      <c r="E57" s="144"/>
      <c r="F57" s="144"/>
      <c r="G57" s="144"/>
      <c r="H57" s="80"/>
      <c r="K57" s="9"/>
    </row>
    <row r="58" spans="1:15" x14ac:dyDescent="0.3">
      <c r="H58" s="144"/>
    </row>
    <row r="60" spans="1:15" x14ac:dyDescent="0.3">
      <c r="O60" s="9"/>
    </row>
  </sheetData>
  <sheetProtection algorithmName="SHA-512" hashValue="TSSM7hiuMZa4Mvtw48kiwbOLyj12fs35RjqhNN5ROVhYErXl5us5do3ApUAfNGQmI41kwd+oe85Ff3kwZ5MS0g==" saltValue="afUoSChL4tpBiEV7Ex0ryA==" spinCount="100000" sheet="1" objects="1" scenarios="1"/>
  <pageMargins left="0.7" right="0.7" top="0.75" bottom="0.75" header="0.3" footer="0.3"/>
  <pageSetup scale="55"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92D050"/>
  </sheetPr>
  <dimension ref="A1:L36"/>
  <sheetViews>
    <sheetView zoomScaleNormal="100" workbookViewId="0"/>
  </sheetViews>
  <sheetFormatPr defaultRowHeight="14.4" x14ac:dyDescent="0.3"/>
  <cols>
    <col min="3" max="3" width="11" customWidth="1"/>
    <col min="4" max="4" width="12.109375" customWidth="1"/>
    <col min="5" max="5" width="14.6640625" customWidth="1"/>
    <col min="6" max="6" width="15" customWidth="1"/>
    <col min="7" max="7" width="14.33203125" customWidth="1"/>
  </cols>
  <sheetData>
    <row r="1" spans="1:7" x14ac:dyDescent="0.3">
      <c r="A1" s="83"/>
      <c r="B1" s="83"/>
      <c r="C1" s="83"/>
      <c r="D1" s="83"/>
      <c r="E1" s="83"/>
      <c r="F1" s="83"/>
      <c r="G1" s="83"/>
    </row>
    <row r="3" spans="1:7" ht="15.6" x14ac:dyDescent="0.3">
      <c r="A3" s="85"/>
      <c r="B3" s="82"/>
      <c r="C3" s="82"/>
      <c r="D3" s="82"/>
      <c r="E3" s="82"/>
      <c r="F3" s="82"/>
      <c r="G3" s="82"/>
    </row>
    <row r="4" spans="1:7" ht="15.6" x14ac:dyDescent="0.3">
      <c r="A4" s="75"/>
      <c r="B4" s="80"/>
      <c r="C4" s="80"/>
      <c r="D4" s="80"/>
      <c r="E4" s="80"/>
      <c r="F4" s="80"/>
      <c r="G4" s="80"/>
    </row>
    <row r="5" spans="1:7" ht="15.6" x14ac:dyDescent="0.3">
      <c r="A5" s="75"/>
      <c r="B5" s="80"/>
      <c r="C5" s="80"/>
      <c r="D5" s="80"/>
      <c r="E5" s="80"/>
      <c r="F5" s="80"/>
      <c r="G5" s="80"/>
    </row>
    <row r="6" spans="1:7" ht="15.6" x14ac:dyDescent="0.3">
      <c r="A6" s="75"/>
      <c r="B6" s="80"/>
      <c r="C6" s="80"/>
      <c r="D6" s="80"/>
      <c r="E6" s="80"/>
      <c r="F6" s="80"/>
      <c r="G6" s="80"/>
    </row>
    <row r="7" spans="1:7" ht="15.6" x14ac:dyDescent="0.3">
      <c r="A7" s="75"/>
      <c r="B7" s="80"/>
      <c r="C7" s="80"/>
      <c r="D7" s="80"/>
      <c r="E7" s="80"/>
      <c r="F7" s="80"/>
      <c r="G7" s="80"/>
    </row>
    <row r="8" spans="1:7" ht="15.6" x14ac:dyDescent="0.3">
      <c r="A8" s="75"/>
      <c r="B8" s="80"/>
      <c r="C8" s="80"/>
      <c r="D8" s="80"/>
      <c r="E8" s="80"/>
      <c r="F8" s="80"/>
      <c r="G8" s="80"/>
    </row>
    <row r="9" spans="1:7" ht="15.6" x14ac:dyDescent="0.3">
      <c r="A9" s="75"/>
      <c r="B9" s="80"/>
      <c r="C9" s="80"/>
      <c r="D9" s="80"/>
      <c r="E9" s="80"/>
      <c r="F9" s="80"/>
      <c r="G9" s="80"/>
    </row>
    <row r="10" spans="1:7" ht="15.6" x14ac:dyDescent="0.3">
      <c r="A10" s="75"/>
      <c r="B10" s="80"/>
      <c r="C10" s="80"/>
      <c r="D10" s="80"/>
      <c r="E10" s="80"/>
      <c r="F10" s="80"/>
      <c r="G10" s="80"/>
    </row>
    <row r="11" spans="1:7" ht="15.6" x14ac:dyDescent="0.3">
      <c r="A11" s="75"/>
      <c r="B11" s="80"/>
      <c r="C11" s="80"/>
      <c r="D11" s="80"/>
      <c r="E11" s="80"/>
      <c r="F11" s="80"/>
      <c r="G11" s="80"/>
    </row>
    <row r="12" spans="1:7" ht="15.6" x14ac:dyDescent="0.3">
      <c r="A12" s="75"/>
      <c r="B12" s="80"/>
      <c r="C12" s="80"/>
      <c r="D12" s="80"/>
      <c r="E12" s="80"/>
      <c r="F12" s="80"/>
      <c r="G12" s="80"/>
    </row>
    <row r="13" spans="1:7" ht="15.6" x14ac:dyDescent="0.3">
      <c r="A13" s="75"/>
      <c r="B13" s="80"/>
      <c r="C13" s="80"/>
      <c r="D13" s="80"/>
      <c r="E13" s="80"/>
      <c r="F13" s="80"/>
      <c r="G13" s="80"/>
    </row>
    <row r="14" spans="1:7" ht="15.6" x14ac:dyDescent="0.3">
      <c r="A14" s="75"/>
      <c r="B14" s="80"/>
      <c r="C14" s="80"/>
      <c r="D14" s="80"/>
      <c r="E14" s="80"/>
      <c r="F14" s="80"/>
      <c r="G14" s="80"/>
    </row>
    <row r="15" spans="1:7" ht="15.6" x14ac:dyDescent="0.3">
      <c r="A15" s="75"/>
      <c r="B15" s="80"/>
      <c r="C15" s="80"/>
      <c r="D15" s="80"/>
      <c r="E15" s="80"/>
      <c r="F15" s="80"/>
      <c r="G15" s="80"/>
    </row>
    <row r="16" spans="1:7" ht="15.6" x14ac:dyDescent="0.3">
      <c r="A16" s="75"/>
      <c r="B16" s="80"/>
      <c r="C16" s="80"/>
      <c r="D16" s="80"/>
      <c r="E16" s="80"/>
      <c r="F16" s="80"/>
      <c r="G16" s="80"/>
    </row>
    <row r="17" spans="1:11" ht="15.6" x14ac:dyDescent="0.3">
      <c r="A17" s="75"/>
      <c r="B17" s="80"/>
      <c r="C17" s="80"/>
      <c r="D17" s="80"/>
      <c r="E17" s="80"/>
      <c r="F17" s="80"/>
      <c r="G17" s="80"/>
    </row>
    <row r="18" spans="1:11" ht="16.2" thickBot="1" x14ac:dyDescent="0.35">
      <c r="A18" s="75"/>
      <c r="B18" s="80"/>
      <c r="C18" s="80"/>
      <c r="D18" s="80"/>
      <c r="E18" s="80"/>
      <c r="F18" s="80"/>
      <c r="G18" s="80"/>
    </row>
    <row r="19" spans="1:11" ht="17.399999999999999" thickBot="1" x14ac:dyDescent="0.4">
      <c r="A19" s="75"/>
      <c r="B19" s="165" t="s">
        <v>118</v>
      </c>
      <c r="C19" s="166" t="s">
        <v>119</v>
      </c>
      <c r="D19" s="166" t="s">
        <v>120</v>
      </c>
      <c r="E19" s="166" t="s">
        <v>117</v>
      </c>
      <c r="F19" s="166" t="s">
        <v>35</v>
      </c>
      <c r="G19" s="165" t="s">
        <v>36</v>
      </c>
    </row>
    <row r="20" spans="1:11" ht="15.6" x14ac:dyDescent="0.3">
      <c r="A20" s="75"/>
      <c r="B20" s="164">
        <v>1</v>
      </c>
      <c r="C20" s="301"/>
      <c r="D20" s="302"/>
      <c r="E20" s="247">
        <f>C20+D20</f>
        <v>0</v>
      </c>
      <c r="F20" s="248">
        <f>0.1*E20</f>
        <v>0</v>
      </c>
      <c r="G20" s="249">
        <f>F20*7.48</f>
        <v>0</v>
      </c>
    </row>
    <row r="21" spans="1:11" ht="15.6" x14ac:dyDescent="0.3">
      <c r="A21" s="75"/>
      <c r="B21" s="110">
        <v>2</v>
      </c>
      <c r="C21" s="303"/>
      <c r="D21" s="304"/>
      <c r="E21" s="247">
        <f t="shared" ref="E21:E24" si="0">C21+D21</f>
        <v>0</v>
      </c>
      <c r="F21" s="250">
        <f>0.1*E21</f>
        <v>0</v>
      </c>
      <c r="G21" s="251">
        <f>F21*7.48</f>
        <v>0</v>
      </c>
    </row>
    <row r="22" spans="1:11" ht="15.6" x14ac:dyDescent="0.3">
      <c r="A22" s="75"/>
      <c r="B22" s="110">
        <v>3</v>
      </c>
      <c r="C22" s="303"/>
      <c r="D22" s="304"/>
      <c r="E22" s="247">
        <f t="shared" si="0"/>
        <v>0</v>
      </c>
      <c r="F22" s="250">
        <f t="shared" ref="F22:F24" si="1">0.1*E22</f>
        <v>0</v>
      </c>
      <c r="G22" s="251">
        <f t="shared" ref="G22:G24" si="2">F22*7.48</f>
        <v>0</v>
      </c>
    </row>
    <row r="23" spans="1:11" ht="15.6" x14ac:dyDescent="0.3">
      <c r="A23" s="75"/>
      <c r="B23" s="110">
        <v>4</v>
      </c>
      <c r="C23" s="303"/>
      <c r="D23" s="304"/>
      <c r="E23" s="247">
        <f t="shared" si="0"/>
        <v>0</v>
      </c>
      <c r="F23" s="250">
        <f t="shared" si="1"/>
        <v>0</v>
      </c>
      <c r="G23" s="251">
        <f t="shared" si="2"/>
        <v>0</v>
      </c>
    </row>
    <row r="24" spans="1:11" ht="16.2" thickBot="1" x14ac:dyDescent="0.35">
      <c r="A24" s="75"/>
      <c r="B24" s="167">
        <v>5</v>
      </c>
      <c r="C24" s="305"/>
      <c r="D24" s="306"/>
      <c r="E24" s="247">
        <f t="shared" si="0"/>
        <v>0</v>
      </c>
      <c r="F24" s="250">
        <f t="shared" si="1"/>
        <v>0</v>
      </c>
      <c r="G24" s="252">
        <f t="shared" si="2"/>
        <v>0</v>
      </c>
    </row>
    <row r="25" spans="1:11" ht="16.2" thickBot="1" x14ac:dyDescent="0.35">
      <c r="A25" s="75"/>
      <c r="B25" s="65" t="s">
        <v>41</v>
      </c>
      <c r="C25" s="220">
        <f>SUM(C20:C24)</f>
        <v>0</v>
      </c>
      <c r="D25" s="220">
        <f>SUM(D20:D24)</f>
        <v>0</v>
      </c>
      <c r="E25" s="220">
        <f>SUM(E20:E24)</f>
        <v>0</v>
      </c>
      <c r="F25" s="253">
        <f>SUM(F20:F24)</f>
        <v>0</v>
      </c>
      <c r="G25" s="254">
        <f>SUM(G20:G24)</f>
        <v>0</v>
      </c>
    </row>
    <row r="26" spans="1:11" ht="15.6" x14ac:dyDescent="0.3">
      <c r="A26" s="75"/>
      <c r="B26" s="80"/>
      <c r="C26" s="80"/>
      <c r="D26" s="80"/>
      <c r="E26" s="80"/>
      <c r="F26" s="80"/>
      <c r="G26" s="80"/>
    </row>
    <row r="27" spans="1:11" ht="15.6" x14ac:dyDescent="0.3">
      <c r="A27" s="75"/>
      <c r="B27" s="80"/>
      <c r="C27" s="80"/>
      <c r="D27" s="80"/>
      <c r="E27" s="80"/>
      <c r="F27" s="80"/>
      <c r="G27" s="80"/>
    </row>
    <row r="28" spans="1:11" ht="15.6" x14ac:dyDescent="0.3">
      <c r="A28" s="75"/>
      <c r="B28" s="80"/>
      <c r="C28" s="80"/>
      <c r="D28" s="80"/>
      <c r="E28" s="80"/>
      <c r="F28" s="80"/>
      <c r="G28" s="80"/>
    </row>
    <row r="29" spans="1:11" ht="15.6" x14ac:dyDescent="0.3">
      <c r="A29" s="75"/>
      <c r="B29" s="80"/>
      <c r="C29" s="80"/>
      <c r="D29" s="80"/>
      <c r="E29" s="80"/>
      <c r="F29" s="80"/>
      <c r="G29" s="105"/>
    </row>
    <row r="30" spans="1:11" x14ac:dyDescent="0.3">
      <c r="G30" s="106"/>
    </row>
    <row r="31" spans="1:11" x14ac:dyDescent="0.3">
      <c r="G31" s="106"/>
      <c r="H31" s="84"/>
      <c r="I31" s="84"/>
      <c r="J31" s="84"/>
      <c r="K31" s="84"/>
    </row>
    <row r="32" spans="1:11" x14ac:dyDescent="0.3">
      <c r="G32" s="106"/>
      <c r="H32" s="79"/>
      <c r="I32" s="79"/>
      <c r="J32" s="79"/>
      <c r="K32" s="79"/>
    </row>
    <row r="33" spans="2:12" x14ac:dyDescent="0.3">
      <c r="B33" s="82"/>
      <c r="C33" s="82"/>
      <c r="D33" s="82"/>
      <c r="E33" s="82"/>
      <c r="G33" s="107"/>
      <c r="H33" s="76"/>
      <c r="I33" s="76"/>
    </row>
    <row r="34" spans="2:12" x14ac:dyDescent="0.3">
      <c r="F34" s="1"/>
      <c r="G34" s="106"/>
    </row>
    <row r="35" spans="2:12" x14ac:dyDescent="0.3">
      <c r="F35" s="1"/>
      <c r="G35" s="106"/>
      <c r="I35" s="79"/>
      <c r="J35" s="79"/>
      <c r="K35" s="79"/>
      <c r="L35" s="79"/>
    </row>
    <row r="36" spans="2:12" x14ac:dyDescent="0.3">
      <c r="B36" s="82"/>
      <c r="C36" s="82"/>
      <c r="D36" s="82"/>
      <c r="E36" s="82"/>
      <c r="F36" s="1"/>
    </row>
  </sheetData>
  <sheetProtection algorithmName="SHA-512" hashValue="x+GADlXHu3W64+4mBLKh9KXWP5wepgacffKU6TSw+bqwcQ2nNKXjzynKawyzi2Jo+srzfAQMYuLVNLBnEkaL8Q==" saltValue="wE1BurD3NxMP91mGAnkwSg==" spinCount="100000"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A503D-9DBA-4645-BB2B-8ECD8B3389C3}">
  <sheetPr codeName="Sheet11">
    <tabColor rgb="FF92D050"/>
  </sheetPr>
  <dimension ref="A1:I34"/>
  <sheetViews>
    <sheetView zoomScaleNormal="100" workbookViewId="0"/>
  </sheetViews>
  <sheetFormatPr defaultRowHeight="14.4" x14ac:dyDescent="0.3"/>
  <cols>
    <col min="2" max="2" width="11.6640625" customWidth="1"/>
    <col min="3" max="3" width="20.33203125" customWidth="1"/>
    <col min="4" max="4" width="18.44140625" customWidth="1"/>
    <col min="5" max="5" width="20.5546875" customWidth="1"/>
    <col min="6" max="6" width="14.33203125" customWidth="1"/>
    <col min="7" max="7" width="10.6640625" bestFit="1" customWidth="1"/>
    <col min="8" max="8" width="12.88671875" customWidth="1"/>
  </cols>
  <sheetData>
    <row r="1" spans="1:5" x14ac:dyDescent="0.3">
      <c r="A1" s="83"/>
      <c r="B1" s="83"/>
      <c r="C1" s="83"/>
      <c r="D1" s="83"/>
      <c r="E1" s="83"/>
    </row>
    <row r="3" spans="1:5" ht="15" customHeight="1" x14ac:dyDescent="0.3">
      <c r="A3" s="85"/>
      <c r="B3" s="82"/>
      <c r="C3" s="82"/>
      <c r="D3" s="82"/>
      <c r="E3" s="82"/>
    </row>
    <row r="4" spans="1:5" ht="15" customHeight="1" x14ac:dyDescent="0.3">
      <c r="A4" s="85"/>
      <c r="B4" s="82"/>
      <c r="C4" s="82"/>
      <c r="D4" s="82"/>
      <c r="E4" s="82"/>
    </row>
    <row r="5" spans="1:5" ht="15" customHeight="1" x14ac:dyDescent="0.3">
      <c r="A5" s="85"/>
      <c r="B5" s="82"/>
      <c r="C5" s="82"/>
      <c r="D5" s="82"/>
      <c r="E5" s="82"/>
    </row>
    <row r="6" spans="1:5" ht="15" customHeight="1" x14ac:dyDescent="0.3">
      <c r="A6" s="85"/>
      <c r="B6" s="82"/>
      <c r="C6" s="82"/>
      <c r="D6" s="82"/>
      <c r="E6" s="82"/>
    </row>
    <row r="7" spans="1:5" ht="15" customHeight="1" x14ac:dyDescent="0.3">
      <c r="A7" s="85"/>
      <c r="B7" s="82"/>
      <c r="C7" s="82"/>
      <c r="D7" s="82"/>
      <c r="E7" s="82"/>
    </row>
    <row r="8" spans="1:5" ht="15" customHeight="1" x14ac:dyDescent="0.3">
      <c r="A8" s="85"/>
      <c r="B8" s="82"/>
      <c r="C8" s="82"/>
      <c r="D8" s="82"/>
      <c r="E8" s="82"/>
    </row>
    <row r="9" spans="1:5" ht="15" customHeight="1" x14ac:dyDescent="0.3">
      <c r="A9" s="85"/>
      <c r="B9" s="82"/>
      <c r="C9" s="82"/>
      <c r="D9" s="82"/>
      <c r="E9" s="82"/>
    </row>
    <row r="10" spans="1:5" ht="15" customHeight="1" x14ac:dyDescent="0.3">
      <c r="A10" s="85"/>
      <c r="B10" s="82"/>
      <c r="C10" s="82"/>
      <c r="D10" s="82"/>
      <c r="E10" s="82"/>
    </row>
    <row r="11" spans="1:5" ht="15" customHeight="1" x14ac:dyDescent="0.3">
      <c r="A11" s="85"/>
      <c r="B11" s="82"/>
      <c r="C11" s="82"/>
      <c r="D11" s="82"/>
      <c r="E11" s="82"/>
    </row>
    <row r="12" spans="1:5" ht="15" customHeight="1" x14ac:dyDescent="0.3">
      <c r="A12" s="85"/>
      <c r="B12" s="82"/>
      <c r="C12" s="82"/>
      <c r="D12" s="82"/>
      <c r="E12" s="82"/>
    </row>
    <row r="13" spans="1:5" ht="15" customHeight="1" x14ac:dyDescent="0.3">
      <c r="A13" s="85"/>
      <c r="B13" s="82"/>
      <c r="C13" s="82"/>
      <c r="D13" s="82"/>
      <c r="E13" s="82"/>
    </row>
    <row r="14" spans="1:5" ht="15" customHeight="1" x14ac:dyDescent="0.3">
      <c r="A14" s="85"/>
      <c r="B14" s="82"/>
      <c r="C14" s="82"/>
      <c r="D14" s="82"/>
      <c r="E14" s="82"/>
    </row>
    <row r="15" spans="1:5" ht="15" customHeight="1" x14ac:dyDescent="0.3">
      <c r="A15" s="85"/>
      <c r="B15" s="82"/>
      <c r="C15" s="82"/>
      <c r="D15" s="82"/>
      <c r="E15" s="82"/>
    </row>
    <row r="16" spans="1:5" ht="15" customHeight="1" x14ac:dyDescent="0.3">
      <c r="A16" s="85"/>
      <c r="B16" s="82"/>
      <c r="C16" s="82"/>
      <c r="D16" s="82"/>
      <c r="E16" s="82"/>
    </row>
    <row r="17" spans="1:7" ht="15" customHeight="1" x14ac:dyDescent="0.3">
      <c r="A17" s="85"/>
      <c r="B17" s="82"/>
      <c r="C17" s="82"/>
      <c r="D17" s="82"/>
      <c r="E17" s="82"/>
    </row>
    <row r="18" spans="1:7" ht="15" customHeight="1" x14ac:dyDescent="0.3">
      <c r="A18" s="85"/>
      <c r="B18" s="82"/>
      <c r="C18" s="82"/>
      <c r="D18" s="82"/>
      <c r="E18" s="82"/>
    </row>
    <row r="19" spans="1:7" ht="15" customHeight="1" x14ac:dyDescent="0.3">
      <c r="A19" s="85"/>
      <c r="B19" s="82"/>
      <c r="C19" s="82"/>
      <c r="D19" s="82"/>
      <c r="E19" s="82"/>
    </row>
    <row r="20" spans="1:7" ht="15" customHeight="1" x14ac:dyDescent="0.3">
      <c r="A20" s="85"/>
      <c r="B20" s="82"/>
      <c r="C20" s="82"/>
      <c r="D20" s="82"/>
      <c r="E20" s="82"/>
    </row>
    <row r="21" spans="1:7" ht="15" customHeight="1" x14ac:dyDescent="0.3">
      <c r="A21" s="85"/>
      <c r="B21" s="82"/>
      <c r="C21" s="82"/>
      <c r="D21" s="82"/>
      <c r="E21" s="82"/>
    </row>
    <row r="22" spans="1:7" ht="15" customHeight="1" x14ac:dyDescent="0.3">
      <c r="A22" s="85"/>
      <c r="B22" s="82"/>
      <c r="C22" s="82"/>
      <c r="D22" s="82"/>
      <c r="E22" s="82"/>
    </row>
    <row r="23" spans="1:7" ht="14.4" customHeight="1" x14ac:dyDescent="0.3">
      <c r="A23" s="85"/>
      <c r="B23" s="82"/>
      <c r="C23" s="82"/>
      <c r="D23" s="82"/>
      <c r="E23" s="82"/>
    </row>
    <row r="24" spans="1:7" ht="15" customHeight="1" x14ac:dyDescent="0.3">
      <c r="A24" s="85"/>
      <c r="B24" s="82"/>
      <c r="C24" s="82"/>
      <c r="D24" s="82"/>
      <c r="E24" s="82"/>
    </row>
    <row r="25" spans="1:7" ht="15" customHeight="1" thickBot="1" x14ac:dyDescent="0.35">
      <c r="A25" s="85"/>
      <c r="B25" s="82"/>
      <c r="C25" s="82"/>
      <c r="D25" s="82"/>
      <c r="E25" s="82"/>
    </row>
    <row r="26" spans="1:7" ht="15" customHeight="1" thickBot="1" x14ac:dyDescent="0.35">
      <c r="A26" s="85"/>
      <c r="B26" s="61" t="s">
        <v>33</v>
      </c>
      <c r="C26" s="58" t="s">
        <v>117</v>
      </c>
      <c r="D26" s="58" t="s">
        <v>35</v>
      </c>
      <c r="E26" s="61" t="s">
        <v>36</v>
      </c>
    </row>
    <row r="27" spans="1:7" ht="15" customHeight="1" x14ac:dyDescent="0.3">
      <c r="A27" s="85"/>
      <c r="B27" s="102" t="s">
        <v>121</v>
      </c>
      <c r="C27" s="211"/>
      <c r="D27" s="255">
        <f>C27*0.1</f>
        <v>0</v>
      </c>
      <c r="E27" s="256">
        <f>D27*7.48</f>
        <v>0</v>
      </c>
    </row>
    <row r="28" spans="1:7" ht="15" customHeight="1" x14ac:dyDescent="0.3">
      <c r="A28" s="85"/>
      <c r="B28" s="103" t="s">
        <v>122</v>
      </c>
      <c r="C28" s="214"/>
      <c r="D28" s="257">
        <f>C28*0.1</f>
        <v>0</v>
      </c>
      <c r="E28" s="251">
        <f>D28*7.48</f>
        <v>0</v>
      </c>
    </row>
    <row r="29" spans="1:7" ht="15" customHeight="1" x14ac:dyDescent="0.3">
      <c r="A29" s="75"/>
      <c r="B29" s="103" t="s">
        <v>123</v>
      </c>
      <c r="C29" s="214"/>
      <c r="D29" s="257">
        <f t="shared" ref="D29:D31" si="0">C29*0.1</f>
        <v>0</v>
      </c>
      <c r="E29" s="251">
        <f t="shared" ref="E29:E31" si="1">D29*7.48</f>
        <v>0</v>
      </c>
    </row>
    <row r="30" spans="1:7" ht="15" customHeight="1" x14ac:dyDescent="0.3">
      <c r="A30" s="75"/>
      <c r="B30" s="103" t="s">
        <v>124</v>
      </c>
      <c r="C30" s="214"/>
      <c r="D30" s="257">
        <f t="shared" si="0"/>
        <v>0</v>
      </c>
      <c r="E30" s="251">
        <f t="shared" si="1"/>
        <v>0</v>
      </c>
    </row>
    <row r="31" spans="1:7" ht="15" thickBot="1" x14ac:dyDescent="0.35">
      <c r="B31" s="104" t="s">
        <v>125</v>
      </c>
      <c r="C31" s="217"/>
      <c r="D31" s="257">
        <f t="shared" si="0"/>
        <v>0</v>
      </c>
      <c r="E31" s="251">
        <f t="shared" si="1"/>
        <v>0</v>
      </c>
      <c r="F31" s="79"/>
      <c r="G31" s="79"/>
    </row>
    <row r="32" spans="1:7" ht="15" thickBot="1" x14ac:dyDescent="0.35">
      <c r="B32" s="65" t="s">
        <v>41</v>
      </c>
      <c r="C32" s="220">
        <f>SUM(C27:C31)</f>
        <v>0</v>
      </c>
      <c r="D32" s="253">
        <f>SUM(D27:D31)</f>
        <v>0</v>
      </c>
      <c r="E32" s="254">
        <f>SUM(E27:E31)</f>
        <v>0</v>
      </c>
    </row>
    <row r="33" spans="3:9" x14ac:dyDescent="0.3">
      <c r="C33" s="1"/>
      <c r="F33" s="84"/>
      <c r="G33" s="84"/>
      <c r="H33" s="84"/>
      <c r="I33" s="84"/>
    </row>
    <row r="34" spans="3:9" x14ac:dyDescent="0.3">
      <c r="C34" s="1"/>
    </row>
  </sheetData>
  <sheetProtection algorithmName="SHA-512" hashValue="gMl3EfXDpSWDCxXAbpWihTr3/E2mDCuJgyGW/raGqrjlhDFikYy9FSXtgiEwp0J3lMtOCCElirwZNLKYe6/N/Q==" saltValue="HREmqv/m7QVWag15OUoHnQ==" spinCount="100000" sheet="1" objects="1" scenarios="1"/>
  <pageMargins left="0.7" right="0.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92D050"/>
  </sheetPr>
  <dimension ref="A1:K63"/>
  <sheetViews>
    <sheetView zoomScale="90" zoomScaleNormal="90" workbookViewId="0"/>
  </sheetViews>
  <sheetFormatPr defaultColWidth="9.33203125" defaultRowHeight="15.6" x14ac:dyDescent="0.3"/>
  <cols>
    <col min="1" max="1" width="14.33203125" style="2" customWidth="1"/>
    <col min="2" max="2" width="9.33203125" style="2"/>
    <col min="3" max="3" width="11" style="2" customWidth="1"/>
    <col min="4" max="4" width="9.33203125" style="2"/>
    <col min="5" max="5" width="14.33203125" style="2" customWidth="1"/>
    <col min="6" max="6" width="23.5546875" style="2" customWidth="1"/>
    <col min="7" max="7" width="25.109375" style="2" customWidth="1"/>
    <col min="8" max="10" width="9.33203125" style="2"/>
    <col min="11" max="11" width="15.6640625" style="2" customWidth="1"/>
    <col min="12" max="16384" width="9.33203125" style="2"/>
  </cols>
  <sheetData>
    <row r="1" spans="1:6" x14ac:dyDescent="0.3">
      <c r="A1" s="99"/>
      <c r="B1" s="99"/>
      <c r="C1" s="99"/>
      <c r="D1" s="99"/>
      <c r="E1" s="99"/>
    </row>
    <row r="2" spans="1:6" ht="19.8" x14ac:dyDescent="0.4">
      <c r="F2" s="2" t="s">
        <v>126</v>
      </c>
    </row>
    <row r="4" spans="1:6" ht="19.95" customHeight="1" x14ac:dyDescent="0.3"/>
    <row r="5" spans="1:6" ht="19.95" customHeight="1" x14ac:dyDescent="0.3"/>
    <row r="6" spans="1:6" ht="19.95" customHeight="1" x14ac:dyDescent="0.3"/>
    <row r="7" spans="1:6" ht="19.95" customHeight="1" x14ac:dyDescent="0.3"/>
    <row r="14" spans="1:6" ht="19.95" customHeight="1" x14ac:dyDescent="0.3"/>
    <row r="35" spans="1:11" ht="16.2" thickBot="1" x14ac:dyDescent="0.35"/>
    <row r="36" spans="1:11" ht="17.399999999999999" thickBot="1" x14ac:dyDescent="0.4">
      <c r="B36" s="61" t="s">
        <v>33</v>
      </c>
      <c r="C36" s="60" t="s">
        <v>127</v>
      </c>
      <c r="D36" s="58" t="s">
        <v>128</v>
      </c>
      <c r="E36" s="170" t="s">
        <v>129</v>
      </c>
      <c r="F36" s="61" t="s">
        <v>35</v>
      </c>
      <c r="G36" s="61" t="s">
        <v>36</v>
      </c>
    </row>
    <row r="37" spans="1:11" ht="16.2" x14ac:dyDescent="0.35">
      <c r="B37" s="86" t="s">
        <v>130</v>
      </c>
      <c r="C37" s="307"/>
      <c r="D37" s="171">
        <v>5</v>
      </c>
      <c r="E37" s="145">
        <v>37.5</v>
      </c>
      <c r="F37" s="259">
        <f>C37*D37</f>
        <v>0</v>
      </c>
      <c r="G37" s="259">
        <f>C37*E37</f>
        <v>0</v>
      </c>
    </row>
    <row r="38" spans="1:11" ht="16.2" x14ac:dyDescent="0.35">
      <c r="B38" s="87" t="s">
        <v>131</v>
      </c>
      <c r="C38" s="308"/>
      <c r="D38" s="172">
        <v>10</v>
      </c>
      <c r="E38" s="101">
        <v>75</v>
      </c>
      <c r="F38" s="258">
        <f>C38*D38</f>
        <v>0</v>
      </c>
      <c r="G38" s="258">
        <f>C38*E38</f>
        <v>0</v>
      </c>
    </row>
    <row r="39" spans="1:11" ht="16.2" x14ac:dyDescent="0.35">
      <c r="A39" s="85"/>
      <c r="B39" s="100" t="s">
        <v>132</v>
      </c>
      <c r="C39" s="308"/>
      <c r="D39" s="172">
        <v>10</v>
      </c>
      <c r="E39" s="101">
        <v>150</v>
      </c>
      <c r="F39" s="258">
        <f t="shared" ref="F39:F42" si="0">C39*D39</f>
        <v>0</v>
      </c>
      <c r="G39" s="258">
        <f t="shared" ref="G39:G42" si="1">C39*E39</f>
        <v>0</v>
      </c>
    </row>
    <row r="40" spans="1:11" ht="16.2" x14ac:dyDescent="0.35">
      <c r="A40" s="85"/>
      <c r="B40" s="266" t="s">
        <v>133</v>
      </c>
      <c r="C40" s="309"/>
      <c r="D40" s="267">
        <v>20</v>
      </c>
      <c r="E40" s="268">
        <v>150</v>
      </c>
      <c r="F40" s="269">
        <f t="shared" si="0"/>
        <v>0</v>
      </c>
      <c r="G40" s="269">
        <f t="shared" si="1"/>
        <v>0</v>
      </c>
    </row>
    <row r="41" spans="1:11" ht="16.2" x14ac:dyDescent="0.35">
      <c r="B41" s="273" t="s">
        <v>134</v>
      </c>
      <c r="C41" s="310"/>
      <c r="D41" s="272">
        <v>30</v>
      </c>
      <c r="E41" s="271">
        <v>225</v>
      </c>
      <c r="F41" s="270">
        <f t="shared" si="0"/>
        <v>0</v>
      </c>
      <c r="G41" s="270">
        <f t="shared" si="1"/>
        <v>0</v>
      </c>
    </row>
    <row r="42" spans="1:11" ht="16.8" thickBot="1" x14ac:dyDescent="0.4">
      <c r="B42" s="88" t="s">
        <v>135</v>
      </c>
      <c r="C42" s="311"/>
      <c r="D42" s="264">
        <v>40</v>
      </c>
      <c r="E42" s="265">
        <v>300</v>
      </c>
      <c r="F42" s="270">
        <f t="shared" si="0"/>
        <v>0</v>
      </c>
      <c r="G42" s="270">
        <f t="shared" si="1"/>
        <v>0</v>
      </c>
    </row>
    <row r="43" spans="1:11" ht="18.600000000000001" customHeight="1" thickBot="1" x14ac:dyDescent="0.35">
      <c r="B43" s="65" t="s">
        <v>41</v>
      </c>
      <c r="C43" s="261">
        <f>SUM(C37:C41)</f>
        <v>0</v>
      </c>
      <c r="D43" s="89"/>
      <c r="E43" s="90"/>
      <c r="F43" s="260">
        <f>SUM(F37:F41)</f>
        <v>0</v>
      </c>
      <c r="G43" s="260">
        <f>SUM(G37:G41)</f>
        <v>0</v>
      </c>
    </row>
    <row r="45" spans="1:11" x14ac:dyDescent="0.3">
      <c r="A45" s="91"/>
      <c r="B45" s="91"/>
      <c r="C45" s="91"/>
      <c r="D45" s="91"/>
      <c r="E45" s="91"/>
      <c r="F45" s="91"/>
      <c r="G45" s="91"/>
    </row>
    <row r="46" spans="1:11" x14ac:dyDescent="0.3">
      <c r="A46" s="91"/>
      <c r="B46" s="91"/>
      <c r="C46" s="91"/>
      <c r="D46" s="91"/>
      <c r="E46" s="91"/>
      <c r="F46" s="91"/>
      <c r="G46" s="91"/>
    </row>
    <row r="47" spans="1:11" x14ac:dyDescent="0.3">
      <c r="A47" s="92"/>
      <c r="B47" s="92"/>
      <c r="C47" s="92"/>
      <c r="D47" s="92"/>
      <c r="E47" s="92"/>
      <c r="F47" s="93"/>
      <c r="G47" s="93"/>
      <c r="H47" s="8"/>
      <c r="I47" s="8"/>
      <c r="J47" s="8"/>
    </row>
    <row r="48" spans="1:11" x14ac:dyDescent="0.3">
      <c r="A48" s="92"/>
      <c r="B48" s="92"/>
      <c r="C48" s="92"/>
      <c r="D48" s="92"/>
      <c r="E48" s="92"/>
      <c r="F48" s="93"/>
      <c r="G48" s="91"/>
      <c r="H48" s="97"/>
      <c r="I48" s="97"/>
      <c r="J48" s="97"/>
      <c r="K48" s="97"/>
    </row>
    <row r="49" spans="1:11" x14ac:dyDescent="0.3">
      <c r="A49" s="93"/>
      <c r="B49" s="96"/>
      <c r="C49" s="96"/>
      <c r="D49" s="96"/>
      <c r="E49" s="96"/>
      <c r="F49" s="96"/>
      <c r="G49" s="96"/>
      <c r="H49" s="85"/>
      <c r="I49" s="85"/>
      <c r="J49" s="97"/>
      <c r="K49" s="85"/>
    </row>
    <row r="50" spans="1:11" x14ac:dyDescent="0.3">
      <c r="A50" s="91"/>
      <c r="B50" s="96"/>
      <c r="C50" s="98"/>
      <c r="D50" s="96"/>
      <c r="E50" s="96"/>
      <c r="F50" s="96"/>
      <c r="G50" s="96"/>
      <c r="H50" s="97"/>
      <c r="I50" s="97"/>
      <c r="J50" s="97"/>
      <c r="K50" s="85"/>
    </row>
    <row r="51" spans="1:11" x14ac:dyDescent="0.3">
      <c r="A51" s="91"/>
      <c r="B51" s="96"/>
      <c r="C51" s="98"/>
      <c r="D51" s="96"/>
      <c r="E51" s="96"/>
      <c r="F51" s="96"/>
      <c r="G51" s="96"/>
      <c r="H51" s="85"/>
      <c r="I51" s="85"/>
      <c r="J51" s="85"/>
      <c r="K51" s="85"/>
    </row>
    <row r="52" spans="1:11" x14ac:dyDescent="0.3">
      <c r="A52" s="91"/>
      <c r="B52" s="91"/>
      <c r="C52" s="98"/>
      <c r="D52" s="98"/>
      <c r="E52" s="93"/>
      <c r="F52" s="93"/>
      <c r="G52" s="93"/>
      <c r="H52" s="8"/>
      <c r="I52" s="8"/>
      <c r="J52" s="8"/>
    </row>
    <row r="53" spans="1:11" x14ac:dyDescent="0.3">
      <c r="A53" s="91"/>
      <c r="B53" s="91"/>
      <c r="C53" s="91"/>
      <c r="D53" s="96"/>
      <c r="E53" s="96"/>
      <c r="F53" s="91"/>
      <c r="G53" s="91"/>
    </row>
    <row r="54" spans="1:11" x14ac:dyDescent="0.3">
      <c r="A54" s="91"/>
      <c r="B54" s="91"/>
      <c r="C54" s="91"/>
      <c r="D54" s="96"/>
      <c r="E54" s="96"/>
      <c r="F54" s="91"/>
      <c r="G54" s="91"/>
    </row>
    <row r="55" spans="1:11" x14ac:dyDescent="0.3">
      <c r="A55" s="91"/>
      <c r="B55" s="91"/>
      <c r="C55" s="91"/>
      <c r="D55" s="91"/>
      <c r="E55" s="91"/>
      <c r="F55" s="91"/>
      <c r="G55" s="91"/>
    </row>
    <row r="56" spans="1:11" x14ac:dyDescent="0.3">
      <c r="A56" s="94"/>
      <c r="B56" s="95"/>
      <c r="C56" s="95"/>
      <c r="D56" s="95"/>
      <c r="E56" s="95"/>
      <c r="F56" s="95"/>
      <c r="G56" s="95"/>
      <c r="H56" s="79"/>
      <c r="I56" s="79"/>
      <c r="J56" s="79"/>
      <c r="K56" s="79"/>
    </row>
    <row r="57" spans="1:11" x14ac:dyDescent="0.3">
      <c r="A57" s="91"/>
      <c r="B57" s="95"/>
      <c r="C57" s="95"/>
      <c r="D57" s="95"/>
      <c r="E57" s="95"/>
      <c r="F57" s="95"/>
      <c r="G57" s="95"/>
      <c r="H57" s="79"/>
      <c r="I57" s="79"/>
      <c r="J57" s="79"/>
      <c r="K57" s="79"/>
    </row>
    <row r="58" spans="1:11" x14ac:dyDescent="0.3">
      <c r="A58" s="94"/>
      <c r="B58" s="95"/>
      <c r="C58" s="95"/>
      <c r="D58" s="95"/>
      <c r="E58" s="95"/>
      <c r="F58" s="95"/>
      <c r="G58" s="95"/>
      <c r="H58" s="79"/>
      <c r="I58" s="79"/>
      <c r="J58" s="79"/>
      <c r="K58" s="79"/>
    </row>
    <row r="59" spans="1:11" x14ac:dyDescent="0.3">
      <c r="A59" s="91"/>
      <c r="B59" s="91"/>
      <c r="C59" s="91"/>
      <c r="D59" s="91"/>
      <c r="E59" s="91"/>
      <c r="F59" s="91"/>
      <c r="G59" s="91"/>
    </row>
    <row r="63" spans="1:11" ht="13.5" customHeight="1" x14ac:dyDescent="0.3"/>
  </sheetData>
  <sheetProtection algorithmName="SHA-512" hashValue="UxLEk1eR8yuAOkXWQsVA7V0SNBfZdzBtaRpO5WExN2ALJ4QtN8Fv4PoX9P5Xc3sTycReB92nPtXELYWMRWr82Q==" saltValue="iXQenWuofHQ8cZ+6zY/8Vw==" spinCount="100000" sheet="1" objects="1" scenarios="1"/>
  <pageMargins left="0.7" right="0.7" top="0.75" bottom="0.75" header="0.3" footer="0.3"/>
  <pageSetup scale="97"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Project Document" ma:contentTypeID="0x01010084099C5946FA6344AFBC08FDA28BB5E3000F2A5536EED47B428001DEFDF00DB8CF" ma:contentTypeVersion="19" ma:contentTypeDescription="" ma:contentTypeScope="" ma:versionID="d6e6ed7ffb191a675bbcab54a1fdd5ba">
  <xsd:schema xmlns:xsd="http://www.w3.org/2001/XMLSchema" xmlns:xs="http://www.w3.org/2001/XMLSchema" xmlns:p="http://schemas.microsoft.com/office/2006/metadata/properties" xmlns:ns2="80727368-2d85-4693-8aca-8c33fb2339f5" xmlns:ns3="http://schemas.microsoft.com/sharepoint/v4" xmlns:ns4="b031f331-093e-4af9-b9a8-5fb9941cd8bc" targetNamespace="http://schemas.microsoft.com/office/2006/metadata/properties" ma:root="true" ma:fieldsID="aac1010026ea37c8d9149f3b624ce0d5" ns2:_="" ns3:_="" ns4:_="">
    <xsd:import namespace="80727368-2d85-4693-8aca-8c33fb2339f5"/>
    <xsd:import namespace="http://schemas.microsoft.com/sharepoint/v4"/>
    <xsd:import namespace="b031f331-093e-4af9-b9a8-5fb9941cd8bc"/>
    <xsd:element name="properties">
      <xsd:complexType>
        <xsd:sequence>
          <xsd:element name="documentManagement">
            <xsd:complexType>
              <xsd:all>
                <xsd:element ref="ns2:Project" minOccurs="0"/>
                <xsd:element ref="ns2:Project_x003a_Description" minOccurs="0"/>
                <xsd:element ref="ns2:SharedWithUsers" minOccurs="0"/>
                <xsd:element ref="ns3:IconOverlay" minOccurs="0"/>
                <xsd:element ref="ns2:SharingHintHash" minOccurs="0"/>
                <xsd:element ref="ns2:SharedWithDetails" minOccurs="0"/>
                <xsd:element ref="ns2:LastSharedByUser" minOccurs="0"/>
                <xsd:element ref="ns2: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EventHashCode" minOccurs="0"/>
                <xsd:element ref="ns4:MediaServiceGenerationTim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727368-2d85-4693-8aca-8c33fb2339f5" elementFormDefault="qualified">
    <xsd:import namespace="http://schemas.microsoft.com/office/2006/documentManagement/types"/>
    <xsd:import namespace="http://schemas.microsoft.com/office/infopath/2007/PartnerControls"/>
    <xsd:element name="Project" ma:index="8" nillable="true" ma:displayName="Project" ma:list="{466bfe19-0901-498c-8ba9-2a12267cbd25}" ma:internalName="Project" ma:readOnly="false" ma:showField="Title" ma:web="80727368-2d85-4693-8aca-8c33fb2339f5">
      <xsd:simpleType>
        <xsd:restriction base="dms:Lookup"/>
      </xsd:simpleType>
    </xsd:element>
    <xsd:element name="Project_x003a_Description" ma:index="9" nillable="true" ma:displayName="Project:Description" ma:list="{466bfe19-0901-498c-8ba9-2a12267cbd25}" ma:internalName="Project_x003A_Description" ma:readOnly="true" ma:showField="CategoryDescription" ma:web="80727368-2d85-4693-8aca-8c33fb2339f5">
      <xsd:simpleType>
        <xsd:restriction base="dms:Lookup"/>
      </xsd:simpleType>
    </xsd:element>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2" nillable="true" ma:displayName="Sharing Hint Hash" ma:internalName="SharingHintHash" ma:readOnly="true">
      <xsd:simpleType>
        <xsd:restriction base="dms:Text"/>
      </xsd:simpleType>
    </xsd:element>
    <xsd:element name="SharedWithDetails" ma:index="13" nillable="true" ma:displayName="Shared With Details" ma:internalName="SharedWithDetails" ma:readOnly="true">
      <xsd:simpleType>
        <xsd:restriction base="dms:Note">
          <xsd:maxLength value="255"/>
        </xsd:restriction>
      </xsd:simpleType>
    </xsd:element>
    <xsd:element name="LastSharedByUser" ma:index="14" nillable="true" ma:displayName="Last Shared By User" ma:description="" ma:internalName="LastSharedByUser" ma:readOnly="true">
      <xsd:simpleType>
        <xsd:restriction base="dms:Note">
          <xsd:maxLength value="255"/>
        </xsd:restriction>
      </xsd:simpleType>
    </xsd:element>
    <xsd:element name="LastSharedByTime" ma:index="15"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1"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31f331-093e-4af9-b9a8-5fb9941cd8bc" elementFormDefault="qualified">
    <xsd:import namespace="http://schemas.microsoft.com/office/2006/documentManagement/types"/>
    <xsd:import namespace="http://schemas.microsoft.com/office/infopath/2007/PartnerControls"/>
    <xsd:element name="MediaServiceMetadata" ma:index="16" nillable="true" ma:displayName="MediaServiceMetadata" ma:description="" ma:hidden="true" ma:internalName="MediaServiceMetadata" ma:readOnly="true">
      <xsd:simpleType>
        <xsd:restriction base="dms:Note"/>
      </xsd:simpleType>
    </xsd:element>
    <xsd:element name="MediaServiceFastMetadata" ma:index="17" nillable="true" ma:displayName="MediaServiceFastMetadata" ma:description="" ma:hidden="true" ma:internalName="MediaServiceFastMetadata" ma:readOnly="true">
      <xsd:simpleType>
        <xsd:restriction base="dms:Note"/>
      </xsd:simpleType>
    </xsd:element>
    <xsd:element name="MediaServiceDateTaken" ma:index="18" nillable="true" ma:displayName="MediaServiceDateTaken" ma:description="" ma:hidden="true" ma:internalName="MediaServiceDateTaken" ma:readOnly="true">
      <xsd:simpleType>
        <xsd:restriction base="dms:Text"/>
      </xsd:simpleType>
    </xsd:element>
    <xsd:element name="MediaServiceAutoTags" ma:index="19" nillable="true" ma:displayName="MediaServiceAutoTags" ma:description="" ma:internalName="MediaServiceAutoTags" ma:readOnly="true">
      <xsd:simpleType>
        <xsd:restriction base="dms:Text"/>
      </xsd:simpleType>
    </xsd:element>
    <xsd:element name="MediaServiceLocation" ma:index="20" nillable="true" ma:displayName="MediaServiceLocation" ma:description="" ma:internalName="MediaServiceLocation" ma:readOnly="true">
      <xsd:simpleType>
        <xsd:restriction base="dms:Text"/>
      </xsd:simpleType>
    </xsd:element>
    <xsd:element name="MediaServiceOCR" ma:index="21" nillable="true" ma:displayName="MediaServiceOCR" ma:internalName="MediaServiceOCR" ma:readOnly="true">
      <xsd:simpleType>
        <xsd:restriction base="dms:Note">
          <xsd:maxLength value="255"/>
        </xsd:restriction>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ject xmlns="80727368-2d85-4693-8aca-8c33fb2339f5">301</Project>
    <IconOverlay xmlns="http://schemas.microsoft.com/sharepoint/v4" xsi:nil="true"/>
    <SharedWithUsers xmlns="80727368-2d85-4693-8aca-8c33fb2339f5">
      <UserInfo>
        <DisplayName>Sarah Ryan</DisplayName>
        <AccountId>1072</AccountId>
        <AccountType/>
      </UserInfo>
    </SharedWithUsers>
  </documentManagement>
</p:properties>
</file>

<file path=customXml/itemProps1.xml><?xml version="1.0" encoding="utf-8"?>
<ds:datastoreItem xmlns:ds="http://schemas.openxmlformats.org/officeDocument/2006/customXml" ds:itemID="{9E86F571-D830-4584-BE85-F27F27DEB211}">
  <ds:schemaRefs>
    <ds:schemaRef ds:uri="http://schemas.microsoft.com/sharepoint/v3/contenttype/forms"/>
  </ds:schemaRefs>
</ds:datastoreItem>
</file>

<file path=customXml/itemProps2.xml><?xml version="1.0" encoding="utf-8"?>
<ds:datastoreItem xmlns:ds="http://schemas.openxmlformats.org/officeDocument/2006/customXml" ds:itemID="{CF190867-DE06-45BE-A772-7370B284C0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727368-2d85-4693-8aca-8c33fb2339f5"/>
    <ds:schemaRef ds:uri="http://schemas.microsoft.com/sharepoint/v4"/>
    <ds:schemaRef ds:uri="b031f331-093e-4af9-b9a8-5fb9941cd8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7207B7-6EFC-4ADB-B060-A0D0A67C4ED1}">
  <ds:schemaRefs>
    <ds:schemaRef ds:uri="http://schemas.microsoft.com/office/2006/metadata/properties"/>
    <ds:schemaRef ds:uri="80727368-2d85-4693-8aca-8c33fb2339f5"/>
    <ds:schemaRef ds:uri="http://schemas.microsoft.com/office/infopath/2007/PartnerControls"/>
    <ds:schemaRef ds:uri="http://purl.org/dc/elements/1.1/"/>
    <ds:schemaRef ds:uri="http://purl.org/dc/dcmitype/"/>
    <ds:schemaRef ds:uri="http://purl.org/dc/terms/"/>
    <ds:schemaRef ds:uri="b031f331-093e-4af9-b9a8-5fb9941cd8bc"/>
    <ds:schemaRef ds:uri="http://schemas.microsoft.com/office/2006/documentManagement/types"/>
    <ds:schemaRef ds:uri="http://www.w3.org/XML/1998/namespace"/>
    <ds:schemaRef ds:uri="http://schemas.openxmlformats.org/package/2006/metadata/core-properties"/>
    <ds:schemaRef ds:uri="http://schemas.microsoft.com/sharepoint/v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Instructions</vt:lpstr>
      <vt:lpstr>3.2 Green Roof</vt:lpstr>
      <vt:lpstr>3.3 Rainwater Harvesting</vt:lpstr>
      <vt:lpstr>3.4 Impervious Surface Discon.</vt:lpstr>
      <vt:lpstr>3.5 Permeable Pavement</vt:lpstr>
      <vt:lpstr>3.6 Bioretention</vt:lpstr>
      <vt:lpstr>3.8 Infiltration</vt:lpstr>
      <vt:lpstr>3.9 O-1 Grass Channel</vt:lpstr>
      <vt:lpstr>3.9 O-2 Dry Swale</vt:lpstr>
      <vt:lpstr>3.9 O-3 Wet Swale</vt:lpstr>
      <vt:lpstr>3.10, 3.11 SW Ponds + Wetlands</vt:lpstr>
      <vt:lpstr>3.14 Tree Planting Preservation</vt:lpstr>
      <vt:lpstr>'3.10, 3.11 SW Ponds + Wetlands'!Print_Area</vt:lpstr>
      <vt:lpstr>'3.14 Tree Planting Preservation'!Print_Area</vt:lpstr>
      <vt:lpstr>'3.2 Green Roof'!Print_Area</vt:lpstr>
      <vt:lpstr>'3.4 Impervious Surface Discon.'!Print_Area</vt:lpstr>
      <vt:lpstr>'3.5 Permeable Pavement'!Print_Area</vt:lpstr>
      <vt:lpstr>'3.6 Bioretention'!Print_Area</vt:lpstr>
      <vt:lpstr>'3.8 Infiltration'!Print_Area</vt:lpstr>
      <vt:lpstr>'3.9 O-1 Grass Channel'!Print_Area</vt:lpstr>
      <vt:lpstr>'3.9 O-2 Dry Swale'!Print_Area</vt:lpstr>
      <vt:lpstr>'3.9 O-3 Wet Swale'!Print_Area</vt:lpstr>
      <vt:lpstr>Instructions!Print_Area</vt:lpstr>
    </vt:vector>
  </TitlesOfParts>
  <Manager/>
  <Company>Toshiba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MRES</dc:creator>
  <cp:keywords/>
  <dc:description/>
  <cp:lastModifiedBy>Greg Hoffmann</cp:lastModifiedBy>
  <cp:revision/>
  <dcterms:created xsi:type="dcterms:W3CDTF">2013-06-23T13:40:58Z</dcterms:created>
  <dcterms:modified xsi:type="dcterms:W3CDTF">2020-11-25T19:16:02Z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0x01010084099C5946FA6344AFBC08FDA28BB5E3000F2A5536EED47B428001DEFDF00DB8CF</vt:lpwstr>
  </property>
  <property fmtid="{D5CDD505-2E9C-101B-9397-08002B2CF9AE}" pid="3" name="AuthorIds_UIVersion_4608">
    <vt:lpwstr>22</vt:lpwstr>
  </property>
  <property fmtid="{D5CDD505-2E9C-101B-9397-08002B2CF9AE}" pid="4" name="AuthorIds_UIVersion_5632">
    <vt:lpwstr>22</vt:lpwstr>
  </property>
  <property fmtid="{D5CDD505-2E9C-101B-9397-08002B2CF9AE}" pid="5" name="AuthorIds_UIVersion_7168">
    <vt:lpwstr>22</vt:lpwstr>
  </property>
</Properties>
</file>